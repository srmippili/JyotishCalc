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82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kkam Rohit\Downloads\"/>
    </mc:Choice>
  </mc:AlternateContent>
  <xr:revisionPtr revIDLastSave="0" documentId="13_ncr:1_{C3AD3568-4FE7-47F0-A0B5-52561D66B66D}" xr6:coauthVersionLast="36" xr6:coauthVersionMax="36" xr10:uidLastSave="{00000000-0000-0000-0000-000000000000}"/>
  <bookViews>
    <workbookView xWindow="0" yWindow="0" windowWidth="23040" windowHeight="8940" xr2:uid="{00000000-000D-0000-FFFF-FFFF00000000}"/>
  </bookViews>
  <sheets>
    <sheet name="scr" sheetId="29" r:id="rId1"/>
    <sheet name="degrees" sheetId="30" r:id="rId2"/>
    <sheet name="div" sheetId="23" r:id="rId3"/>
    <sheet name="Basic" sheetId="1" r:id="rId4"/>
    <sheet name="Two Big Charts" sheetId="24" r:id="rId5"/>
    <sheet name="Charts" sheetId="27" r:id="rId6"/>
    <sheet name="All Divisional Charts" sheetId="26" r:id="rId7"/>
  </sheets>
  <functionGroups builtInGroupCount="19"/>
  <externalReferences>
    <externalReference r:id="rId8"/>
  </externalReferences>
  <definedNames>
    <definedName name="_xlnm._FilterDatabase" localSheetId="3" hidden="1">Basic!$C$13:$C$27</definedName>
    <definedName name="_xlnm._FilterDatabase" localSheetId="2" hidden="1">div!$C$4:$C$13</definedName>
    <definedName name="CalLatitude" localSheetId="0">#REF!</definedName>
    <definedName name="CalLatitude">#REF!</definedName>
    <definedName name="CalLongitude" localSheetId="0">#REF!</definedName>
    <definedName name="CalLongitude">#REF!</definedName>
    <definedName name="CalMonth" localSheetId="0">#REF!</definedName>
    <definedName name="CalMonth">#REF!</definedName>
    <definedName name="CalTimeZone" localSheetId="0">#REF!</definedName>
    <definedName name="CalTimeZone">#REF!</definedName>
    <definedName name="d1check">div!$M$4:$M$23</definedName>
    <definedName name="D9_">div!$N$4:$N$13</definedName>
    <definedName name="Lat" localSheetId="0">#REF!</definedName>
    <definedName name="Lat">#REF!</definedName>
    <definedName name="Long" localSheetId="0">#REF!</definedName>
    <definedName name="Long">#REF!</definedName>
    <definedName name="niftycheck">div!$B$17:$B$32</definedName>
    <definedName name="_xlnm.Print_Area" localSheetId="3">Basic!$A$1:$Q$27</definedName>
    <definedName name="_xlnm.Print_Area" localSheetId="2">div!$A$2:$K$13</definedName>
    <definedName name="StarDeg">[1]DATA!$F$44</definedName>
    <definedName name="TimeZone" localSheetId="0">#REF!</definedName>
    <definedName name="TimeZone">#REF!</definedName>
  </definedNames>
  <calcPr calcId="191029"/>
</workbook>
</file>

<file path=xl/calcChain.xml><?xml version="1.0" encoding="utf-8"?>
<calcChain xmlns="http://schemas.openxmlformats.org/spreadsheetml/2006/main">
  <c r="C3" i="30" l="1"/>
  <c r="C4" i="30" s="1"/>
  <c r="C5" i="30" s="1"/>
  <c r="C6" i="30" s="1"/>
  <c r="C7" i="30" s="1"/>
  <c r="C8" i="30" s="1"/>
  <c r="C9" i="30" s="1"/>
  <c r="C10" i="30" s="1"/>
  <c r="C11" i="30" s="1"/>
  <c r="C12" i="30" s="1"/>
  <c r="C13" i="30" s="1"/>
  <c r="C14" i="30" s="1"/>
  <c r="C15" i="30" s="1"/>
  <c r="C16" i="30" s="1"/>
  <c r="C17" i="30" s="1"/>
  <c r="C18" i="30" s="1"/>
  <c r="C19" i="30" s="1"/>
  <c r="C20" i="30" s="1"/>
  <c r="C21" i="30" s="1"/>
  <c r="C22" i="30" s="1"/>
  <c r="C23" i="30" s="1"/>
  <c r="C24" i="30" s="1"/>
  <c r="C25" i="30" s="1"/>
  <c r="C26" i="30" s="1"/>
  <c r="C27" i="30" s="1"/>
  <c r="C28" i="30" s="1"/>
  <c r="C29" i="30" s="1"/>
  <c r="C30" i="30" s="1"/>
  <c r="C31" i="30" s="1"/>
  <c r="C32" i="30" s="1"/>
  <c r="C33" i="30" s="1"/>
  <c r="C34" i="30" s="1"/>
  <c r="C35" i="30" s="1"/>
  <c r="C36" i="30" s="1"/>
  <c r="C37" i="30" s="1"/>
  <c r="C38" i="30" s="1"/>
  <c r="C39" i="30" s="1"/>
  <c r="C40" i="30" s="1"/>
  <c r="C41" i="30" s="1"/>
  <c r="C42" i="30" s="1"/>
  <c r="C43" i="30" s="1"/>
  <c r="C44" i="30" s="1"/>
  <c r="C45" i="30" s="1"/>
  <c r="C46" i="30" s="1"/>
  <c r="C47" i="30" s="1"/>
  <c r="C48" i="30" s="1"/>
  <c r="C49" i="30" s="1"/>
  <c r="C50" i="30" s="1"/>
  <c r="C51" i="30" s="1"/>
  <c r="C52" i="30" s="1"/>
  <c r="C53" i="30" s="1"/>
  <c r="C54" i="30" s="1"/>
  <c r="C55" i="30" s="1"/>
  <c r="C56" i="30" s="1"/>
  <c r="C57" i="30" s="1"/>
  <c r="C58" i="30" s="1"/>
  <c r="C59" i="30" s="1"/>
  <c r="C60" i="30" s="1"/>
  <c r="C61" i="30" s="1"/>
  <c r="C62" i="30" s="1"/>
  <c r="C63" i="30" s="1"/>
  <c r="C64" i="30" s="1"/>
  <c r="C65" i="30" s="1"/>
  <c r="C66" i="30" s="1"/>
  <c r="C67" i="30" s="1"/>
  <c r="C68" i="30" s="1"/>
  <c r="C69" i="30" s="1"/>
  <c r="C70" i="30" s="1"/>
  <c r="C71" i="30" s="1"/>
  <c r="C72" i="30" s="1"/>
  <c r="C73" i="30" s="1"/>
  <c r="C74" i="30" s="1"/>
  <c r="C75" i="30" s="1"/>
  <c r="C76" i="30" s="1"/>
  <c r="C77" i="30" s="1"/>
  <c r="C78" i="30" s="1"/>
  <c r="C79" i="30" s="1"/>
  <c r="C80" i="30" s="1"/>
  <c r="C81" i="30" s="1"/>
  <c r="C82" i="30" s="1"/>
  <c r="C83" i="30" s="1"/>
  <c r="C84" i="30" s="1"/>
  <c r="C85" i="30" s="1"/>
  <c r="C86" i="30" s="1"/>
  <c r="C87" i="30" s="1"/>
  <c r="C88" i="30" s="1"/>
  <c r="C89" i="30" s="1"/>
  <c r="C90" i="30" s="1"/>
  <c r="C91" i="30" s="1"/>
  <c r="C92" i="30" s="1"/>
  <c r="C93" i="30" s="1"/>
  <c r="C94" i="30" s="1"/>
  <c r="C95" i="30" s="1"/>
  <c r="C96" i="30" s="1"/>
  <c r="C97" i="30" s="1"/>
  <c r="C98" i="30" s="1"/>
  <c r="C99" i="30" s="1"/>
  <c r="C100" i="30" s="1"/>
  <c r="C101" i="30" s="1"/>
  <c r="C102" i="30" s="1"/>
  <c r="C103" i="30" s="1"/>
  <c r="C104" i="30" s="1"/>
  <c r="C105" i="30" s="1"/>
  <c r="C106" i="30" s="1"/>
  <c r="C107" i="30" s="1"/>
  <c r="C108" i="30" s="1"/>
  <c r="C109" i="30" s="1"/>
  <c r="C110" i="30" s="1"/>
  <c r="C111" i="30" s="1"/>
  <c r="C112" i="30" s="1"/>
  <c r="C113" i="30" s="1"/>
  <c r="C114" i="30" s="1"/>
  <c r="C115" i="30" s="1"/>
  <c r="C116" i="30" s="1"/>
  <c r="C117" i="30" s="1"/>
  <c r="C118" i="30" s="1"/>
  <c r="C119" i="30" s="1"/>
  <c r="C120" i="30" s="1"/>
  <c r="C121" i="30" s="1"/>
  <c r="C122" i="30" s="1"/>
  <c r="C123" i="30" s="1"/>
  <c r="C124" i="30" s="1"/>
  <c r="C125" i="30" s="1"/>
  <c r="C126" i="30" s="1"/>
  <c r="C127" i="30" s="1"/>
  <c r="C128" i="30" s="1"/>
  <c r="C129" i="30" s="1"/>
  <c r="C130" i="30" s="1"/>
  <c r="C131" i="30" s="1"/>
  <c r="C132" i="30" s="1"/>
  <c r="C133" i="30" s="1"/>
  <c r="C134" i="30" s="1"/>
  <c r="C135" i="30" s="1"/>
  <c r="C136" i="30" s="1"/>
  <c r="C137" i="30" s="1"/>
  <c r="C138" i="30" s="1"/>
  <c r="C139" i="30" s="1"/>
  <c r="C140" i="30" s="1"/>
  <c r="C141" i="30" s="1"/>
  <c r="C142" i="30" s="1"/>
  <c r="C143" i="30" s="1"/>
  <c r="C144" i="30" s="1"/>
  <c r="C145" i="30" s="1"/>
  <c r="C146" i="30" s="1"/>
  <c r="C147" i="30" s="1"/>
  <c r="C148" i="30" s="1"/>
  <c r="C149" i="30" s="1"/>
  <c r="C150" i="30" s="1"/>
  <c r="C151" i="30" s="1"/>
  <c r="C152" i="30" s="1"/>
  <c r="C153" i="30" s="1"/>
  <c r="C154" i="30" s="1"/>
  <c r="C155" i="30" s="1"/>
  <c r="C156" i="30" s="1"/>
  <c r="C157" i="30" s="1"/>
  <c r="C158" i="30" s="1"/>
  <c r="C159" i="30" s="1"/>
  <c r="C160" i="30" s="1"/>
  <c r="C161" i="30" s="1"/>
  <c r="C162" i="30" s="1"/>
  <c r="C163" i="30" s="1"/>
  <c r="C164" i="30" s="1"/>
  <c r="C165" i="30" s="1"/>
  <c r="C166" i="30" s="1"/>
  <c r="C167" i="30" s="1"/>
  <c r="C168" i="30" s="1"/>
  <c r="C169" i="30" s="1"/>
  <c r="C170" i="30" s="1"/>
  <c r="C171" i="30" s="1"/>
  <c r="C172" i="30" s="1"/>
  <c r="C173" i="30" s="1"/>
  <c r="C174" i="30" s="1"/>
  <c r="C175" i="30" s="1"/>
  <c r="C176" i="30" s="1"/>
  <c r="C177" i="30" s="1"/>
  <c r="C178" i="30" s="1"/>
  <c r="C179" i="30" s="1"/>
  <c r="C180" i="30" s="1"/>
  <c r="C181" i="30" s="1"/>
  <c r="C182" i="30" s="1"/>
  <c r="C183" i="30" s="1"/>
  <c r="C184" i="30" s="1"/>
  <c r="C185" i="30" s="1"/>
  <c r="C186" i="30" s="1"/>
  <c r="C187" i="30" s="1"/>
  <c r="C188" i="30" s="1"/>
  <c r="C189" i="30" s="1"/>
  <c r="C190" i="30" s="1"/>
  <c r="C191" i="30" s="1"/>
  <c r="C192" i="30" s="1"/>
  <c r="C193" i="30" s="1"/>
  <c r="C194" i="30" s="1"/>
  <c r="C195" i="30" s="1"/>
  <c r="C196" i="30" s="1"/>
  <c r="C197" i="30" s="1"/>
  <c r="C198" i="30" s="1"/>
  <c r="C199" i="30" s="1"/>
  <c r="C200" i="30" s="1"/>
  <c r="C201" i="30" s="1"/>
  <c r="C202" i="30" s="1"/>
  <c r="C203" i="30" s="1"/>
  <c r="C204" i="30" s="1"/>
  <c r="C205" i="30" s="1"/>
  <c r="C206" i="30" s="1"/>
  <c r="C207" i="30" s="1"/>
  <c r="C208" i="30" s="1"/>
  <c r="C209" i="30" s="1"/>
  <c r="C210" i="30" s="1"/>
  <c r="C211" i="30" s="1"/>
  <c r="C212" i="30" s="1"/>
  <c r="C213" i="30" s="1"/>
  <c r="C214" i="30" s="1"/>
  <c r="C215" i="30" s="1"/>
  <c r="C216" i="30" s="1"/>
  <c r="C217" i="30" s="1"/>
  <c r="C218" i="30" s="1"/>
  <c r="C219" i="30" s="1"/>
  <c r="C220" i="30" s="1"/>
  <c r="C221" i="30" s="1"/>
  <c r="C222" i="30" s="1"/>
  <c r="C223" i="30" s="1"/>
  <c r="C224" i="30" s="1"/>
  <c r="C225" i="30" s="1"/>
  <c r="C226" i="30" s="1"/>
  <c r="C227" i="30" s="1"/>
  <c r="C228" i="30" s="1"/>
  <c r="C229" i="30" s="1"/>
  <c r="C230" i="30" s="1"/>
  <c r="C231" i="30" s="1"/>
  <c r="C232" i="30" s="1"/>
  <c r="C233" i="30" s="1"/>
  <c r="C234" i="30" s="1"/>
  <c r="C235" i="30" s="1"/>
  <c r="C236" i="30" s="1"/>
  <c r="C237" i="30" s="1"/>
  <c r="C238" i="30" s="1"/>
  <c r="C239" i="30" s="1"/>
  <c r="C240" i="30" s="1"/>
  <c r="C241" i="30" s="1"/>
  <c r="C242" i="30" s="1"/>
  <c r="C243" i="30" s="1"/>
  <c r="C244" i="30" s="1"/>
  <c r="C245" i="30" s="1"/>
  <c r="C246" i="30" s="1"/>
  <c r="C247" i="30" s="1"/>
  <c r="C248" i="30" s="1"/>
  <c r="C249" i="30" s="1"/>
  <c r="C250" i="30" s="1"/>
  <c r="C251" i="30" s="1"/>
  <c r="C252" i="30" s="1"/>
  <c r="C253" i="30" s="1"/>
  <c r="C254" i="30" s="1"/>
  <c r="C255" i="30" s="1"/>
  <c r="C256" i="30" s="1"/>
  <c r="C257" i="30" s="1"/>
  <c r="C258" i="30" s="1"/>
  <c r="C259" i="30" s="1"/>
  <c r="C260" i="30" s="1"/>
  <c r="C261" i="30" s="1"/>
  <c r="C262" i="30" s="1"/>
  <c r="C263" i="30" s="1"/>
  <c r="C264" i="30" s="1"/>
  <c r="C265" i="30" s="1"/>
  <c r="C266" i="30" s="1"/>
  <c r="C267" i="30" s="1"/>
  <c r="C268" i="30" s="1"/>
  <c r="C269" i="30" s="1"/>
  <c r="C270" i="30" s="1"/>
  <c r="C271" i="30" s="1"/>
  <c r="C272" i="30" s="1"/>
  <c r="C273" i="30" s="1"/>
  <c r="C274" i="30" s="1"/>
  <c r="C275" i="30" s="1"/>
  <c r="C276" i="30" s="1"/>
  <c r="C277" i="30" s="1"/>
  <c r="C278" i="30" s="1"/>
  <c r="C279" i="30" s="1"/>
  <c r="C280" i="30" s="1"/>
  <c r="C281" i="30" s="1"/>
  <c r="C282" i="30" s="1"/>
  <c r="C283" i="30" s="1"/>
  <c r="C284" i="30" s="1"/>
  <c r="C285" i="30" s="1"/>
  <c r="C286" i="30" s="1"/>
  <c r="C287" i="30" s="1"/>
  <c r="C288" i="30" s="1"/>
  <c r="C289" i="30" s="1"/>
  <c r="C290" i="30" s="1"/>
  <c r="C291" i="30" s="1"/>
  <c r="C292" i="30" s="1"/>
  <c r="C293" i="30" s="1"/>
  <c r="C294" i="30" s="1"/>
  <c r="C295" i="30" s="1"/>
  <c r="C296" i="30" s="1"/>
  <c r="C297" i="30" s="1"/>
  <c r="C298" i="30" s="1"/>
  <c r="C299" i="30" s="1"/>
  <c r="C300" i="30" s="1"/>
  <c r="C301" i="30" s="1"/>
  <c r="C302" i="30" s="1"/>
  <c r="C303" i="30" s="1"/>
  <c r="C304" i="30" s="1"/>
  <c r="C305" i="30" s="1"/>
  <c r="C306" i="30" s="1"/>
  <c r="C307" i="30" s="1"/>
  <c r="C308" i="30" s="1"/>
  <c r="C309" i="30" s="1"/>
  <c r="C310" i="30" s="1"/>
  <c r="C311" i="30" s="1"/>
  <c r="C312" i="30" s="1"/>
  <c r="C313" i="30" s="1"/>
  <c r="C314" i="30" s="1"/>
  <c r="C315" i="30" s="1"/>
  <c r="C316" i="30" s="1"/>
  <c r="C317" i="30" s="1"/>
  <c r="C318" i="30" s="1"/>
  <c r="C319" i="30" s="1"/>
  <c r="C320" i="30" s="1"/>
  <c r="C321" i="30" s="1"/>
  <c r="C322" i="30" s="1"/>
  <c r="C323" i="30" s="1"/>
  <c r="C324" i="30" s="1"/>
  <c r="C325" i="30" s="1"/>
  <c r="C326" i="30" s="1"/>
  <c r="C327" i="30" s="1"/>
  <c r="C328" i="30" s="1"/>
  <c r="C329" i="30" s="1"/>
  <c r="C330" i="30" s="1"/>
  <c r="C331" i="30" s="1"/>
  <c r="C332" i="30" s="1"/>
  <c r="C333" i="30" s="1"/>
  <c r="C334" i="30" s="1"/>
  <c r="C335" i="30" s="1"/>
  <c r="C336" i="30" s="1"/>
  <c r="C337" i="30" s="1"/>
  <c r="C338" i="30" s="1"/>
  <c r="C339" i="30" s="1"/>
  <c r="C340" i="30" s="1"/>
  <c r="C341" i="30" s="1"/>
  <c r="C342" i="30" s="1"/>
  <c r="C343" i="30" s="1"/>
  <c r="C344" i="30" s="1"/>
  <c r="C345" i="30" s="1"/>
  <c r="C346" i="30" s="1"/>
  <c r="C347" i="30" s="1"/>
  <c r="C348" i="30" s="1"/>
  <c r="C349" i="30" s="1"/>
  <c r="C350" i="30" s="1"/>
  <c r="C351" i="30" s="1"/>
  <c r="C352" i="30" s="1"/>
  <c r="C353" i="30" s="1"/>
  <c r="C354" i="30" s="1"/>
  <c r="C355" i="30" s="1"/>
  <c r="C356" i="30" s="1"/>
  <c r="C357" i="30" s="1"/>
  <c r="C358" i="30" s="1"/>
  <c r="C359" i="30" s="1"/>
  <c r="C360" i="30" s="1"/>
  <c r="C361" i="30" s="1"/>
  <c r="C362" i="30" s="1"/>
  <c r="C363" i="30" s="1"/>
  <c r="C364" i="30" s="1"/>
  <c r="C365" i="30" s="1"/>
  <c r="C366" i="30" s="1"/>
  <c r="C367" i="30" s="1"/>
  <c r="C368" i="30" s="1"/>
  <c r="C369" i="30" s="1"/>
  <c r="C370" i="30" s="1"/>
  <c r="C371" i="30" s="1"/>
  <c r="C372" i="30" s="1"/>
  <c r="C373" i="30" s="1"/>
  <c r="C374" i="30" s="1"/>
  <c r="C375" i="30" s="1"/>
  <c r="C376" i="30" s="1"/>
  <c r="C377" i="30" s="1"/>
  <c r="C378" i="30" s="1"/>
  <c r="C379" i="30" s="1"/>
  <c r="C380" i="30" s="1"/>
  <c r="C381" i="30" s="1"/>
  <c r="C382" i="30" s="1"/>
  <c r="C383" i="30" s="1"/>
  <c r="C384" i="30" s="1"/>
  <c r="C385" i="30" s="1"/>
  <c r="C386" i="30" s="1"/>
  <c r="C387" i="30" s="1"/>
  <c r="C388" i="30" s="1"/>
  <c r="C389" i="30" s="1"/>
  <c r="C390" i="30" s="1"/>
  <c r="C391" i="30" s="1"/>
  <c r="C392" i="30" s="1"/>
  <c r="C393" i="30" s="1"/>
  <c r="C394" i="30" s="1"/>
  <c r="C395" i="30" s="1"/>
  <c r="C396" i="30" s="1"/>
  <c r="C397" i="30" s="1"/>
  <c r="C398" i="30" s="1"/>
  <c r="C399" i="30" s="1"/>
  <c r="C400" i="30" s="1"/>
  <c r="C401" i="30" s="1"/>
  <c r="C402" i="30" s="1"/>
  <c r="C403" i="30" s="1"/>
  <c r="C404" i="30" s="1"/>
  <c r="C405" i="30" s="1"/>
  <c r="C406" i="30" s="1"/>
  <c r="C407" i="30" s="1"/>
  <c r="C408" i="30" s="1"/>
  <c r="C409" i="30" s="1"/>
  <c r="C410" i="30" s="1"/>
  <c r="C411" i="30" s="1"/>
  <c r="C412" i="30" s="1"/>
  <c r="C413" i="30" s="1"/>
  <c r="C414" i="30" s="1"/>
  <c r="C415" i="30" s="1"/>
  <c r="C416" i="30" s="1"/>
  <c r="C417" i="30" s="1"/>
  <c r="C418" i="30" s="1"/>
  <c r="C419" i="30" s="1"/>
  <c r="C420" i="30" s="1"/>
  <c r="C421" i="30" s="1"/>
  <c r="C422" i="30" s="1"/>
  <c r="C423" i="30" s="1"/>
  <c r="C424" i="30" s="1"/>
  <c r="C425" i="30" s="1"/>
  <c r="C426" i="30" s="1"/>
  <c r="C427" i="30" s="1"/>
  <c r="C428" i="30" s="1"/>
  <c r="C429" i="30" s="1"/>
  <c r="C430" i="30" s="1"/>
  <c r="C431" i="30" s="1"/>
  <c r="C432" i="30" s="1"/>
  <c r="C433" i="30" s="1"/>
  <c r="C434" i="30" s="1"/>
  <c r="C435" i="30" s="1"/>
  <c r="C436" i="30" s="1"/>
  <c r="C437" i="30" s="1"/>
  <c r="C438" i="30" s="1"/>
  <c r="C439" i="30" s="1"/>
  <c r="C440" i="30" s="1"/>
  <c r="C441" i="30" s="1"/>
  <c r="C442" i="30" s="1"/>
  <c r="C443" i="30" s="1"/>
  <c r="C444" i="30" s="1"/>
  <c r="C445" i="30" s="1"/>
  <c r="C446" i="30" s="1"/>
  <c r="C447" i="30" s="1"/>
  <c r="C448" i="30" s="1"/>
  <c r="C449" i="30" s="1"/>
  <c r="C450" i="30" s="1"/>
  <c r="C451" i="30" s="1"/>
  <c r="C452" i="30" s="1"/>
  <c r="C453" i="30" s="1"/>
  <c r="C454" i="30" s="1"/>
  <c r="C455" i="30" s="1"/>
  <c r="C456" i="30" s="1"/>
  <c r="C457" i="30" s="1"/>
  <c r="C458" i="30" s="1"/>
  <c r="C459" i="30" s="1"/>
  <c r="C460" i="30" s="1"/>
  <c r="C461" i="30" s="1"/>
  <c r="C462" i="30" s="1"/>
  <c r="C463" i="30" s="1"/>
  <c r="C464" i="30" s="1"/>
  <c r="C465" i="30" s="1"/>
  <c r="C466" i="30" s="1"/>
  <c r="C467" i="30" s="1"/>
  <c r="C468" i="30" s="1"/>
  <c r="C469" i="30" s="1"/>
  <c r="C470" i="30" s="1"/>
  <c r="C471" i="30" s="1"/>
  <c r="C472" i="30" s="1"/>
  <c r="C473" i="30" s="1"/>
  <c r="C474" i="30" s="1"/>
  <c r="C475" i="30" s="1"/>
  <c r="C476" i="30" s="1"/>
  <c r="C477" i="30" s="1"/>
  <c r="C478" i="30" s="1"/>
  <c r="C479" i="30" s="1"/>
  <c r="C480" i="30" s="1"/>
  <c r="C481" i="30" s="1"/>
  <c r="C482" i="30" s="1"/>
  <c r="C483" i="30" s="1"/>
  <c r="C484" i="30" s="1"/>
  <c r="C485" i="30" s="1"/>
  <c r="C486" i="30" s="1"/>
  <c r="C487" i="30" s="1"/>
  <c r="C488" i="30" s="1"/>
  <c r="C489" i="30" s="1"/>
  <c r="C490" i="30" s="1"/>
  <c r="C491" i="30" s="1"/>
  <c r="C492" i="30" s="1"/>
  <c r="C493" i="30" s="1"/>
  <c r="C494" i="30" s="1"/>
  <c r="C495" i="30" s="1"/>
  <c r="C496" i="30" s="1"/>
  <c r="C497" i="30" s="1"/>
  <c r="C498" i="30" s="1"/>
  <c r="C499" i="30" s="1"/>
  <c r="C500" i="30" s="1"/>
  <c r="C501" i="30" s="1"/>
  <c r="C502" i="30" s="1"/>
  <c r="C503" i="30" s="1"/>
  <c r="C504" i="30" s="1"/>
  <c r="C505" i="30" s="1"/>
  <c r="C506" i="30" s="1"/>
  <c r="C507" i="30" s="1"/>
  <c r="C508" i="30" s="1"/>
  <c r="C509" i="30" s="1"/>
  <c r="C510" i="30" s="1"/>
  <c r="C511" i="30" s="1"/>
  <c r="C512" i="30" s="1"/>
  <c r="C513" i="30" s="1"/>
  <c r="C514" i="30" s="1"/>
  <c r="C515" i="30" s="1"/>
  <c r="C516" i="30" s="1"/>
  <c r="C517" i="30" s="1"/>
  <c r="C518" i="30" s="1"/>
  <c r="C519" i="30" s="1"/>
  <c r="C520" i="30" s="1"/>
  <c r="C521" i="30" s="1"/>
  <c r="C522" i="30" s="1"/>
  <c r="C523" i="30" s="1"/>
  <c r="C524" i="30" s="1"/>
  <c r="C525" i="30" s="1"/>
  <c r="C526" i="30" s="1"/>
  <c r="C527" i="30" s="1"/>
  <c r="C528" i="30" s="1"/>
  <c r="C529" i="30" s="1"/>
  <c r="C530" i="30" s="1"/>
  <c r="C531" i="30" s="1"/>
  <c r="C532" i="30" s="1"/>
  <c r="C533" i="30" s="1"/>
  <c r="C534" i="30" s="1"/>
  <c r="C535" i="30" s="1"/>
  <c r="C536" i="30" s="1"/>
  <c r="C537" i="30" s="1"/>
  <c r="C538" i="30" s="1"/>
  <c r="C539" i="30" s="1"/>
  <c r="C540" i="30" s="1"/>
  <c r="C541" i="30" s="1"/>
  <c r="C542" i="30" s="1"/>
  <c r="C543" i="30" s="1"/>
  <c r="C544" i="30" s="1"/>
  <c r="C545" i="30" s="1"/>
  <c r="C546" i="30" s="1"/>
  <c r="C547" i="30" s="1"/>
  <c r="C548" i="30" s="1"/>
  <c r="C549" i="30" s="1"/>
  <c r="C550" i="30" s="1"/>
  <c r="C551" i="30" s="1"/>
  <c r="C552" i="30" s="1"/>
  <c r="C553" i="30" s="1"/>
  <c r="C554" i="30" s="1"/>
  <c r="C555" i="30" s="1"/>
  <c r="C556" i="30" s="1"/>
  <c r="C557" i="30" s="1"/>
  <c r="C558" i="30" s="1"/>
  <c r="C559" i="30" s="1"/>
  <c r="C560" i="30" s="1"/>
  <c r="C561" i="30" s="1"/>
  <c r="C562" i="30" s="1"/>
  <c r="C563" i="30" s="1"/>
  <c r="C564" i="30" s="1"/>
  <c r="C565" i="30" s="1"/>
  <c r="C566" i="30" s="1"/>
  <c r="C567" i="30" s="1"/>
  <c r="C568" i="30" s="1"/>
  <c r="C569" i="30" s="1"/>
  <c r="C570" i="30" s="1"/>
  <c r="C571" i="30" s="1"/>
  <c r="C572" i="30" s="1"/>
  <c r="C573" i="30" s="1"/>
  <c r="C574" i="30" s="1"/>
  <c r="C575" i="30" s="1"/>
  <c r="C576" i="30" s="1"/>
  <c r="C577" i="30" s="1"/>
  <c r="C578" i="30" s="1"/>
  <c r="C579" i="30" s="1"/>
  <c r="C580" i="30" s="1"/>
  <c r="C581" i="30" s="1"/>
  <c r="C582" i="30" s="1"/>
  <c r="C583" i="30" s="1"/>
  <c r="C584" i="30" s="1"/>
  <c r="C585" i="30" s="1"/>
  <c r="C586" i="30" s="1"/>
  <c r="C587" i="30" s="1"/>
  <c r="C588" i="30" s="1"/>
  <c r="C589" i="30" s="1"/>
  <c r="C590" i="30" s="1"/>
  <c r="C591" i="30" s="1"/>
  <c r="C592" i="30" s="1"/>
  <c r="C593" i="30" s="1"/>
  <c r="C594" i="30" s="1"/>
  <c r="C595" i="30" s="1"/>
  <c r="C596" i="30" s="1"/>
  <c r="C597" i="30" s="1"/>
  <c r="C598" i="30" s="1"/>
  <c r="C599" i="30" s="1"/>
  <c r="C600" i="30" s="1"/>
  <c r="C601" i="30" s="1"/>
  <c r="C602" i="30" s="1"/>
  <c r="C603" i="30" s="1"/>
  <c r="C604" i="30" s="1"/>
  <c r="C605" i="30" s="1"/>
  <c r="C606" i="30" s="1"/>
  <c r="C607" i="30" s="1"/>
  <c r="C608" i="30" s="1"/>
  <c r="C609" i="30" s="1"/>
  <c r="C610" i="30" s="1"/>
  <c r="C611" i="30" s="1"/>
  <c r="C612" i="30" s="1"/>
  <c r="C613" i="30" s="1"/>
  <c r="C614" i="30" s="1"/>
  <c r="C615" i="30" s="1"/>
  <c r="C616" i="30" s="1"/>
  <c r="C617" i="30" s="1"/>
  <c r="C618" i="30" s="1"/>
  <c r="C619" i="30" s="1"/>
  <c r="C620" i="30" s="1"/>
  <c r="C621" i="30" s="1"/>
  <c r="C622" i="30" s="1"/>
  <c r="C623" i="30" s="1"/>
  <c r="C624" i="30" s="1"/>
  <c r="C625" i="30" s="1"/>
  <c r="C626" i="30" s="1"/>
  <c r="C627" i="30" s="1"/>
  <c r="C628" i="30" s="1"/>
  <c r="C629" i="30" s="1"/>
  <c r="C630" i="30" s="1"/>
  <c r="C631" i="30" s="1"/>
  <c r="C632" i="30" s="1"/>
  <c r="C633" i="30" s="1"/>
  <c r="C634" i="30" s="1"/>
  <c r="C635" i="30" s="1"/>
  <c r="C636" i="30" s="1"/>
  <c r="C637" i="30" s="1"/>
  <c r="C638" i="30" s="1"/>
  <c r="C639" i="30" s="1"/>
  <c r="C640" i="30" s="1"/>
  <c r="C641" i="30" s="1"/>
  <c r="C642" i="30" s="1"/>
  <c r="C643" i="30" s="1"/>
  <c r="C644" i="30" s="1"/>
  <c r="C645" i="30" s="1"/>
  <c r="C646" i="30" s="1"/>
  <c r="C647" i="30" s="1"/>
  <c r="C648" i="30" s="1"/>
  <c r="C649" i="30" s="1"/>
  <c r="C650" i="30" s="1"/>
  <c r="C651" i="30" s="1"/>
  <c r="C652" i="30" s="1"/>
  <c r="C653" i="30" s="1"/>
  <c r="C654" i="30" s="1"/>
  <c r="C655" i="30" s="1"/>
  <c r="C656" i="30" s="1"/>
  <c r="C657" i="30" s="1"/>
  <c r="C658" i="30" s="1"/>
  <c r="C659" i="30" s="1"/>
  <c r="C660" i="30" s="1"/>
  <c r="C661" i="30" s="1"/>
  <c r="C662" i="30" s="1"/>
  <c r="C663" i="30" s="1"/>
  <c r="C664" i="30" s="1"/>
  <c r="C665" i="30" s="1"/>
  <c r="C666" i="30" s="1"/>
  <c r="C667" i="30" s="1"/>
  <c r="C668" i="30" s="1"/>
  <c r="C669" i="30" s="1"/>
  <c r="C670" i="30" s="1"/>
  <c r="C671" i="30" s="1"/>
  <c r="C672" i="30" s="1"/>
  <c r="C673" i="30" s="1"/>
  <c r="C674" i="30" s="1"/>
  <c r="C675" i="30" s="1"/>
  <c r="C676" i="30" s="1"/>
  <c r="C677" i="30" s="1"/>
  <c r="C678" i="30" s="1"/>
  <c r="C679" i="30" s="1"/>
  <c r="C680" i="30" s="1"/>
  <c r="C681" i="30" s="1"/>
  <c r="C682" i="30" s="1"/>
  <c r="C683" i="30" s="1"/>
  <c r="C684" i="30" s="1"/>
  <c r="C685" i="30" s="1"/>
  <c r="C686" i="30" s="1"/>
  <c r="C687" i="30" s="1"/>
  <c r="C688" i="30" s="1"/>
  <c r="C689" i="30" s="1"/>
  <c r="C690" i="30" s="1"/>
  <c r="C691" i="30" s="1"/>
  <c r="C692" i="30" s="1"/>
  <c r="C693" i="30" s="1"/>
  <c r="C694" i="30" s="1"/>
  <c r="C695" i="30" s="1"/>
  <c r="C696" i="30" s="1"/>
  <c r="C697" i="30" s="1"/>
  <c r="C698" i="30" s="1"/>
  <c r="C699" i="30" s="1"/>
  <c r="C700" i="30" s="1"/>
  <c r="C701" i="30" s="1"/>
  <c r="C702" i="30" s="1"/>
  <c r="C703" i="30" s="1"/>
  <c r="C704" i="30" s="1"/>
  <c r="C705" i="30" s="1"/>
  <c r="C706" i="30" s="1"/>
  <c r="C707" i="30" s="1"/>
  <c r="C708" i="30" s="1"/>
  <c r="C709" i="30" s="1"/>
  <c r="C710" i="30" s="1"/>
  <c r="C711" i="30" s="1"/>
  <c r="C712" i="30" s="1"/>
  <c r="C713" i="30" s="1"/>
  <c r="C714" i="30" s="1"/>
  <c r="C715" i="30" s="1"/>
  <c r="C716" i="30" s="1"/>
  <c r="C717" i="30" s="1"/>
  <c r="C718" i="30" s="1"/>
  <c r="C719" i="30" s="1"/>
  <c r="C720" i="30" s="1"/>
  <c r="C721" i="30" s="1"/>
  <c r="C722" i="30" s="1"/>
  <c r="C723" i="30" s="1"/>
  <c r="C724" i="30" s="1"/>
  <c r="C725" i="30" s="1"/>
  <c r="C726" i="30" s="1"/>
  <c r="C727" i="30" s="1"/>
  <c r="C728" i="30" s="1"/>
  <c r="C729" i="30" s="1"/>
  <c r="C730" i="30" s="1"/>
  <c r="C731" i="30" s="1"/>
  <c r="C732" i="30" s="1"/>
  <c r="C733" i="30" s="1"/>
  <c r="C734" i="30" s="1"/>
  <c r="C735" i="30" s="1"/>
  <c r="C736" i="30" s="1"/>
  <c r="C737" i="30" s="1"/>
  <c r="C738" i="30" s="1"/>
  <c r="C739" i="30" s="1"/>
  <c r="C740" i="30" s="1"/>
  <c r="C741" i="30" s="1"/>
  <c r="C742" i="30" s="1"/>
  <c r="C743" i="30" s="1"/>
  <c r="C744" i="30" s="1"/>
  <c r="C745" i="30" s="1"/>
  <c r="C746" i="30" s="1"/>
  <c r="C747" i="30" s="1"/>
  <c r="C748" i="30" s="1"/>
  <c r="C749" i="30" s="1"/>
  <c r="C750" i="30" s="1"/>
  <c r="C751" i="30" s="1"/>
  <c r="C752" i="30" s="1"/>
  <c r="C753" i="30" s="1"/>
  <c r="C754" i="30" s="1"/>
  <c r="C755" i="30" s="1"/>
  <c r="C756" i="30" s="1"/>
  <c r="C757" i="30" s="1"/>
  <c r="C758" i="30" s="1"/>
  <c r="C759" i="30" s="1"/>
  <c r="C760" i="30" s="1"/>
  <c r="C761" i="30" s="1"/>
  <c r="B3" i="30"/>
  <c r="D2" i="30"/>
  <c r="D3" i="30" s="1"/>
  <c r="D4" i="30" s="1"/>
  <c r="D5" i="30" s="1"/>
  <c r="D6" i="30" s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115" i="30" s="1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2" i="30" s="1"/>
  <c r="D163" i="30" s="1"/>
  <c r="D164" i="30" s="1"/>
  <c r="D165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235" i="30" s="1"/>
  <c r="D236" i="30" s="1"/>
  <c r="D237" i="30" s="1"/>
  <c r="D238" i="30" s="1"/>
  <c r="D239" i="30" s="1"/>
  <c r="D240" i="30" s="1"/>
  <c r="D241" i="30" s="1"/>
  <c r="D242" i="30" s="1"/>
  <c r="D243" i="30" s="1"/>
  <c r="D244" i="30" s="1"/>
  <c r="D245" i="30" s="1"/>
  <c r="D246" i="30" s="1"/>
  <c r="D247" i="30" s="1"/>
  <c r="D248" i="30" s="1"/>
  <c r="D249" i="30" s="1"/>
  <c r="D250" i="30" s="1"/>
  <c r="D251" i="30" s="1"/>
  <c r="D252" i="30" s="1"/>
  <c r="D253" i="30" s="1"/>
  <c r="D254" i="30" s="1"/>
  <c r="D255" i="30" s="1"/>
  <c r="D256" i="30" s="1"/>
  <c r="D257" i="30" s="1"/>
  <c r="D258" i="30" s="1"/>
  <c r="D259" i="30" s="1"/>
  <c r="D260" i="30" s="1"/>
  <c r="D261" i="30" s="1"/>
  <c r="D262" i="30" s="1"/>
  <c r="D263" i="30" s="1"/>
  <c r="D264" i="30" s="1"/>
  <c r="D265" i="30" s="1"/>
  <c r="D266" i="30" s="1"/>
  <c r="D267" i="30" s="1"/>
  <c r="D268" i="30" s="1"/>
  <c r="D269" i="30" s="1"/>
  <c r="D270" i="30" s="1"/>
  <c r="D271" i="30" s="1"/>
  <c r="D272" i="30" s="1"/>
  <c r="D273" i="30" s="1"/>
  <c r="D274" i="30" s="1"/>
  <c r="D275" i="30" s="1"/>
  <c r="D276" i="30" s="1"/>
  <c r="D277" i="30" s="1"/>
  <c r="D278" i="30" s="1"/>
  <c r="D279" i="30" s="1"/>
  <c r="D280" i="30" s="1"/>
  <c r="D281" i="30" s="1"/>
  <c r="D282" i="30" s="1"/>
  <c r="D283" i="30" s="1"/>
  <c r="D284" i="30" s="1"/>
  <c r="D285" i="30" s="1"/>
  <c r="D286" i="30" s="1"/>
  <c r="D287" i="30" s="1"/>
  <c r="D288" i="30" s="1"/>
  <c r="D289" i="30" s="1"/>
  <c r="D290" i="30" s="1"/>
  <c r="D291" i="30" s="1"/>
  <c r="D292" i="30" s="1"/>
  <c r="D293" i="30" s="1"/>
  <c r="D294" i="30" s="1"/>
  <c r="D295" i="30" s="1"/>
  <c r="D296" i="30" s="1"/>
  <c r="D297" i="30" s="1"/>
  <c r="D298" i="30" s="1"/>
  <c r="D299" i="30" s="1"/>
  <c r="D300" i="30" s="1"/>
  <c r="D301" i="30" s="1"/>
  <c r="D302" i="30" s="1"/>
  <c r="D303" i="30" s="1"/>
  <c r="D304" i="30" s="1"/>
  <c r="D305" i="30" s="1"/>
  <c r="D306" i="30" s="1"/>
  <c r="D307" i="30" s="1"/>
  <c r="D308" i="30" s="1"/>
  <c r="D309" i="30" s="1"/>
  <c r="D310" i="30" s="1"/>
  <c r="D311" i="30" s="1"/>
  <c r="D312" i="30" s="1"/>
  <c r="D313" i="30" s="1"/>
  <c r="D314" i="30" s="1"/>
  <c r="D315" i="30" s="1"/>
  <c r="D316" i="30" s="1"/>
  <c r="D317" i="30" s="1"/>
  <c r="D318" i="30" s="1"/>
  <c r="D319" i="30" s="1"/>
  <c r="D320" i="30" s="1"/>
  <c r="D321" i="30" s="1"/>
  <c r="D322" i="30" s="1"/>
  <c r="D323" i="30" s="1"/>
  <c r="D324" i="30" s="1"/>
  <c r="D325" i="30" s="1"/>
  <c r="D326" i="30" s="1"/>
  <c r="D327" i="30" s="1"/>
  <c r="D328" i="30" s="1"/>
  <c r="D329" i="30" s="1"/>
  <c r="D330" i="30" s="1"/>
  <c r="D331" i="30" s="1"/>
  <c r="D332" i="30" s="1"/>
  <c r="D333" i="30" s="1"/>
  <c r="D334" i="30" s="1"/>
  <c r="D335" i="30" s="1"/>
  <c r="D336" i="30" s="1"/>
  <c r="D337" i="30" s="1"/>
  <c r="D338" i="30" s="1"/>
  <c r="D339" i="30" s="1"/>
  <c r="D340" i="30" s="1"/>
  <c r="D341" i="30" s="1"/>
  <c r="D342" i="30" s="1"/>
  <c r="D343" i="30" s="1"/>
  <c r="D344" i="30" s="1"/>
  <c r="D345" i="30" s="1"/>
  <c r="D346" i="30" s="1"/>
  <c r="D347" i="30" s="1"/>
  <c r="D348" i="30" s="1"/>
  <c r="D349" i="30" s="1"/>
  <c r="D350" i="30" s="1"/>
  <c r="D351" i="30" s="1"/>
  <c r="D352" i="30" s="1"/>
  <c r="D353" i="30" s="1"/>
  <c r="D354" i="30" s="1"/>
  <c r="D355" i="30" s="1"/>
  <c r="D356" i="30" s="1"/>
  <c r="D357" i="30" s="1"/>
  <c r="D358" i="30" s="1"/>
  <c r="D359" i="30" s="1"/>
  <c r="D360" i="30" s="1"/>
  <c r="D361" i="30" s="1"/>
  <c r="D362" i="30" s="1"/>
  <c r="D363" i="30" s="1"/>
  <c r="D364" i="30" s="1"/>
  <c r="D365" i="30" s="1"/>
  <c r="D366" i="30" s="1"/>
  <c r="D367" i="30" s="1"/>
  <c r="D368" i="30" s="1"/>
  <c r="D369" i="30" s="1"/>
  <c r="D370" i="30" s="1"/>
  <c r="D371" i="30" s="1"/>
  <c r="D372" i="30" s="1"/>
  <c r="D373" i="30" s="1"/>
  <c r="D374" i="30" s="1"/>
  <c r="D375" i="30" s="1"/>
  <c r="D376" i="30" s="1"/>
  <c r="D377" i="30" s="1"/>
  <c r="D378" i="30" s="1"/>
  <c r="D379" i="30" s="1"/>
  <c r="D380" i="30" s="1"/>
  <c r="D381" i="30" s="1"/>
  <c r="D382" i="30" s="1"/>
  <c r="D383" i="30" s="1"/>
  <c r="D384" i="30" s="1"/>
  <c r="D385" i="30" s="1"/>
  <c r="D386" i="30" s="1"/>
  <c r="D387" i="30" s="1"/>
  <c r="D388" i="30" s="1"/>
  <c r="D389" i="30" s="1"/>
  <c r="D390" i="30" s="1"/>
  <c r="D391" i="30" s="1"/>
  <c r="D392" i="30" s="1"/>
  <c r="D393" i="30" s="1"/>
  <c r="D394" i="30" s="1"/>
  <c r="D395" i="30" s="1"/>
  <c r="D396" i="30" s="1"/>
  <c r="D397" i="30" s="1"/>
  <c r="D398" i="30" s="1"/>
  <c r="D399" i="30" s="1"/>
  <c r="D400" i="30" s="1"/>
  <c r="D401" i="30" s="1"/>
  <c r="D402" i="30" s="1"/>
  <c r="D403" i="30" s="1"/>
  <c r="D404" i="30" s="1"/>
  <c r="D405" i="30" s="1"/>
  <c r="D406" i="30" s="1"/>
  <c r="D407" i="30" s="1"/>
  <c r="D408" i="30" s="1"/>
  <c r="D409" i="30" s="1"/>
  <c r="D410" i="30" s="1"/>
  <c r="D411" i="30" s="1"/>
  <c r="D412" i="30" s="1"/>
  <c r="D413" i="30" s="1"/>
  <c r="D414" i="30" s="1"/>
  <c r="D415" i="30" s="1"/>
  <c r="D416" i="30" s="1"/>
  <c r="D417" i="30" s="1"/>
  <c r="D418" i="30" s="1"/>
  <c r="D419" i="30" s="1"/>
  <c r="D420" i="30" s="1"/>
  <c r="D421" i="30" s="1"/>
  <c r="D422" i="30" s="1"/>
  <c r="D423" i="30" s="1"/>
  <c r="D424" i="30" s="1"/>
  <c r="D425" i="30" s="1"/>
  <c r="D426" i="30" s="1"/>
  <c r="D427" i="30" s="1"/>
  <c r="D428" i="30" s="1"/>
  <c r="D429" i="30" s="1"/>
  <c r="D430" i="30" s="1"/>
  <c r="D431" i="30" s="1"/>
  <c r="D432" i="30" s="1"/>
  <c r="D433" i="30" s="1"/>
  <c r="D434" i="30" s="1"/>
  <c r="D435" i="30" s="1"/>
  <c r="D436" i="30" s="1"/>
  <c r="D437" i="30" s="1"/>
  <c r="D438" i="30" s="1"/>
  <c r="D439" i="30" s="1"/>
  <c r="D440" i="30" s="1"/>
  <c r="D441" i="30" s="1"/>
  <c r="D442" i="30" s="1"/>
  <c r="D443" i="30" s="1"/>
  <c r="D444" i="30" s="1"/>
  <c r="D445" i="30" s="1"/>
  <c r="D446" i="30" s="1"/>
  <c r="D447" i="30" s="1"/>
  <c r="D448" i="30" s="1"/>
  <c r="D449" i="30" s="1"/>
  <c r="D450" i="30" s="1"/>
  <c r="D451" i="30" s="1"/>
  <c r="D452" i="30" s="1"/>
  <c r="D453" i="30" s="1"/>
  <c r="D454" i="30" s="1"/>
  <c r="D455" i="30" s="1"/>
  <c r="D456" i="30" s="1"/>
  <c r="D457" i="30" s="1"/>
  <c r="D458" i="30" s="1"/>
  <c r="D459" i="30" s="1"/>
  <c r="D460" i="30" s="1"/>
  <c r="D461" i="30" s="1"/>
  <c r="D462" i="30" s="1"/>
  <c r="D463" i="30" s="1"/>
  <c r="D464" i="30" s="1"/>
  <c r="D465" i="30" s="1"/>
  <c r="D466" i="30" s="1"/>
  <c r="D467" i="30" s="1"/>
  <c r="D468" i="30" s="1"/>
  <c r="D469" i="30" s="1"/>
  <c r="D470" i="30" s="1"/>
  <c r="D471" i="30" s="1"/>
  <c r="D472" i="30" s="1"/>
  <c r="D473" i="30" s="1"/>
  <c r="D474" i="30" s="1"/>
  <c r="D475" i="30" s="1"/>
  <c r="D476" i="30" s="1"/>
  <c r="D477" i="30" s="1"/>
  <c r="D478" i="30" s="1"/>
  <c r="D479" i="30" s="1"/>
  <c r="D480" i="30" s="1"/>
  <c r="D481" i="30" s="1"/>
  <c r="D482" i="30" s="1"/>
  <c r="D483" i="30" s="1"/>
  <c r="D484" i="30" s="1"/>
  <c r="D485" i="30" s="1"/>
  <c r="D486" i="30" s="1"/>
  <c r="D487" i="30" s="1"/>
  <c r="D488" i="30" s="1"/>
  <c r="D489" i="30" s="1"/>
  <c r="D490" i="30" s="1"/>
  <c r="D491" i="30" s="1"/>
  <c r="D492" i="30" s="1"/>
  <c r="D493" i="30" s="1"/>
  <c r="D494" i="30" s="1"/>
  <c r="D495" i="30" s="1"/>
  <c r="D496" i="30" s="1"/>
  <c r="D497" i="30" s="1"/>
  <c r="D498" i="30" s="1"/>
  <c r="D499" i="30" s="1"/>
  <c r="D500" i="30" s="1"/>
  <c r="D501" i="30" s="1"/>
  <c r="D502" i="30" s="1"/>
  <c r="D503" i="30" s="1"/>
  <c r="D504" i="30" s="1"/>
  <c r="D505" i="30" s="1"/>
  <c r="D506" i="30" s="1"/>
  <c r="D507" i="30" s="1"/>
  <c r="D508" i="30" s="1"/>
  <c r="D509" i="30" s="1"/>
  <c r="D510" i="30" s="1"/>
  <c r="D511" i="30" s="1"/>
  <c r="D512" i="30" s="1"/>
  <c r="D513" i="30" s="1"/>
  <c r="D514" i="30" s="1"/>
  <c r="D515" i="30" s="1"/>
  <c r="D516" i="30" s="1"/>
  <c r="D517" i="30" s="1"/>
  <c r="D518" i="30" s="1"/>
  <c r="D519" i="30" s="1"/>
  <c r="D520" i="30" s="1"/>
  <c r="D521" i="30" s="1"/>
  <c r="D522" i="30" s="1"/>
  <c r="D523" i="30" s="1"/>
  <c r="D524" i="30" s="1"/>
  <c r="D525" i="30" s="1"/>
  <c r="D526" i="30" s="1"/>
  <c r="D527" i="30" s="1"/>
  <c r="D528" i="30" s="1"/>
  <c r="D529" i="30" s="1"/>
  <c r="D530" i="30" s="1"/>
  <c r="D531" i="30" s="1"/>
  <c r="D532" i="30" s="1"/>
  <c r="D533" i="30" s="1"/>
  <c r="D534" i="30" s="1"/>
  <c r="D535" i="30" s="1"/>
  <c r="D536" i="30" s="1"/>
  <c r="D537" i="30" s="1"/>
  <c r="D538" i="30" s="1"/>
  <c r="D539" i="30" s="1"/>
  <c r="D540" i="30" s="1"/>
  <c r="D541" i="30" s="1"/>
  <c r="D542" i="30" s="1"/>
  <c r="D543" i="30" s="1"/>
  <c r="D544" i="30" s="1"/>
  <c r="D545" i="30" s="1"/>
  <c r="D546" i="30" s="1"/>
  <c r="D547" i="30" s="1"/>
  <c r="D548" i="30" s="1"/>
  <c r="D549" i="30" s="1"/>
  <c r="D550" i="30" s="1"/>
  <c r="D551" i="30" s="1"/>
  <c r="D552" i="30" s="1"/>
  <c r="D553" i="30" s="1"/>
  <c r="D554" i="30" s="1"/>
  <c r="D555" i="30" s="1"/>
  <c r="D556" i="30" s="1"/>
  <c r="D557" i="30" s="1"/>
  <c r="D558" i="30" s="1"/>
  <c r="D559" i="30" s="1"/>
  <c r="D560" i="30" s="1"/>
  <c r="D561" i="30" s="1"/>
  <c r="D562" i="30" s="1"/>
  <c r="D563" i="30" s="1"/>
  <c r="D564" i="30" s="1"/>
  <c r="D565" i="30" s="1"/>
  <c r="D566" i="30" s="1"/>
  <c r="D567" i="30" s="1"/>
  <c r="D568" i="30" s="1"/>
  <c r="D569" i="30" s="1"/>
  <c r="D570" i="30" s="1"/>
  <c r="D571" i="30" s="1"/>
  <c r="D572" i="30" s="1"/>
  <c r="D573" i="30" s="1"/>
  <c r="D574" i="30" s="1"/>
  <c r="D575" i="30" s="1"/>
  <c r="D576" i="30" s="1"/>
  <c r="D577" i="30" s="1"/>
  <c r="D578" i="30" s="1"/>
  <c r="D579" i="30" s="1"/>
  <c r="D580" i="30" s="1"/>
  <c r="D581" i="30" s="1"/>
  <c r="D582" i="30" s="1"/>
  <c r="D583" i="30" s="1"/>
  <c r="D584" i="30" s="1"/>
  <c r="D585" i="30" s="1"/>
  <c r="D586" i="30" s="1"/>
  <c r="D587" i="30" s="1"/>
  <c r="D588" i="30" s="1"/>
  <c r="D589" i="30" s="1"/>
  <c r="D590" i="30" s="1"/>
  <c r="D591" i="30" s="1"/>
  <c r="D592" i="30" s="1"/>
  <c r="D593" i="30" s="1"/>
  <c r="D594" i="30" s="1"/>
  <c r="D595" i="30" s="1"/>
  <c r="D596" i="30" s="1"/>
  <c r="D597" i="30" s="1"/>
  <c r="D598" i="30" s="1"/>
  <c r="D599" i="30" s="1"/>
  <c r="D600" i="30" s="1"/>
  <c r="D601" i="30" s="1"/>
  <c r="D602" i="30" s="1"/>
  <c r="D603" i="30" s="1"/>
  <c r="D604" i="30" s="1"/>
  <c r="D605" i="30" s="1"/>
  <c r="D606" i="30" s="1"/>
  <c r="D607" i="30" s="1"/>
  <c r="D608" i="30" s="1"/>
  <c r="D609" i="30" s="1"/>
  <c r="D610" i="30" s="1"/>
  <c r="D611" i="30" s="1"/>
  <c r="D612" i="30" s="1"/>
  <c r="D613" i="30" s="1"/>
  <c r="D614" i="30" s="1"/>
  <c r="D615" i="30" s="1"/>
  <c r="D616" i="30" s="1"/>
  <c r="D617" i="30" s="1"/>
  <c r="D618" i="30" s="1"/>
  <c r="D619" i="30" s="1"/>
  <c r="D620" i="30" s="1"/>
  <c r="D621" i="30" s="1"/>
  <c r="D622" i="30" s="1"/>
  <c r="D623" i="30" s="1"/>
  <c r="D624" i="30" s="1"/>
  <c r="D625" i="30" s="1"/>
  <c r="D626" i="30" s="1"/>
  <c r="D627" i="30" s="1"/>
  <c r="D628" i="30" s="1"/>
  <c r="D629" i="30" s="1"/>
  <c r="D630" i="30" s="1"/>
  <c r="D631" i="30" s="1"/>
  <c r="D632" i="30" s="1"/>
  <c r="D633" i="30" s="1"/>
  <c r="D634" i="30" s="1"/>
  <c r="D635" i="30" s="1"/>
  <c r="D636" i="30" s="1"/>
  <c r="D637" i="30" s="1"/>
  <c r="D638" i="30" s="1"/>
  <c r="D639" i="30" s="1"/>
  <c r="D640" i="30" s="1"/>
  <c r="D641" i="30" s="1"/>
  <c r="D642" i="30" s="1"/>
  <c r="D643" i="30" s="1"/>
  <c r="D644" i="30" s="1"/>
  <c r="D645" i="30" s="1"/>
  <c r="D646" i="30" s="1"/>
  <c r="D647" i="30" s="1"/>
  <c r="D648" i="30" s="1"/>
  <c r="D649" i="30" s="1"/>
  <c r="D650" i="30" s="1"/>
  <c r="D651" i="30" s="1"/>
  <c r="D652" i="30" s="1"/>
  <c r="D653" i="30" s="1"/>
  <c r="D654" i="30" s="1"/>
  <c r="D655" i="30" s="1"/>
  <c r="D656" i="30" s="1"/>
  <c r="D657" i="30" s="1"/>
  <c r="D658" i="30" s="1"/>
  <c r="D659" i="30" s="1"/>
  <c r="D660" i="30" s="1"/>
  <c r="D661" i="30" s="1"/>
  <c r="D662" i="30" s="1"/>
  <c r="D663" i="30" s="1"/>
  <c r="D664" i="30" s="1"/>
  <c r="D665" i="30" s="1"/>
  <c r="D666" i="30" s="1"/>
  <c r="D667" i="30" s="1"/>
  <c r="D668" i="30" s="1"/>
  <c r="D669" i="30" s="1"/>
  <c r="D670" i="30" s="1"/>
  <c r="D671" i="30" s="1"/>
  <c r="D672" i="30" s="1"/>
  <c r="D673" i="30" s="1"/>
  <c r="D674" i="30" s="1"/>
  <c r="D675" i="30" s="1"/>
  <c r="D676" i="30" s="1"/>
  <c r="D677" i="30" s="1"/>
  <c r="D678" i="30" s="1"/>
  <c r="D679" i="30" s="1"/>
  <c r="D680" i="30" s="1"/>
  <c r="D681" i="30" s="1"/>
  <c r="D682" i="30" s="1"/>
  <c r="D683" i="30" s="1"/>
  <c r="D684" i="30" s="1"/>
  <c r="D685" i="30" s="1"/>
  <c r="D686" i="30" s="1"/>
  <c r="D687" i="30" s="1"/>
  <c r="D688" i="30" s="1"/>
  <c r="D689" i="30" s="1"/>
  <c r="D690" i="30" s="1"/>
  <c r="D691" i="30" s="1"/>
  <c r="D692" i="30" s="1"/>
  <c r="D693" i="30" s="1"/>
  <c r="D694" i="30" s="1"/>
  <c r="D695" i="30" s="1"/>
  <c r="D696" i="30" s="1"/>
  <c r="D697" i="30" s="1"/>
  <c r="D698" i="30" s="1"/>
  <c r="D699" i="30" s="1"/>
  <c r="D700" i="30" s="1"/>
  <c r="D701" i="30" s="1"/>
  <c r="D702" i="30" s="1"/>
  <c r="D703" i="30" s="1"/>
  <c r="D704" i="30" s="1"/>
  <c r="D705" i="30" s="1"/>
  <c r="D706" i="30" s="1"/>
  <c r="D707" i="30" s="1"/>
  <c r="D708" i="30" s="1"/>
  <c r="D709" i="30" s="1"/>
  <c r="D710" i="30" s="1"/>
  <c r="D711" i="30" s="1"/>
  <c r="D712" i="30" s="1"/>
  <c r="D713" i="30" s="1"/>
  <c r="D714" i="30" s="1"/>
  <c r="D715" i="30" s="1"/>
  <c r="D716" i="30" s="1"/>
  <c r="D717" i="30" s="1"/>
  <c r="D718" i="30" s="1"/>
  <c r="D719" i="30" s="1"/>
  <c r="D720" i="30" s="1"/>
  <c r="D721" i="30" s="1"/>
  <c r="D722" i="30" s="1"/>
  <c r="D723" i="30" s="1"/>
  <c r="D724" i="30" s="1"/>
  <c r="D725" i="30" s="1"/>
  <c r="D726" i="30" s="1"/>
  <c r="D727" i="30" s="1"/>
  <c r="D728" i="30" s="1"/>
  <c r="D729" i="30" s="1"/>
  <c r="D730" i="30" s="1"/>
  <c r="D731" i="30" s="1"/>
  <c r="D732" i="30" s="1"/>
  <c r="D733" i="30" s="1"/>
  <c r="D734" i="30" s="1"/>
  <c r="D735" i="30" s="1"/>
  <c r="D736" i="30" s="1"/>
  <c r="D737" i="30" s="1"/>
  <c r="D738" i="30" s="1"/>
  <c r="D739" i="30" s="1"/>
  <c r="D740" i="30" s="1"/>
  <c r="D741" i="30" s="1"/>
  <c r="D742" i="30" s="1"/>
  <c r="D743" i="30" s="1"/>
  <c r="D744" i="30" s="1"/>
  <c r="D745" i="30" s="1"/>
  <c r="D746" i="30" s="1"/>
  <c r="D747" i="30" s="1"/>
  <c r="D748" i="30" s="1"/>
  <c r="D749" i="30" s="1"/>
  <c r="D750" i="30" s="1"/>
  <c r="D751" i="30" s="1"/>
  <c r="D752" i="30" s="1"/>
  <c r="D753" i="30" s="1"/>
  <c r="D754" i="30" s="1"/>
  <c r="D755" i="30" s="1"/>
  <c r="D756" i="30" s="1"/>
  <c r="D757" i="30" s="1"/>
  <c r="D758" i="30" s="1"/>
  <c r="D759" i="30" s="1"/>
  <c r="D760" i="30" s="1"/>
  <c r="D761" i="30" s="1"/>
  <c r="C2" i="30"/>
  <c r="A2" i="30"/>
  <c r="E2" i="30" s="1"/>
  <c r="G2" i="30" s="1"/>
  <c r="L54" i="29"/>
  <c r="K54" i="29"/>
  <c r="J54" i="29"/>
  <c r="G55" i="29"/>
  <c r="G63" i="29"/>
  <c r="G71" i="29"/>
  <c r="G56" i="29"/>
  <c r="G64" i="29"/>
  <c r="G72" i="29"/>
  <c r="G57" i="29"/>
  <c r="G65" i="29"/>
  <c r="G73" i="29"/>
  <c r="G58" i="29"/>
  <c r="G66" i="29"/>
  <c r="G74" i="29"/>
  <c r="G59" i="29"/>
  <c r="G67" i="29"/>
  <c r="G75" i="29"/>
  <c r="G60" i="29"/>
  <c r="G68" i="29"/>
  <c r="G76" i="29"/>
  <c r="G61" i="29"/>
  <c r="G69" i="29"/>
  <c r="G77" i="29"/>
  <c r="G62" i="29"/>
  <c r="G70" i="29"/>
  <c r="G54" i="29"/>
  <c r="F3" i="30"/>
  <c r="F11" i="30"/>
  <c r="F19" i="30"/>
  <c r="F27" i="30"/>
  <c r="F35" i="30"/>
  <c r="F43" i="30"/>
  <c r="F51" i="30"/>
  <c r="F59" i="30"/>
  <c r="F67" i="30"/>
  <c r="F75" i="30"/>
  <c r="F83" i="30"/>
  <c r="F91" i="30"/>
  <c r="F99" i="30"/>
  <c r="F107" i="30"/>
  <c r="F115" i="30"/>
  <c r="F123" i="30"/>
  <c r="F131" i="30"/>
  <c r="F139" i="30"/>
  <c r="F147" i="30"/>
  <c r="F155" i="30"/>
  <c r="F163" i="30"/>
  <c r="F171" i="30"/>
  <c r="F179" i="30"/>
  <c r="F187" i="30"/>
  <c r="F195" i="30"/>
  <c r="F203" i="30"/>
  <c r="F211" i="30"/>
  <c r="F219" i="30"/>
  <c r="F227" i="30"/>
  <c r="F235" i="30"/>
  <c r="F243" i="30"/>
  <c r="F251" i="30"/>
  <c r="F259" i="30"/>
  <c r="F267" i="30"/>
  <c r="F275" i="30"/>
  <c r="F283" i="30"/>
  <c r="F291" i="30"/>
  <c r="F299" i="30"/>
  <c r="F307" i="30"/>
  <c r="F315" i="30"/>
  <c r="F323" i="30"/>
  <c r="F331" i="30"/>
  <c r="F339" i="30"/>
  <c r="F347" i="30"/>
  <c r="F355" i="30"/>
  <c r="F363" i="30"/>
  <c r="F371" i="30"/>
  <c r="F379" i="30"/>
  <c r="F387" i="30"/>
  <c r="F395" i="30"/>
  <c r="F403" i="30"/>
  <c r="F411" i="30"/>
  <c r="F419" i="30"/>
  <c r="F427" i="30"/>
  <c r="F435" i="30"/>
  <c r="F443" i="30"/>
  <c r="F451" i="30"/>
  <c r="F459" i="30"/>
  <c r="F467" i="30"/>
  <c r="F475" i="30"/>
  <c r="F483" i="30"/>
  <c r="F491" i="30"/>
  <c r="F499" i="30"/>
  <c r="F507" i="30"/>
  <c r="F515" i="30"/>
  <c r="F523" i="30"/>
  <c r="F531" i="30"/>
  <c r="F539" i="30"/>
  <c r="F547" i="30"/>
  <c r="F555" i="30"/>
  <c r="F563" i="30"/>
  <c r="F571" i="30"/>
  <c r="F579" i="30"/>
  <c r="F587" i="30"/>
  <c r="F595" i="30"/>
  <c r="F603" i="30"/>
  <c r="F611" i="30"/>
  <c r="F619" i="30"/>
  <c r="F627" i="30"/>
  <c r="F635" i="30"/>
  <c r="F643" i="30"/>
  <c r="F651" i="30"/>
  <c r="F659" i="30"/>
  <c r="F667" i="30"/>
  <c r="F675" i="30"/>
  <c r="F683" i="30"/>
  <c r="F691" i="30"/>
  <c r="F699" i="30"/>
  <c r="F707" i="30"/>
  <c r="F715" i="30"/>
  <c r="F723" i="30"/>
  <c r="F731" i="30"/>
  <c r="F739" i="30"/>
  <c r="F747" i="30"/>
  <c r="F755" i="30"/>
  <c r="F756" i="30"/>
  <c r="F13" i="30"/>
  <c r="F29" i="30"/>
  <c r="F45" i="30"/>
  <c r="F61" i="30"/>
  <c r="F69" i="30"/>
  <c r="F93" i="30"/>
  <c r="F109" i="30"/>
  <c r="F125" i="30"/>
  <c r="F149" i="30"/>
  <c r="F165" i="30"/>
  <c r="F181" i="30"/>
  <c r="F197" i="30"/>
  <c r="F213" i="30"/>
  <c r="F229" i="30"/>
  <c r="F245" i="30"/>
  <c r="F261" i="30"/>
  <c r="F269" i="30"/>
  <c r="F285" i="30"/>
  <c r="F301" i="30"/>
  <c r="F309" i="30"/>
  <c r="F325" i="30"/>
  <c r="F341" i="30"/>
  <c r="F357" i="30"/>
  <c r="F365" i="30"/>
  <c r="F381" i="30"/>
  <c r="F397" i="30"/>
  <c r="F413" i="30"/>
  <c r="F429" i="30"/>
  <c r="F445" i="30"/>
  <c r="F453" i="30"/>
  <c r="F469" i="30"/>
  <c r="F4" i="30"/>
  <c r="F12" i="30"/>
  <c r="F20" i="30"/>
  <c r="F28" i="30"/>
  <c r="F36" i="30"/>
  <c r="F44" i="30"/>
  <c r="F52" i="30"/>
  <c r="F60" i="30"/>
  <c r="F68" i="30"/>
  <c r="F76" i="30"/>
  <c r="F84" i="30"/>
  <c r="F92" i="30"/>
  <c r="F100" i="30"/>
  <c r="F108" i="30"/>
  <c r="F116" i="30"/>
  <c r="F124" i="30"/>
  <c r="F132" i="30"/>
  <c r="F140" i="30"/>
  <c r="F148" i="30"/>
  <c r="F156" i="30"/>
  <c r="F164" i="30"/>
  <c r="F172" i="30"/>
  <c r="F180" i="30"/>
  <c r="F188" i="30"/>
  <c r="F196" i="30"/>
  <c r="F204" i="30"/>
  <c r="F212" i="30"/>
  <c r="F220" i="30"/>
  <c r="F228" i="30"/>
  <c r="F236" i="30"/>
  <c r="F244" i="30"/>
  <c r="F252" i="30"/>
  <c r="F260" i="30"/>
  <c r="F268" i="30"/>
  <c r="F276" i="30"/>
  <c r="F284" i="30"/>
  <c r="F292" i="30"/>
  <c r="F300" i="30"/>
  <c r="F308" i="30"/>
  <c r="F316" i="30"/>
  <c r="F324" i="30"/>
  <c r="F332" i="30"/>
  <c r="F340" i="30"/>
  <c r="F348" i="30"/>
  <c r="F356" i="30"/>
  <c r="F364" i="30"/>
  <c r="F372" i="30"/>
  <c r="F380" i="30"/>
  <c r="F388" i="30"/>
  <c r="F396" i="30"/>
  <c r="F404" i="30"/>
  <c r="F412" i="30"/>
  <c r="F420" i="30"/>
  <c r="F428" i="30"/>
  <c r="F436" i="30"/>
  <c r="F444" i="30"/>
  <c r="F452" i="30"/>
  <c r="F460" i="30"/>
  <c r="F468" i="30"/>
  <c r="F476" i="30"/>
  <c r="F484" i="30"/>
  <c r="F492" i="30"/>
  <c r="F500" i="30"/>
  <c r="F508" i="30"/>
  <c r="F516" i="30"/>
  <c r="F524" i="30"/>
  <c r="F532" i="30"/>
  <c r="F540" i="30"/>
  <c r="F548" i="30"/>
  <c r="F556" i="30"/>
  <c r="F564" i="30"/>
  <c r="F572" i="30"/>
  <c r="F580" i="30"/>
  <c r="F588" i="30"/>
  <c r="F596" i="30"/>
  <c r="F604" i="30"/>
  <c r="F612" i="30"/>
  <c r="F620" i="30"/>
  <c r="F628" i="30"/>
  <c r="F636" i="30"/>
  <c r="F644" i="30"/>
  <c r="F652" i="30"/>
  <c r="F660" i="30"/>
  <c r="F668" i="30"/>
  <c r="F676" i="30"/>
  <c r="F684" i="30"/>
  <c r="F692" i="30"/>
  <c r="F700" i="30"/>
  <c r="F708" i="30"/>
  <c r="F716" i="30"/>
  <c r="F724" i="30"/>
  <c r="F732" i="30"/>
  <c r="F740" i="30"/>
  <c r="F748" i="30"/>
  <c r="F5" i="30"/>
  <c r="F21" i="30"/>
  <c r="F37" i="30"/>
  <c r="F53" i="30"/>
  <c r="F77" i="30"/>
  <c r="F85" i="30"/>
  <c r="F101" i="30"/>
  <c r="F117" i="30"/>
  <c r="F133" i="30"/>
  <c r="F141" i="30"/>
  <c r="F157" i="30"/>
  <c r="F173" i="30"/>
  <c r="F189" i="30"/>
  <c r="F205" i="30"/>
  <c r="F221" i="30"/>
  <c r="F237" i="30"/>
  <c r="F253" i="30"/>
  <c r="F277" i="30"/>
  <c r="F293" i="30"/>
  <c r="F317" i="30"/>
  <c r="F333" i="30"/>
  <c r="F349" i="30"/>
  <c r="F373" i="30"/>
  <c r="F389" i="30"/>
  <c r="F405" i="30"/>
  <c r="F421" i="30"/>
  <c r="F437" i="30"/>
  <c r="F461" i="30"/>
  <c r="F477" i="30"/>
  <c r="F6" i="30"/>
  <c r="F17" i="30"/>
  <c r="F31" i="30"/>
  <c r="F42" i="30"/>
  <c r="F56" i="30"/>
  <c r="F70" i="30"/>
  <c r="F81" i="30"/>
  <c r="F95" i="30"/>
  <c r="F106" i="30"/>
  <c r="F120" i="30"/>
  <c r="F134" i="30"/>
  <c r="F145" i="30"/>
  <c r="F159" i="30"/>
  <c r="F170" i="30"/>
  <c r="F184" i="30"/>
  <c r="F198" i="30"/>
  <c r="F209" i="30"/>
  <c r="F223" i="30"/>
  <c r="F234" i="30"/>
  <c r="F248" i="30"/>
  <c r="F262" i="30"/>
  <c r="F273" i="30"/>
  <c r="F287" i="30"/>
  <c r="F298" i="30"/>
  <c r="F312" i="30"/>
  <c r="F326" i="30"/>
  <c r="F337" i="30"/>
  <c r="F351" i="30"/>
  <c r="F362" i="30"/>
  <c r="F376" i="30"/>
  <c r="F390" i="30"/>
  <c r="F401" i="30"/>
  <c r="F415" i="30"/>
  <c r="F426" i="30"/>
  <c r="F440" i="30"/>
  <c r="F454" i="30"/>
  <c r="F465" i="30"/>
  <c r="F479" i="30"/>
  <c r="F489" i="30"/>
  <c r="F501" i="30"/>
  <c r="F511" i="30"/>
  <c r="F521" i="30"/>
  <c r="F533" i="30"/>
  <c r="F543" i="30"/>
  <c r="F553" i="30"/>
  <c r="F565" i="30"/>
  <c r="F575" i="30"/>
  <c r="F585" i="30"/>
  <c r="F597" i="30"/>
  <c r="F607" i="30"/>
  <c r="F617" i="30"/>
  <c r="F629" i="30"/>
  <c r="F639" i="30"/>
  <c r="F649" i="30"/>
  <c r="F661" i="30"/>
  <c r="F671" i="30"/>
  <c r="F681" i="30"/>
  <c r="F693" i="30"/>
  <c r="F703" i="30"/>
  <c r="F713" i="30"/>
  <c r="F725" i="30"/>
  <c r="F735" i="30"/>
  <c r="F745" i="30"/>
  <c r="F757" i="30"/>
  <c r="F673" i="30"/>
  <c r="F695" i="30"/>
  <c r="F727" i="30"/>
  <c r="F9" i="30"/>
  <c r="F48" i="30"/>
  <c r="F73" i="30"/>
  <c r="F112" i="30"/>
  <c r="F151" i="30"/>
  <c r="F201" i="30"/>
  <c r="F240" i="30"/>
  <c r="F279" i="30"/>
  <c r="F318" i="30"/>
  <c r="F354" i="30"/>
  <c r="F393" i="30"/>
  <c r="F432" i="30"/>
  <c r="F471" i="30"/>
  <c r="F504" i="30"/>
  <c r="F546" i="30"/>
  <c r="F578" i="30"/>
  <c r="F610" i="30"/>
  <c r="F632" i="30"/>
  <c r="F674" i="30"/>
  <c r="F696" i="30"/>
  <c r="F738" i="30"/>
  <c r="F760" i="30"/>
  <c r="F38" i="30"/>
  <c r="F88" i="30"/>
  <c r="F127" i="30"/>
  <c r="F166" i="30"/>
  <c r="F202" i="30"/>
  <c r="F230" i="30"/>
  <c r="F280" i="30"/>
  <c r="F319" i="30"/>
  <c r="F358" i="30"/>
  <c r="F394" i="30"/>
  <c r="F433" i="30"/>
  <c r="F472" i="30"/>
  <c r="F505" i="30"/>
  <c r="F537" i="30"/>
  <c r="F569" i="30"/>
  <c r="F601" i="30"/>
  <c r="F633" i="30"/>
  <c r="F665" i="30"/>
  <c r="F697" i="30"/>
  <c r="F729" i="30"/>
  <c r="F761" i="30"/>
  <c r="F39" i="30"/>
  <c r="F89" i="30"/>
  <c r="F114" i="30"/>
  <c r="F153" i="30"/>
  <c r="F206" i="30"/>
  <c r="F231" i="30"/>
  <c r="F270" i="30"/>
  <c r="F320" i="30"/>
  <c r="F359" i="30"/>
  <c r="F398" i="30"/>
  <c r="F434" i="30"/>
  <c r="F473" i="30"/>
  <c r="F506" i="30"/>
  <c r="F538" i="30"/>
  <c r="F570" i="30"/>
  <c r="F7" i="30"/>
  <c r="F18" i="30"/>
  <c r="F32" i="30"/>
  <c r="F46" i="30"/>
  <c r="F57" i="30"/>
  <c r="F71" i="30"/>
  <c r="F82" i="30"/>
  <c r="F96" i="30"/>
  <c r="F110" i="30"/>
  <c r="F121" i="30"/>
  <c r="F135" i="30"/>
  <c r="F146" i="30"/>
  <c r="F160" i="30"/>
  <c r="F174" i="30"/>
  <c r="F185" i="30"/>
  <c r="F199" i="30"/>
  <c r="F210" i="30"/>
  <c r="F224" i="30"/>
  <c r="F238" i="30"/>
  <c r="F249" i="30"/>
  <c r="F263" i="30"/>
  <c r="F274" i="30"/>
  <c r="F288" i="30"/>
  <c r="F302" i="30"/>
  <c r="F313" i="30"/>
  <c r="F327" i="30"/>
  <c r="F338" i="30"/>
  <c r="F352" i="30"/>
  <c r="F366" i="30"/>
  <c r="F377" i="30"/>
  <c r="F391" i="30"/>
  <c r="F402" i="30"/>
  <c r="F416" i="30"/>
  <c r="F430" i="30"/>
  <c r="F441" i="30"/>
  <c r="F455" i="30"/>
  <c r="F466" i="30"/>
  <c r="F480" i="30"/>
  <c r="F490" i="30"/>
  <c r="F502" i="30"/>
  <c r="F512" i="30"/>
  <c r="F522" i="30"/>
  <c r="F534" i="30"/>
  <c r="F544" i="30"/>
  <c r="F554" i="30"/>
  <c r="F566" i="30"/>
  <c r="F576" i="30"/>
  <c r="F586" i="30"/>
  <c r="F598" i="30"/>
  <c r="F608" i="30"/>
  <c r="F618" i="30"/>
  <c r="F630" i="30"/>
  <c r="F640" i="30"/>
  <c r="F650" i="30"/>
  <c r="F662" i="30"/>
  <c r="F672" i="30"/>
  <c r="F682" i="30"/>
  <c r="F694" i="30"/>
  <c r="F704" i="30"/>
  <c r="F714" i="30"/>
  <c r="F726" i="30"/>
  <c r="F736" i="30"/>
  <c r="F746" i="30"/>
  <c r="F758" i="30"/>
  <c r="F663" i="30"/>
  <c r="F705" i="30"/>
  <c r="F737" i="30"/>
  <c r="F759" i="30"/>
  <c r="F34" i="30"/>
  <c r="F87" i="30"/>
  <c r="F126" i="30"/>
  <c r="F162" i="30"/>
  <c r="F190" i="30"/>
  <c r="F226" i="30"/>
  <c r="F265" i="30"/>
  <c r="F304" i="30"/>
  <c r="F343" i="30"/>
  <c r="F382" i="30"/>
  <c r="F407" i="30"/>
  <c r="F457" i="30"/>
  <c r="F494" i="30"/>
  <c r="F514" i="30"/>
  <c r="F536" i="30"/>
  <c r="F568" i="30"/>
  <c r="F600" i="30"/>
  <c r="F642" i="30"/>
  <c r="F664" i="30"/>
  <c r="F706" i="30"/>
  <c r="F728" i="30"/>
  <c r="F10" i="30"/>
  <c r="F49" i="30"/>
  <c r="F74" i="30"/>
  <c r="F113" i="30"/>
  <c r="F152" i="30"/>
  <c r="F191" i="30"/>
  <c r="F241" i="30"/>
  <c r="F266" i="30"/>
  <c r="F305" i="30"/>
  <c r="F344" i="30"/>
  <c r="F383" i="30"/>
  <c r="F422" i="30"/>
  <c r="F458" i="30"/>
  <c r="F495" i="30"/>
  <c r="F527" i="30"/>
  <c r="F559" i="30"/>
  <c r="F591" i="30"/>
  <c r="F623" i="30"/>
  <c r="F655" i="30"/>
  <c r="F677" i="30"/>
  <c r="F709" i="30"/>
  <c r="F741" i="30"/>
  <c r="F14" i="30"/>
  <c r="F50" i="30"/>
  <c r="F78" i="30"/>
  <c r="F128" i="30"/>
  <c r="F167" i="30"/>
  <c r="F192" i="30"/>
  <c r="F242" i="30"/>
  <c r="F281" i="30"/>
  <c r="F306" i="30"/>
  <c r="F345" i="30"/>
  <c r="F370" i="30"/>
  <c r="F409" i="30"/>
  <c r="F448" i="30"/>
  <c r="F486" i="30"/>
  <c r="F518" i="30"/>
  <c r="F550" i="30"/>
  <c r="F8" i="30"/>
  <c r="F22" i="30"/>
  <c r="F33" i="30"/>
  <c r="F47" i="30"/>
  <c r="F58" i="30"/>
  <c r="F72" i="30"/>
  <c r="F86" i="30"/>
  <c r="F97" i="30"/>
  <c r="F111" i="30"/>
  <c r="F122" i="30"/>
  <c r="F136" i="30"/>
  <c r="F150" i="30"/>
  <c r="F161" i="30"/>
  <c r="F175" i="30"/>
  <c r="F186" i="30"/>
  <c r="F200" i="30"/>
  <c r="F214" i="30"/>
  <c r="F225" i="30"/>
  <c r="F239" i="30"/>
  <c r="F250" i="30"/>
  <c r="F264" i="30"/>
  <c r="F278" i="30"/>
  <c r="F289" i="30"/>
  <c r="F303" i="30"/>
  <c r="F314" i="30"/>
  <c r="F328" i="30"/>
  <c r="F342" i="30"/>
  <c r="F353" i="30"/>
  <c r="F367" i="30"/>
  <c r="F378" i="30"/>
  <c r="F392" i="30"/>
  <c r="F406" i="30"/>
  <c r="F417" i="30"/>
  <c r="F431" i="30"/>
  <c r="F442" i="30"/>
  <c r="F456" i="30"/>
  <c r="F470" i="30"/>
  <c r="F481" i="30"/>
  <c r="F493" i="30"/>
  <c r="F503" i="30"/>
  <c r="F513" i="30"/>
  <c r="F525" i="30"/>
  <c r="F535" i="30"/>
  <c r="F545" i="30"/>
  <c r="F557" i="30"/>
  <c r="F567" i="30"/>
  <c r="F577" i="30"/>
  <c r="F589" i="30"/>
  <c r="F599" i="30"/>
  <c r="F609" i="30"/>
  <c r="F621" i="30"/>
  <c r="F631" i="30"/>
  <c r="F641" i="30"/>
  <c r="F653" i="30"/>
  <c r="F685" i="30"/>
  <c r="F717" i="30"/>
  <c r="F749" i="30"/>
  <c r="F23" i="30"/>
  <c r="F62" i="30"/>
  <c r="F98" i="30"/>
  <c r="F137" i="30"/>
  <c r="F176" i="30"/>
  <c r="F215" i="30"/>
  <c r="F254" i="30"/>
  <c r="F290" i="30"/>
  <c r="F329" i="30"/>
  <c r="F368" i="30"/>
  <c r="F418" i="30"/>
  <c r="F446" i="30"/>
  <c r="F482" i="30"/>
  <c r="F526" i="30"/>
  <c r="F558" i="30"/>
  <c r="F590" i="30"/>
  <c r="F622" i="30"/>
  <c r="F654" i="30"/>
  <c r="F686" i="30"/>
  <c r="F718" i="30"/>
  <c r="F750" i="30"/>
  <c r="F24" i="30"/>
  <c r="F63" i="30"/>
  <c r="F102" i="30"/>
  <c r="F138" i="30"/>
  <c r="F177" i="30"/>
  <c r="F216" i="30"/>
  <c r="F255" i="30"/>
  <c r="F294" i="30"/>
  <c r="F330" i="30"/>
  <c r="F369" i="30"/>
  <c r="F408" i="30"/>
  <c r="F447" i="30"/>
  <c r="F485" i="30"/>
  <c r="F517" i="30"/>
  <c r="F549" i="30"/>
  <c r="F581" i="30"/>
  <c r="F613" i="30"/>
  <c r="F645" i="30"/>
  <c r="F687" i="30"/>
  <c r="F719" i="30"/>
  <c r="F751" i="30"/>
  <c r="F25" i="30"/>
  <c r="F64" i="30"/>
  <c r="F103" i="30"/>
  <c r="F142" i="30"/>
  <c r="F178" i="30"/>
  <c r="F217" i="30"/>
  <c r="F256" i="30"/>
  <c r="F295" i="30"/>
  <c r="F334" i="30"/>
  <c r="F384" i="30"/>
  <c r="F423" i="30"/>
  <c r="F462" i="30"/>
  <c r="F496" i="30"/>
  <c r="F528" i="30"/>
  <c r="F560" i="30"/>
  <c r="F15" i="30"/>
  <c r="F65" i="30"/>
  <c r="F118" i="30"/>
  <c r="F168" i="30"/>
  <c r="F218" i="30"/>
  <c r="F271" i="30"/>
  <c r="F321" i="30"/>
  <c r="F374" i="30"/>
  <c r="F424" i="30"/>
  <c r="F474" i="30"/>
  <c r="F519" i="30"/>
  <c r="F561" i="30"/>
  <c r="F593" i="30"/>
  <c r="F624" i="30"/>
  <c r="F648" i="30"/>
  <c r="F679" i="30"/>
  <c r="F710" i="30"/>
  <c r="F734" i="30"/>
  <c r="F656" i="30"/>
  <c r="F711" i="30"/>
  <c r="F487" i="30"/>
  <c r="F657" i="30"/>
  <c r="F743" i="30"/>
  <c r="F80" i="30"/>
  <c r="F233" i="30"/>
  <c r="F336" i="30"/>
  <c r="F530" i="30"/>
  <c r="F634" i="30"/>
  <c r="F720" i="30"/>
  <c r="F90" i="30"/>
  <c r="F246" i="30"/>
  <c r="F399" i="30"/>
  <c r="F541" i="30"/>
  <c r="F637" i="30"/>
  <c r="F721" i="30"/>
  <c r="F94" i="30"/>
  <c r="F247" i="30"/>
  <c r="F400" i="30"/>
  <c r="F542" i="30"/>
  <c r="F638" i="30"/>
  <c r="F698" i="30"/>
  <c r="F54" i="30"/>
  <c r="F207" i="30"/>
  <c r="F360" i="30"/>
  <c r="F509" i="30"/>
  <c r="F584" i="30"/>
  <c r="F670" i="30"/>
  <c r="F730" i="30"/>
  <c r="F105" i="30"/>
  <c r="F258" i="30"/>
  <c r="F414" i="30"/>
  <c r="F552" i="30"/>
  <c r="F647" i="30"/>
  <c r="F733" i="30"/>
  <c r="F16" i="30"/>
  <c r="F66" i="30"/>
  <c r="F119" i="30"/>
  <c r="F169" i="30"/>
  <c r="F222" i="30"/>
  <c r="F272" i="30"/>
  <c r="F322" i="30"/>
  <c r="F375" i="30"/>
  <c r="F425" i="30"/>
  <c r="F478" i="30"/>
  <c r="F520" i="30"/>
  <c r="F562" i="30"/>
  <c r="F594" i="30"/>
  <c r="F625" i="30"/>
  <c r="F680" i="30"/>
  <c r="F742" i="30"/>
  <c r="F573" i="30"/>
  <c r="F626" i="30"/>
  <c r="F712" i="30"/>
  <c r="F130" i="30"/>
  <c r="F386" i="30"/>
  <c r="F488" i="30"/>
  <c r="F605" i="30"/>
  <c r="F689" i="30"/>
  <c r="F40" i="30"/>
  <c r="F193" i="30"/>
  <c r="F346" i="30"/>
  <c r="F497" i="30"/>
  <c r="F606" i="30"/>
  <c r="F690" i="30"/>
  <c r="F41" i="30"/>
  <c r="F194" i="30"/>
  <c r="F350" i="30"/>
  <c r="F498" i="30"/>
  <c r="F614" i="30"/>
  <c r="F722" i="30"/>
  <c r="F154" i="30"/>
  <c r="F310" i="30"/>
  <c r="F463" i="30"/>
  <c r="F615" i="30"/>
  <c r="F754" i="30"/>
  <c r="F158" i="30"/>
  <c r="F311" i="30"/>
  <c r="F464" i="30"/>
  <c r="F592" i="30"/>
  <c r="F678" i="30"/>
  <c r="F26" i="30"/>
  <c r="F79" i="30"/>
  <c r="F129" i="30"/>
  <c r="F182" i="30"/>
  <c r="F232" i="30"/>
  <c r="F282" i="30"/>
  <c r="F335" i="30"/>
  <c r="F385" i="30"/>
  <c r="F438" i="30"/>
  <c r="F529" i="30"/>
  <c r="F602" i="30"/>
  <c r="F688" i="30"/>
  <c r="F30" i="30"/>
  <c r="F183" i="30"/>
  <c r="F286" i="30"/>
  <c r="F439" i="30"/>
  <c r="F574" i="30"/>
  <c r="F658" i="30"/>
  <c r="F744" i="30"/>
  <c r="F143" i="30"/>
  <c r="F296" i="30"/>
  <c r="F449" i="30"/>
  <c r="F582" i="30"/>
  <c r="F666" i="30"/>
  <c r="F752" i="30"/>
  <c r="F144" i="30"/>
  <c r="F297" i="30"/>
  <c r="F450" i="30"/>
  <c r="F583" i="30"/>
  <c r="F669" i="30"/>
  <c r="F753" i="30"/>
  <c r="F104" i="30"/>
  <c r="F257" i="30"/>
  <c r="F410" i="30"/>
  <c r="F551" i="30"/>
  <c r="F646" i="30"/>
  <c r="F701" i="30"/>
  <c r="F55" i="30"/>
  <c r="F208" i="30"/>
  <c r="F361" i="30"/>
  <c r="F510" i="30"/>
  <c r="F616" i="30"/>
  <c r="F702" i="30"/>
  <c r="F2" i="30"/>
  <c r="I28" i="30"/>
  <c r="Q28" i="30"/>
  <c r="P29" i="30"/>
  <c r="O30" i="30"/>
  <c r="N31" i="30"/>
  <c r="M32" i="30"/>
  <c r="L33" i="30"/>
  <c r="K34" i="30"/>
  <c r="J35" i="30"/>
  <c r="I36" i="30"/>
  <c r="Q36" i="30"/>
  <c r="P37" i="30"/>
  <c r="O38" i="30"/>
  <c r="N39" i="30"/>
  <c r="M40" i="30"/>
  <c r="L41" i="30"/>
  <c r="K42" i="30"/>
  <c r="J43" i="30"/>
  <c r="I44" i="30"/>
  <c r="Q44" i="30"/>
  <c r="P45" i="30"/>
  <c r="O46" i="30"/>
  <c r="N47" i="30"/>
  <c r="M48" i="30"/>
  <c r="L49" i="30"/>
  <c r="K50" i="30"/>
  <c r="J51" i="30"/>
  <c r="I52" i="30"/>
  <c r="Q52" i="30"/>
  <c r="P53" i="30"/>
  <c r="O54" i="30"/>
  <c r="N55" i="30"/>
  <c r="M56" i="30"/>
  <c r="L57" i="30"/>
  <c r="K58" i="30"/>
  <c r="J59" i="30"/>
  <c r="I60" i="30"/>
  <c r="Q60" i="30"/>
  <c r="P61" i="30"/>
  <c r="O62" i="30"/>
  <c r="N63" i="30"/>
  <c r="M64" i="30"/>
  <c r="L65" i="30"/>
  <c r="K66" i="30"/>
  <c r="J67" i="30"/>
  <c r="I68" i="30"/>
  <c r="Q68" i="30"/>
  <c r="P69" i="30"/>
  <c r="O70" i="30"/>
  <c r="N71" i="30"/>
  <c r="M72" i="30"/>
  <c r="L73" i="30"/>
  <c r="K74" i="30"/>
  <c r="J75" i="30"/>
  <c r="I76" i="30"/>
  <c r="Q76" i="30"/>
  <c r="P77" i="30"/>
  <c r="O78" i="30"/>
  <c r="N79" i="30"/>
  <c r="M80" i="30"/>
  <c r="L81" i="30"/>
  <c r="K82" i="30"/>
  <c r="J83" i="30"/>
  <c r="I84" i="30"/>
  <c r="Q84" i="30"/>
  <c r="P85" i="30"/>
  <c r="O86" i="30"/>
  <c r="N87" i="30"/>
  <c r="M88" i="30"/>
  <c r="L89" i="30"/>
  <c r="K90" i="30"/>
  <c r="J91" i="30"/>
  <c r="I92" i="30"/>
  <c r="Q92" i="30"/>
  <c r="P93" i="30"/>
  <c r="O94" i="30"/>
  <c r="N95" i="30"/>
  <c r="M96" i="30"/>
  <c r="L97" i="30"/>
  <c r="K98" i="30"/>
  <c r="J99" i="30"/>
  <c r="I100" i="30"/>
  <c r="Q100" i="30"/>
  <c r="P101" i="30"/>
  <c r="O102" i="30"/>
  <c r="N103" i="30"/>
  <c r="M104" i="30"/>
  <c r="L105" i="30"/>
  <c r="K106" i="30"/>
  <c r="J107" i="30"/>
  <c r="I108" i="30"/>
  <c r="Q108" i="30"/>
  <c r="P109" i="30"/>
  <c r="O110" i="30"/>
  <c r="N111" i="30"/>
  <c r="M112" i="30"/>
  <c r="L113" i="30"/>
  <c r="K114" i="30"/>
  <c r="J115" i="30"/>
  <c r="I116" i="30"/>
  <c r="Q116" i="30"/>
  <c r="P117" i="30"/>
  <c r="O118" i="30"/>
  <c r="N119" i="30"/>
  <c r="J28" i="30"/>
  <c r="I29" i="30"/>
  <c r="Q29" i="30"/>
  <c r="P30" i="30"/>
  <c r="O31" i="30"/>
  <c r="N32" i="30"/>
  <c r="M33" i="30"/>
  <c r="L34" i="30"/>
  <c r="K35" i="30"/>
  <c r="J36" i="30"/>
  <c r="I37" i="30"/>
  <c r="Q37" i="30"/>
  <c r="P38" i="30"/>
  <c r="O39" i="30"/>
  <c r="N40" i="30"/>
  <c r="M41" i="30"/>
  <c r="L42" i="30"/>
  <c r="K43" i="30"/>
  <c r="J44" i="30"/>
  <c r="I45" i="30"/>
  <c r="Q45" i="30"/>
  <c r="P46" i="30"/>
  <c r="O47" i="30"/>
  <c r="N48" i="30"/>
  <c r="M49" i="30"/>
  <c r="L50" i="30"/>
  <c r="K51" i="30"/>
  <c r="J52" i="30"/>
  <c r="I53" i="30"/>
  <c r="Q53" i="30"/>
  <c r="P54" i="30"/>
  <c r="O55" i="30"/>
  <c r="N56" i="30"/>
  <c r="M57" i="30"/>
  <c r="L58" i="30"/>
  <c r="K59" i="30"/>
  <c r="J60" i="30"/>
  <c r="I61" i="30"/>
  <c r="Q61" i="30"/>
  <c r="P62" i="30"/>
  <c r="O63" i="30"/>
  <c r="N64" i="30"/>
  <c r="M65" i="30"/>
  <c r="L66" i="30"/>
  <c r="K67" i="30"/>
  <c r="J68" i="30"/>
  <c r="I69" i="30"/>
  <c r="Q69" i="30"/>
  <c r="P70" i="30"/>
  <c r="O71" i="30"/>
  <c r="N72" i="30"/>
  <c r="M73" i="30"/>
  <c r="L74" i="30"/>
  <c r="K75" i="30"/>
  <c r="J76" i="30"/>
  <c r="I77" i="30"/>
  <c r="Q77" i="30"/>
  <c r="P78" i="30"/>
  <c r="O79" i="30"/>
  <c r="N80" i="30"/>
  <c r="M81" i="30"/>
  <c r="L82" i="30"/>
  <c r="K83" i="30"/>
  <c r="J84" i="30"/>
  <c r="I85" i="30"/>
  <c r="Q85" i="30"/>
  <c r="P86" i="30"/>
  <c r="O87" i="30"/>
  <c r="N88" i="30"/>
  <c r="M89" i="30"/>
  <c r="L90" i="30"/>
  <c r="K91" i="30"/>
  <c r="J92" i="30"/>
  <c r="I93" i="30"/>
  <c r="Q93" i="30"/>
  <c r="P94" i="30"/>
  <c r="O95" i="30"/>
  <c r="N96" i="30"/>
  <c r="M97" i="30"/>
  <c r="L98" i="30"/>
  <c r="K99" i="30"/>
  <c r="J100" i="30"/>
  <c r="I101" i="30"/>
  <c r="Q101" i="30"/>
  <c r="P102" i="30"/>
  <c r="O103" i="30"/>
  <c r="N104" i="30"/>
  <c r="M105" i="30"/>
  <c r="L106" i="30"/>
  <c r="K107" i="30"/>
  <c r="J108" i="30"/>
  <c r="I109" i="30"/>
  <c r="Q109" i="30"/>
  <c r="P110" i="30"/>
  <c r="O111" i="30"/>
  <c r="N112" i="30"/>
  <c r="M113" i="30"/>
  <c r="L114" i="30"/>
  <c r="K115" i="30"/>
  <c r="J116" i="30"/>
  <c r="I117" i="30"/>
  <c r="Q117" i="30"/>
  <c r="P118" i="30"/>
  <c r="O119" i="30"/>
  <c r="N120" i="30"/>
  <c r="K28" i="30"/>
  <c r="J29" i="30"/>
  <c r="I30" i="30"/>
  <c r="Q30" i="30"/>
  <c r="P31" i="30"/>
  <c r="O32" i="30"/>
  <c r="N33" i="30"/>
  <c r="M34" i="30"/>
  <c r="L35" i="30"/>
  <c r="K36" i="30"/>
  <c r="J37" i="30"/>
  <c r="I38" i="30"/>
  <c r="Q38" i="30"/>
  <c r="P39" i="30"/>
  <c r="O40" i="30"/>
  <c r="N41" i="30"/>
  <c r="M42" i="30"/>
  <c r="L43" i="30"/>
  <c r="K44" i="30"/>
  <c r="J45" i="30"/>
  <c r="I46" i="30"/>
  <c r="Q46" i="30"/>
  <c r="P47" i="30"/>
  <c r="O48" i="30"/>
  <c r="N49" i="30"/>
  <c r="M50" i="30"/>
  <c r="L51" i="30"/>
  <c r="K52" i="30"/>
  <c r="J53" i="30"/>
  <c r="I54" i="30"/>
  <c r="Q54" i="30"/>
  <c r="P55" i="30"/>
  <c r="O56" i="30"/>
  <c r="N57" i="30"/>
  <c r="M58" i="30"/>
  <c r="L59" i="30"/>
  <c r="K60" i="30"/>
  <c r="J61" i="30"/>
  <c r="I62" i="30"/>
  <c r="Q62" i="30"/>
  <c r="P63" i="30"/>
  <c r="O64" i="30"/>
  <c r="N65" i="30"/>
  <c r="M66" i="30"/>
  <c r="L67" i="30"/>
  <c r="K68" i="30"/>
  <c r="J69" i="30"/>
  <c r="I70" i="30"/>
  <c r="Q70" i="30"/>
  <c r="P71" i="30"/>
  <c r="O72" i="30"/>
  <c r="N73" i="30"/>
  <c r="M74" i="30"/>
  <c r="L75" i="30"/>
  <c r="K76" i="30"/>
  <c r="J77" i="30"/>
  <c r="I78" i="30"/>
  <c r="Q78" i="30"/>
  <c r="P79" i="30"/>
  <c r="O80" i="30"/>
  <c r="N81" i="30"/>
  <c r="M82" i="30"/>
  <c r="L83" i="30"/>
  <c r="K84" i="30"/>
  <c r="J85" i="30"/>
  <c r="I86" i="30"/>
  <c r="Q86" i="30"/>
  <c r="P87" i="30"/>
  <c r="O88" i="30"/>
  <c r="N89" i="30"/>
  <c r="M90" i="30"/>
  <c r="L91" i="30"/>
  <c r="K92" i="30"/>
  <c r="J93" i="30"/>
  <c r="I94" i="30"/>
  <c r="Q94" i="30"/>
  <c r="P95" i="30"/>
  <c r="O96" i="30"/>
  <c r="N97" i="30"/>
  <c r="M98" i="30"/>
  <c r="L99" i="30"/>
  <c r="K100" i="30"/>
  <c r="J101" i="30"/>
  <c r="I102" i="30"/>
  <c r="Q102" i="30"/>
  <c r="P103" i="30"/>
  <c r="O104" i="30"/>
  <c r="N105" i="30"/>
  <c r="M106" i="30"/>
  <c r="L107" i="30"/>
  <c r="K108" i="30"/>
  <c r="J109" i="30"/>
  <c r="I110" i="30"/>
  <c r="Q110" i="30"/>
  <c r="P111" i="30"/>
  <c r="O112" i="30"/>
  <c r="N113" i="30"/>
  <c r="M114" i="30"/>
  <c r="L115" i="30"/>
  <c r="K116" i="30"/>
  <c r="J117" i="30"/>
  <c r="I118" i="30"/>
  <c r="Q118" i="30"/>
  <c r="P119" i="30"/>
  <c r="O120" i="30"/>
  <c r="N121" i="30"/>
  <c r="M122" i="30"/>
  <c r="L123" i="30"/>
  <c r="L28" i="30"/>
  <c r="K29" i="30"/>
  <c r="J30" i="30"/>
  <c r="I31" i="30"/>
  <c r="Q31" i="30"/>
  <c r="P32" i="30"/>
  <c r="O33" i="30"/>
  <c r="N34" i="30"/>
  <c r="M35" i="30"/>
  <c r="L36" i="30"/>
  <c r="K37" i="30"/>
  <c r="J38" i="30"/>
  <c r="I39" i="30"/>
  <c r="Q39" i="30"/>
  <c r="P40" i="30"/>
  <c r="O41" i="30"/>
  <c r="N42" i="30"/>
  <c r="M43" i="30"/>
  <c r="L44" i="30"/>
  <c r="K45" i="30"/>
  <c r="J46" i="30"/>
  <c r="I47" i="30"/>
  <c r="Q47" i="30"/>
  <c r="P48" i="30"/>
  <c r="O49" i="30"/>
  <c r="N50" i="30"/>
  <c r="M51" i="30"/>
  <c r="L52" i="30"/>
  <c r="K53" i="30"/>
  <c r="J54" i="30"/>
  <c r="I55" i="30"/>
  <c r="Q55" i="30"/>
  <c r="P56" i="30"/>
  <c r="O57" i="30"/>
  <c r="N58" i="30"/>
  <c r="M59" i="30"/>
  <c r="L60" i="30"/>
  <c r="K61" i="30"/>
  <c r="J62" i="30"/>
  <c r="I63" i="30"/>
  <c r="Q63" i="30"/>
  <c r="P64" i="30"/>
  <c r="O65" i="30"/>
  <c r="N66" i="30"/>
  <c r="M67" i="30"/>
  <c r="L68" i="30"/>
  <c r="K69" i="30"/>
  <c r="J70" i="30"/>
  <c r="I71" i="30"/>
  <c r="Q71" i="30"/>
  <c r="P72" i="30"/>
  <c r="O73" i="30"/>
  <c r="N74" i="30"/>
  <c r="M75" i="30"/>
  <c r="L76" i="30"/>
  <c r="K77" i="30"/>
  <c r="J78" i="30"/>
  <c r="I79" i="30"/>
  <c r="Q79" i="30"/>
  <c r="P80" i="30"/>
  <c r="O81" i="30"/>
  <c r="N82" i="30"/>
  <c r="M83" i="30"/>
  <c r="L84" i="30"/>
  <c r="K85" i="30"/>
  <c r="J86" i="30"/>
  <c r="I87" i="30"/>
  <c r="Q87" i="30"/>
  <c r="P88" i="30"/>
  <c r="O89" i="30"/>
  <c r="N90" i="30"/>
  <c r="M91" i="30"/>
  <c r="L92" i="30"/>
  <c r="K93" i="30"/>
  <c r="J94" i="30"/>
  <c r="I95" i="30"/>
  <c r="Q95" i="30"/>
  <c r="P96" i="30"/>
  <c r="O97" i="30"/>
  <c r="N98" i="30"/>
  <c r="M99" i="30"/>
  <c r="L100" i="30"/>
  <c r="K101" i="30"/>
  <c r="J102" i="30"/>
  <c r="I103" i="30"/>
  <c r="Q103" i="30"/>
  <c r="P104" i="30"/>
  <c r="O105" i="30"/>
  <c r="N106" i="30"/>
  <c r="M107" i="30"/>
  <c r="L108" i="30"/>
  <c r="K109" i="30"/>
  <c r="J110" i="30"/>
  <c r="I111" i="30"/>
  <c r="Q111" i="30"/>
  <c r="P112" i="30"/>
  <c r="O113" i="30"/>
  <c r="N114" i="30"/>
  <c r="M115" i="30"/>
  <c r="L116" i="30"/>
  <c r="K117" i="30"/>
  <c r="J118" i="30"/>
  <c r="I119" i="30"/>
  <c r="Q119" i="30"/>
  <c r="P120" i="30"/>
  <c r="O121" i="30"/>
  <c r="N122" i="30"/>
  <c r="M123" i="30"/>
  <c r="L124" i="30"/>
  <c r="K125" i="30"/>
  <c r="J126" i="30"/>
  <c r="I127" i="30"/>
  <c r="Q127" i="30"/>
  <c r="P128" i="30"/>
  <c r="O129" i="30"/>
  <c r="N130" i="30"/>
  <c r="M131" i="30"/>
  <c r="L132" i="30"/>
  <c r="K133" i="30"/>
  <c r="J134" i="30"/>
  <c r="I135" i="30"/>
  <c r="Q135" i="30"/>
  <c r="P136" i="30"/>
  <c r="O137" i="30"/>
  <c r="N138" i="30"/>
  <c r="M139" i="30"/>
  <c r="L140" i="30"/>
  <c r="P28" i="30"/>
  <c r="O29" i="30"/>
  <c r="N30" i="30"/>
  <c r="M31" i="30"/>
  <c r="L32" i="30"/>
  <c r="K33" i="30"/>
  <c r="J34" i="30"/>
  <c r="I35" i="30"/>
  <c r="Q35" i="30"/>
  <c r="P36" i="30"/>
  <c r="O37" i="30"/>
  <c r="N38" i="30"/>
  <c r="M39" i="30"/>
  <c r="L40" i="30"/>
  <c r="K41" i="30"/>
  <c r="J42" i="30"/>
  <c r="I43" i="30"/>
  <c r="Q43" i="30"/>
  <c r="P44" i="30"/>
  <c r="O45" i="30"/>
  <c r="N46" i="30"/>
  <c r="M47" i="30"/>
  <c r="L48" i="30"/>
  <c r="K49" i="30"/>
  <c r="J50" i="30"/>
  <c r="I51" i="30"/>
  <c r="Q51" i="30"/>
  <c r="P52" i="30"/>
  <c r="O53" i="30"/>
  <c r="N54" i="30"/>
  <c r="M55" i="30"/>
  <c r="L56" i="30"/>
  <c r="K57" i="30"/>
  <c r="J58" i="30"/>
  <c r="I59" i="30"/>
  <c r="Q59" i="30"/>
  <c r="P60" i="30"/>
  <c r="O61" i="30"/>
  <c r="N62" i="30"/>
  <c r="M63" i="30"/>
  <c r="L64" i="30"/>
  <c r="K65" i="30"/>
  <c r="J66" i="30"/>
  <c r="I67" i="30"/>
  <c r="Q67" i="30"/>
  <c r="P68" i="30"/>
  <c r="O69" i="30"/>
  <c r="N70" i="30"/>
  <c r="M71" i="30"/>
  <c r="L72" i="30"/>
  <c r="K73" i="30"/>
  <c r="J74" i="30"/>
  <c r="I75" i="30"/>
  <c r="Q75" i="30"/>
  <c r="P76" i="30"/>
  <c r="O77" i="30"/>
  <c r="N78" i="30"/>
  <c r="M79" i="30"/>
  <c r="L80" i="30"/>
  <c r="K81" i="30"/>
  <c r="J82" i="30"/>
  <c r="I83" i="30"/>
  <c r="Q83" i="30"/>
  <c r="P84" i="30"/>
  <c r="O85" i="30"/>
  <c r="N86" i="30"/>
  <c r="M87" i="30"/>
  <c r="L88" i="30"/>
  <c r="K89" i="30"/>
  <c r="J90" i="30"/>
  <c r="I91" i="30"/>
  <c r="Q91" i="30"/>
  <c r="P92" i="30"/>
  <c r="O93" i="30"/>
  <c r="N94" i="30"/>
  <c r="M95" i="30"/>
  <c r="L96" i="30"/>
  <c r="K97" i="30"/>
  <c r="J98" i="30"/>
  <c r="I99" i="30"/>
  <c r="Q99" i="30"/>
  <c r="P100" i="30"/>
  <c r="O101" i="30"/>
  <c r="N102" i="30"/>
  <c r="M103" i="30"/>
  <c r="L104" i="30"/>
  <c r="K105" i="30"/>
  <c r="J106" i="30"/>
  <c r="I107" i="30"/>
  <c r="Q107" i="30"/>
  <c r="P108" i="30"/>
  <c r="O109" i="30"/>
  <c r="N110" i="30"/>
  <c r="M111" i="30"/>
  <c r="L112" i="30"/>
  <c r="K113" i="30"/>
  <c r="J114" i="30"/>
  <c r="I115" i="30"/>
  <c r="Q115" i="30"/>
  <c r="P116" i="30"/>
  <c r="O117" i="30"/>
  <c r="N118" i="30"/>
  <c r="M119" i="30"/>
  <c r="L120" i="30"/>
  <c r="M28" i="30"/>
  <c r="M30" i="30"/>
  <c r="I33" i="30"/>
  <c r="N35" i="30"/>
  <c r="N37" i="30"/>
  <c r="J40" i="30"/>
  <c r="O42" i="30"/>
  <c r="O44" i="30"/>
  <c r="K47" i="30"/>
  <c r="P49" i="30"/>
  <c r="P51" i="30"/>
  <c r="L54" i="30"/>
  <c r="Q56" i="30"/>
  <c r="Q58" i="30"/>
  <c r="M61" i="30"/>
  <c r="I64" i="30"/>
  <c r="I66" i="30"/>
  <c r="N68" i="30"/>
  <c r="J71" i="30"/>
  <c r="J73" i="30"/>
  <c r="O75" i="30"/>
  <c r="K78" i="30"/>
  <c r="K80" i="30"/>
  <c r="P82" i="30"/>
  <c r="L85" i="30"/>
  <c r="L87" i="30"/>
  <c r="Q89" i="30"/>
  <c r="M92" i="30"/>
  <c r="M94" i="30"/>
  <c r="I97" i="30"/>
  <c r="N99" i="30"/>
  <c r="N101" i="30"/>
  <c r="J104" i="30"/>
  <c r="O106" i="30"/>
  <c r="O108" i="30"/>
  <c r="K111" i="30"/>
  <c r="P113" i="30"/>
  <c r="P115" i="30"/>
  <c r="L118" i="30"/>
  <c r="M120" i="30"/>
  <c r="Q121" i="30"/>
  <c r="I123" i="30"/>
  <c r="J124" i="30"/>
  <c r="J125" i="30"/>
  <c r="K126" i="30"/>
  <c r="K127" i="30"/>
  <c r="K128" i="30"/>
  <c r="K129" i="30"/>
  <c r="K130" i="30"/>
  <c r="K131" i="30"/>
  <c r="K132" i="30"/>
  <c r="L133" i="30"/>
  <c r="L134" i="30"/>
  <c r="L135" i="30"/>
  <c r="L136" i="30"/>
  <c r="L137" i="30"/>
  <c r="L138" i="30"/>
  <c r="L139" i="30"/>
  <c r="M140" i="30"/>
  <c r="L141" i="30"/>
  <c r="K142" i="30"/>
  <c r="J143" i="30"/>
  <c r="I144" i="30"/>
  <c r="Q144" i="30"/>
  <c r="P145" i="30"/>
  <c r="O146" i="30"/>
  <c r="N147" i="30"/>
  <c r="M148" i="30"/>
  <c r="L149" i="30"/>
  <c r="K150" i="30"/>
  <c r="J151" i="30"/>
  <c r="I152" i="30"/>
  <c r="Q152" i="30"/>
  <c r="P153" i="30"/>
  <c r="O154" i="30"/>
  <c r="N155" i="30"/>
  <c r="M156" i="30"/>
  <c r="L157" i="30"/>
  <c r="K158" i="30"/>
  <c r="J159" i="30"/>
  <c r="I160" i="30"/>
  <c r="Q160" i="30"/>
  <c r="P161" i="30"/>
  <c r="O162" i="30"/>
  <c r="N163" i="30"/>
  <c r="M164" i="30"/>
  <c r="L165" i="30"/>
  <c r="K166" i="30"/>
  <c r="J167" i="30"/>
  <c r="I168" i="30"/>
  <c r="Q168" i="30"/>
  <c r="P169" i="30"/>
  <c r="O170" i="30"/>
  <c r="N28" i="30"/>
  <c r="J31" i="30"/>
  <c r="J33" i="30"/>
  <c r="O35" i="30"/>
  <c r="K38" i="30"/>
  <c r="K40" i="30"/>
  <c r="P42" i="30"/>
  <c r="L45" i="30"/>
  <c r="L47" i="30"/>
  <c r="Q49" i="30"/>
  <c r="M52" i="30"/>
  <c r="M54" i="30"/>
  <c r="I57" i="30"/>
  <c r="N59" i="30"/>
  <c r="N61" i="30"/>
  <c r="J64" i="30"/>
  <c r="O66" i="30"/>
  <c r="O68" i="30"/>
  <c r="K71" i="30"/>
  <c r="P73" i="30"/>
  <c r="P75" i="30"/>
  <c r="L78" i="30"/>
  <c r="Q80" i="30"/>
  <c r="Q82" i="30"/>
  <c r="M85" i="30"/>
  <c r="I88" i="30"/>
  <c r="I90" i="30"/>
  <c r="N92" i="30"/>
  <c r="J95" i="30"/>
  <c r="J97" i="30"/>
  <c r="O99" i="30"/>
  <c r="K102" i="30"/>
  <c r="K104" i="30"/>
  <c r="P106" i="30"/>
  <c r="L109" i="30"/>
  <c r="L111" i="30"/>
  <c r="Q113" i="30"/>
  <c r="M116" i="30"/>
  <c r="M118" i="30"/>
  <c r="Q120" i="30"/>
  <c r="I122" i="30"/>
  <c r="J123" i="30"/>
  <c r="K124" i="30"/>
  <c r="L125" i="30"/>
  <c r="L126" i="30"/>
  <c r="L127" i="30"/>
  <c r="L128" i="30"/>
  <c r="L129" i="30"/>
  <c r="L130" i="30"/>
  <c r="L131" i="30"/>
  <c r="M132" i="30"/>
  <c r="M133" i="30"/>
  <c r="M134" i="30"/>
  <c r="M135" i="30"/>
  <c r="M136" i="30"/>
  <c r="M137" i="30"/>
  <c r="M138" i="30"/>
  <c r="N139" i="30"/>
  <c r="N140" i="30"/>
  <c r="M141" i="30"/>
  <c r="L142" i="30"/>
  <c r="K143" i="30"/>
  <c r="J144" i="30"/>
  <c r="I145" i="30"/>
  <c r="Q145" i="30"/>
  <c r="P146" i="30"/>
  <c r="O147" i="30"/>
  <c r="N148" i="30"/>
  <c r="M149" i="30"/>
  <c r="L150" i="30"/>
  <c r="K151" i="30"/>
  <c r="J152" i="30"/>
  <c r="I153" i="30"/>
  <c r="Q153" i="30"/>
  <c r="P154" i="30"/>
  <c r="O155" i="30"/>
  <c r="N156" i="30"/>
  <c r="M157" i="30"/>
  <c r="L158" i="30"/>
  <c r="K159" i="30"/>
  <c r="J160" i="30"/>
  <c r="I161" i="30"/>
  <c r="Q161" i="30"/>
  <c r="P162" i="30"/>
  <c r="O163" i="30"/>
  <c r="N164" i="30"/>
  <c r="M165" i="30"/>
  <c r="L166" i="30"/>
  <c r="K167" i="30"/>
  <c r="J168" i="30"/>
  <c r="I169" i="30"/>
  <c r="Q169" i="30"/>
  <c r="P170" i="30"/>
  <c r="O171" i="30"/>
  <c r="N172" i="30"/>
  <c r="M173" i="30"/>
  <c r="L174" i="30"/>
  <c r="K175" i="30"/>
  <c r="J176" i="30"/>
  <c r="I177" i="30"/>
  <c r="Q177" i="30"/>
  <c r="P178" i="30"/>
  <c r="O179" i="30"/>
  <c r="N180" i="30"/>
  <c r="M181" i="30"/>
  <c r="L182" i="30"/>
  <c r="K183" i="30"/>
  <c r="J184" i="30"/>
  <c r="I185" i="30"/>
  <c r="Q185" i="30"/>
  <c r="P186" i="30"/>
  <c r="O187" i="30"/>
  <c r="N188" i="30"/>
  <c r="M189" i="30"/>
  <c r="L190" i="30"/>
  <c r="K191" i="30"/>
  <c r="J192" i="30"/>
  <c r="I193" i="30"/>
  <c r="Q193" i="30"/>
  <c r="P194" i="30"/>
  <c r="O195" i="30"/>
  <c r="N196" i="30"/>
  <c r="M197" i="30"/>
  <c r="L198" i="30"/>
  <c r="K199" i="30"/>
  <c r="J200" i="30"/>
  <c r="I201" i="30"/>
  <c r="O28" i="30"/>
  <c r="K31" i="30"/>
  <c r="P33" i="30"/>
  <c r="P35" i="30"/>
  <c r="L38" i="30"/>
  <c r="Q40" i="30"/>
  <c r="Q42" i="30"/>
  <c r="M45" i="30"/>
  <c r="I48" i="30"/>
  <c r="I50" i="30"/>
  <c r="N52" i="30"/>
  <c r="J55" i="30"/>
  <c r="J57" i="30"/>
  <c r="O59" i="30"/>
  <c r="K62" i="30"/>
  <c r="K64" i="30"/>
  <c r="P66" i="30"/>
  <c r="L69" i="30"/>
  <c r="L71" i="30"/>
  <c r="Q73" i="30"/>
  <c r="M76" i="30"/>
  <c r="M78" i="30"/>
  <c r="I81" i="30"/>
  <c r="N83" i="30"/>
  <c r="N85" i="30"/>
  <c r="J88" i="30"/>
  <c r="O90" i="30"/>
  <c r="O92" i="30"/>
  <c r="K95" i="30"/>
  <c r="P97" i="30"/>
  <c r="P99" i="30"/>
  <c r="L102" i="30"/>
  <c r="Q104" i="30"/>
  <c r="Q106" i="30"/>
  <c r="M109" i="30"/>
  <c r="I112" i="30"/>
  <c r="I114" i="30"/>
  <c r="N116" i="30"/>
  <c r="J119" i="30"/>
  <c r="I121" i="30"/>
  <c r="J122" i="30"/>
  <c r="K123" i="30"/>
  <c r="M124" i="30"/>
  <c r="M125" i="30"/>
  <c r="M126" i="30"/>
  <c r="M127" i="30"/>
  <c r="M128" i="30"/>
  <c r="M129" i="30"/>
  <c r="M130" i="30"/>
  <c r="N131" i="30"/>
  <c r="N132" i="30"/>
  <c r="N133" i="30"/>
  <c r="N134" i="30"/>
  <c r="N135" i="30"/>
  <c r="N136" i="30"/>
  <c r="N137" i="30"/>
  <c r="O138" i="30"/>
  <c r="O139" i="30"/>
  <c r="O140" i="30"/>
  <c r="N141" i="30"/>
  <c r="M142" i="30"/>
  <c r="L143" i="30"/>
  <c r="K144" i="30"/>
  <c r="J145" i="30"/>
  <c r="I146" i="30"/>
  <c r="Q146" i="30"/>
  <c r="P147" i="30"/>
  <c r="O148" i="30"/>
  <c r="N149" i="30"/>
  <c r="M150" i="30"/>
  <c r="L151" i="30"/>
  <c r="K152" i="30"/>
  <c r="J153" i="30"/>
  <c r="I154" i="30"/>
  <c r="Q154" i="30"/>
  <c r="P155" i="30"/>
  <c r="O156" i="30"/>
  <c r="N157" i="30"/>
  <c r="M158" i="30"/>
  <c r="L159" i="30"/>
  <c r="K160" i="30"/>
  <c r="J161" i="30"/>
  <c r="I162" i="30"/>
  <c r="Q162" i="30"/>
  <c r="P163" i="30"/>
  <c r="O164" i="30"/>
  <c r="N165" i="30"/>
  <c r="M166" i="30"/>
  <c r="L167" i="30"/>
  <c r="K168" i="30"/>
  <c r="J169" i="30"/>
  <c r="I170" i="30"/>
  <c r="Q170" i="30"/>
  <c r="P171" i="30"/>
  <c r="L29" i="30"/>
  <c r="L31" i="30"/>
  <c r="Q33" i="30"/>
  <c r="M36" i="30"/>
  <c r="M38" i="30"/>
  <c r="I41" i="30"/>
  <c r="N43" i="30"/>
  <c r="N45" i="30"/>
  <c r="J48" i="30"/>
  <c r="O50" i="30"/>
  <c r="O52" i="30"/>
  <c r="K55" i="30"/>
  <c r="P57" i="30"/>
  <c r="P59" i="30"/>
  <c r="L62" i="30"/>
  <c r="Q64" i="30"/>
  <c r="Q66" i="30"/>
  <c r="M69" i="30"/>
  <c r="I72" i="30"/>
  <c r="I74" i="30"/>
  <c r="N76" i="30"/>
  <c r="J79" i="30"/>
  <c r="J81" i="30"/>
  <c r="O83" i="30"/>
  <c r="K86" i="30"/>
  <c r="K88" i="30"/>
  <c r="P90" i="30"/>
  <c r="L93" i="30"/>
  <c r="L95" i="30"/>
  <c r="Q97" i="30"/>
  <c r="M100" i="30"/>
  <c r="M102" i="30"/>
  <c r="I105" i="30"/>
  <c r="N107" i="30"/>
  <c r="N109" i="30"/>
  <c r="J112" i="30"/>
  <c r="O114" i="30"/>
  <c r="O116" i="30"/>
  <c r="K119" i="30"/>
  <c r="J121" i="30"/>
  <c r="K122" i="30"/>
  <c r="N123" i="30"/>
  <c r="N124" i="30"/>
  <c r="N125" i="30"/>
  <c r="N126" i="30"/>
  <c r="N127" i="30"/>
  <c r="N128" i="30"/>
  <c r="N129" i="30"/>
  <c r="O130" i="30"/>
  <c r="O131" i="30"/>
  <c r="O132" i="30"/>
  <c r="O133" i="30"/>
  <c r="O134" i="30"/>
  <c r="O135" i="30"/>
  <c r="O136" i="30"/>
  <c r="P137" i="30"/>
  <c r="P138" i="30"/>
  <c r="P139" i="30"/>
  <c r="P140" i="30"/>
  <c r="O141" i="30"/>
  <c r="N142" i="30"/>
  <c r="M143" i="30"/>
  <c r="L144" i="30"/>
  <c r="K145" i="30"/>
  <c r="J146" i="30"/>
  <c r="I147" i="30"/>
  <c r="Q147" i="30"/>
  <c r="P148" i="30"/>
  <c r="O149" i="30"/>
  <c r="N150" i="30"/>
  <c r="M151" i="30"/>
  <c r="L152" i="30"/>
  <c r="K153" i="30"/>
  <c r="J154" i="30"/>
  <c r="I155" i="30"/>
  <c r="Q155" i="30"/>
  <c r="P156" i="30"/>
  <c r="O157" i="30"/>
  <c r="N158" i="30"/>
  <c r="M159" i="30"/>
  <c r="L160" i="30"/>
  <c r="K161" i="30"/>
  <c r="J162" i="30"/>
  <c r="I163" i="30"/>
  <c r="Q163" i="30"/>
  <c r="P164" i="30"/>
  <c r="O165" i="30"/>
  <c r="N166" i="30"/>
  <c r="M167" i="30"/>
  <c r="L168" i="30"/>
  <c r="K169" i="30"/>
  <c r="J170" i="30"/>
  <c r="I171" i="30"/>
  <c r="Q171" i="30"/>
  <c r="P172" i="30"/>
  <c r="O173" i="30"/>
  <c r="N174" i="30"/>
  <c r="M175" i="30"/>
  <c r="L176" i="30"/>
  <c r="K177" i="30"/>
  <c r="J178" i="30"/>
  <c r="I179" i="30"/>
  <c r="Q179" i="30"/>
  <c r="P180" i="30"/>
  <c r="O181" i="30"/>
  <c r="N182" i="30"/>
  <c r="M183" i="30"/>
  <c r="L184" i="30"/>
  <c r="K185" i="30"/>
  <c r="J186" i="30"/>
  <c r="I187" i="30"/>
  <c r="Q187" i="30"/>
  <c r="P188" i="30"/>
  <c r="O189" i="30"/>
  <c r="N190" i="30"/>
  <c r="M191" i="30"/>
  <c r="L192" i="30"/>
  <c r="K193" i="30"/>
  <c r="J194" i="30"/>
  <c r="I195" i="30"/>
  <c r="Q195" i="30"/>
  <c r="P196" i="30"/>
  <c r="O197" i="30"/>
  <c r="N198" i="30"/>
  <c r="M199" i="30"/>
  <c r="L200" i="30"/>
  <c r="K201" i="30"/>
  <c r="J202" i="30"/>
  <c r="L30" i="30"/>
  <c r="Q32" i="30"/>
  <c r="Q34" i="30"/>
  <c r="M37" i="30"/>
  <c r="I40" i="30"/>
  <c r="I42" i="30"/>
  <c r="N44" i="30"/>
  <c r="J47" i="30"/>
  <c r="J49" i="30"/>
  <c r="O51" i="30"/>
  <c r="K54" i="30"/>
  <c r="K56" i="30"/>
  <c r="P58" i="30"/>
  <c r="L61" i="30"/>
  <c r="L63" i="30"/>
  <c r="Q65" i="30"/>
  <c r="M68" i="30"/>
  <c r="M70" i="30"/>
  <c r="I73" i="30"/>
  <c r="N75" i="30"/>
  <c r="N77" i="30"/>
  <c r="J80" i="30"/>
  <c r="O82" i="30"/>
  <c r="O84" i="30"/>
  <c r="K87" i="30"/>
  <c r="P89" i="30"/>
  <c r="P91" i="30"/>
  <c r="L94" i="30"/>
  <c r="Q96" i="30"/>
  <c r="Q98" i="30"/>
  <c r="M101" i="30"/>
  <c r="I104" i="30"/>
  <c r="I106" i="30"/>
  <c r="N108" i="30"/>
  <c r="J111" i="30"/>
  <c r="J113" i="30"/>
  <c r="O115" i="30"/>
  <c r="K118" i="30"/>
  <c r="K120" i="30"/>
  <c r="P121" i="30"/>
  <c r="Q122" i="30"/>
  <c r="I124" i="30"/>
  <c r="I125" i="30"/>
  <c r="I126" i="30"/>
  <c r="J127" i="30"/>
  <c r="J128" i="30"/>
  <c r="J129" i="30"/>
  <c r="J130" i="30"/>
  <c r="J131" i="30"/>
  <c r="J132" i="30"/>
  <c r="J133" i="30"/>
  <c r="K134" i="30"/>
  <c r="K135" i="30"/>
  <c r="K136" i="30"/>
  <c r="K137" i="30"/>
  <c r="K138" i="30"/>
  <c r="K139" i="30"/>
  <c r="K140" i="30"/>
  <c r="K141" i="30"/>
  <c r="J142" i="30"/>
  <c r="I143" i="30"/>
  <c r="Q143" i="30"/>
  <c r="P144" i="30"/>
  <c r="O145" i="30"/>
  <c r="N146" i="30"/>
  <c r="M147" i="30"/>
  <c r="L148" i="30"/>
  <c r="K149" i="30"/>
  <c r="J150" i="30"/>
  <c r="I151" i="30"/>
  <c r="Q151" i="30"/>
  <c r="P152" i="30"/>
  <c r="O153" i="30"/>
  <c r="N154" i="30"/>
  <c r="M155" i="30"/>
  <c r="L156" i="30"/>
  <c r="K157" i="30"/>
  <c r="J158" i="30"/>
  <c r="I159" i="30"/>
  <c r="Q159" i="30"/>
  <c r="P160" i="30"/>
  <c r="O161" i="30"/>
  <c r="N162" i="30"/>
  <c r="M163" i="30"/>
  <c r="L164" i="30"/>
  <c r="K165" i="30"/>
  <c r="J166" i="30"/>
  <c r="I167" i="30"/>
  <c r="Q167" i="30"/>
  <c r="P168" i="30"/>
  <c r="O169" i="30"/>
  <c r="N170" i="30"/>
  <c r="M171" i="30"/>
  <c r="L172" i="30"/>
  <c r="K173" i="30"/>
  <c r="J174" i="30"/>
  <c r="I175" i="30"/>
  <c r="Q175" i="30"/>
  <c r="P176" i="30"/>
  <c r="O177" i="30"/>
  <c r="N178" i="30"/>
  <c r="M179" i="30"/>
  <c r="L180" i="30"/>
  <c r="K181" i="30"/>
  <c r="J182" i="30"/>
  <c r="I183" i="30"/>
  <c r="Q183" i="30"/>
  <c r="P184" i="30"/>
  <c r="O185" i="30"/>
  <c r="N186" i="30"/>
  <c r="M187" i="30"/>
  <c r="L188" i="30"/>
  <c r="K189" i="30"/>
  <c r="J190" i="30"/>
  <c r="I191" i="30"/>
  <c r="Q191" i="30"/>
  <c r="P192" i="30"/>
  <c r="O193" i="30"/>
  <c r="N194" i="30"/>
  <c r="M195" i="30"/>
  <c r="L196" i="30"/>
  <c r="K197" i="30"/>
  <c r="J198" i="30"/>
  <c r="I199" i="30"/>
  <c r="Q199" i="30"/>
  <c r="P200" i="30"/>
  <c r="M29" i="30"/>
  <c r="P34" i="30"/>
  <c r="P41" i="30"/>
  <c r="K48" i="30"/>
  <c r="N53" i="30"/>
  <c r="N60" i="30"/>
  <c r="N67" i="30"/>
  <c r="Q72" i="30"/>
  <c r="L79" i="30"/>
  <c r="L86" i="30"/>
  <c r="O91" i="30"/>
  <c r="O98" i="30"/>
  <c r="J105" i="30"/>
  <c r="M110" i="30"/>
  <c r="M117" i="30"/>
  <c r="L122" i="30"/>
  <c r="Q124" i="30"/>
  <c r="P127" i="30"/>
  <c r="P130" i="30"/>
  <c r="I133" i="30"/>
  <c r="I136" i="30"/>
  <c r="Q138" i="30"/>
  <c r="J141" i="30"/>
  <c r="O143" i="30"/>
  <c r="K146" i="30"/>
  <c r="K148" i="30"/>
  <c r="P150" i="30"/>
  <c r="L153" i="30"/>
  <c r="L155" i="30"/>
  <c r="Q157" i="30"/>
  <c r="M160" i="30"/>
  <c r="M162" i="30"/>
  <c r="I165" i="30"/>
  <c r="N167" i="30"/>
  <c r="N169" i="30"/>
  <c r="I172" i="30"/>
  <c r="L173" i="30"/>
  <c r="P174" i="30"/>
  <c r="K176" i="30"/>
  <c r="N177" i="30"/>
  <c r="J179" i="30"/>
  <c r="M180" i="30"/>
  <c r="Q181" i="30"/>
  <c r="L183" i="30"/>
  <c r="O184" i="30"/>
  <c r="K186" i="30"/>
  <c r="N187" i="30"/>
  <c r="I189" i="30"/>
  <c r="M190" i="30"/>
  <c r="P191" i="30"/>
  <c r="L193" i="30"/>
  <c r="O194" i="30"/>
  <c r="J196" i="30"/>
  <c r="N197" i="30"/>
  <c r="Q198" i="30"/>
  <c r="M200" i="30"/>
  <c r="O201" i="30"/>
  <c r="O202" i="30"/>
  <c r="N203" i="30"/>
  <c r="M204" i="30"/>
  <c r="L205" i="30"/>
  <c r="K206" i="30"/>
  <c r="J207" i="30"/>
  <c r="I208" i="30"/>
  <c r="Q208" i="30"/>
  <c r="P209" i="30"/>
  <c r="O210" i="30"/>
  <c r="N211" i="30"/>
  <c r="M212" i="30"/>
  <c r="L213" i="30"/>
  <c r="K214" i="30"/>
  <c r="J215" i="30"/>
  <c r="I216" i="30"/>
  <c r="Q216" i="30"/>
  <c r="P217" i="30"/>
  <c r="O218" i="30"/>
  <c r="N219" i="30"/>
  <c r="M220" i="30"/>
  <c r="L221" i="30"/>
  <c r="K222" i="30"/>
  <c r="J223" i="30"/>
  <c r="I224" i="30"/>
  <c r="Q224" i="30"/>
  <c r="P225" i="30"/>
  <c r="O226" i="30"/>
  <c r="N227" i="30"/>
  <c r="M228" i="30"/>
  <c r="L229" i="30"/>
  <c r="K230" i="30"/>
  <c r="J231" i="30"/>
  <c r="I232" i="30"/>
  <c r="Q232" i="30"/>
  <c r="P233" i="30"/>
  <c r="O234" i="30"/>
  <c r="N235" i="30"/>
  <c r="M236" i="30"/>
  <c r="L237" i="30"/>
  <c r="K238" i="30"/>
  <c r="J239" i="30"/>
  <c r="I240" i="30"/>
  <c r="Q240" i="30"/>
  <c r="P241" i="30"/>
  <c r="O242" i="30"/>
  <c r="N243" i="30"/>
  <c r="M244" i="30"/>
  <c r="L245" i="30"/>
  <c r="K246" i="30"/>
  <c r="J247" i="30"/>
  <c r="I248" i="30"/>
  <c r="Q248" i="30"/>
  <c r="P249" i="30"/>
  <c r="O250" i="30"/>
  <c r="N251" i="30"/>
  <c r="M252" i="30"/>
  <c r="L253" i="30"/>
  <c r="K254" i="30"/>
  <c r="J255" i="30"/>
  <c r="I256" i="30"/>
  <c r="Q256" i="30"/>
  <c r="P257" i="30"/>
  <c r="O258" i="30"/>
  <c r="N259" i="30"/>
  <c r="M260" i="30"/>
  <c r="L261" i="30"/>
  <c r="K262" i="30"/>
  <c r="J263" i="30"/>
  <c r="I264" i="30"/>
  <c r="N29" i="30"/>
  <c r="N36" i="30"/>
  <c r="Q41" i="30"/>
  <c r="Q48" i="30"/>
  <c r="L55" i="30"/>
  <c r="O60" i="30"/>
  <c r="O67" i="30"/>
  <c r="O74" i="30"/>
  <c r="I80" i="30"/>
  <c r="M86" i="30"/>
  <c r="M93" i="30"/>
  <c r="P98" i="30"/>
  <c r="P105" i="30"/>
  <c r="K112" i="30"/>
  <c r="N117" i="30"/>
  <c r="O122" i="30"/>
  <c r="O125" i="30"/>
  <c r="I128" i="30"/>
  <c r="Q130" i="30"/>
  <c r="P133" i="30"/>
  <c r="J136" i="30"/>
  <c r="I139" i="30"/>
  <c r="P141" i="30"/>
  <c r="P143" i="30"/>
  <c r="L146" i="30"/>
  <c r="Q148" i="30"/>
  <c r="Q150" i="30"/>
  <c r="M153" i="30"/>
  <c r="I156" i="30"/>
  <c r="I158" i="30"/>
  <c r="N160" i="30"/>
  <c r="J163" i="30"/>
  <c r="J165" i="30"/>
  <c r="O167" i="30"/>
  <c r="K170" i="30"/>
  <c r="J172" i="30"/>
  <c r="N173" i="30"/>
  <c r="Q174" i="30"/>
  <c r="M176" i="30"/>
  <c r="P177" i="30"/>
  <c r="K179" i="30"/>
  <c r="O180" i="30"/>
  <c r="I182" i="30"/>
  <c r="N183" i="30"/>
  <c r="Q184" i="30"/>
  <c r="L186" i="30"/>
  <c r="P187" i="30"/>
  <c r="J189" i="30"/>
  <c r="O190" i="30"/>
  <c r="I192" i="30"/>
  <c r="M193" i="30"/>
  <c r="Q194" i="30"/>
  <c r="K196" i="30"/>
  <c r="P197" i="30"/>
  <c r="J199" i="30"/>
  <c r="N200" i="30"/>
  <c r="P201" i="30"/>
  <c r="P202" i="30"/>
  <c r="O203" i="30"/>
  <c r="N204" i="30"/>
  <c r="M205" i="30"/>
  <c r="L206" i="30"/>
  <c r="K207" i="30"/>
  <c r="J208" i="30"/>
  <c r="I209" i="30"/>
  <c r="Q209" i="30"/>
  <c r="P210" i="30"/>
  <c r="O211" i="30"/>
  <c r="N212" i="30"/>
  <c r="M213" i="30"/>
  <c r="L214" i="30"/>
  <c r="K215" i="30"/>
  <c r="J216" i="30"/>
  <c r="I217" i="30"/>
  <c r="Q217" i="30"/>
  <c r="P218" i="30"/>
  <c r="O219" i="30"/>
  <c r="N220" i="30"/>
  <c r="M221" i="30"/>
  <c r="L222" i="30"/>
  <c r="K223" i="30"/>
  <c r="J224" i="30"/>
  <c r="I225" i="30"/>
  <c r="Q225" i="30"/>
  <c r="P226" i="30"/>
  <c r="O227" i="30"/>
  <c r="N228" i="30"/>
  <c r="M229" i="30"/>
  <c r="L230" i="30"/>
  <c r="K231" i="30"/>
  <c r="J232" i="30"/>
  <c r="I233" i="30"/>
  <c r="Q233" i="30"/>
  <c r="P234" i="30"/>
  <c r="O235" i="30"/>
  <c r="N236" i="30"/>
  <c r="M237" i="30"/>
  <c r="L238" i="30"/>
  <c r="K239" i="30"/>
  <c r="J240" i="30"/>
  <c r="I241" i="30"/>
  <c r="Q241" i="30"/>
  <c r="P242" i="30"/>
  <c r="O243" i="30"/>
  <c r="K30" i="30"/>
  <c r="O36" i="30"/>
  <c r="O43" i="30"/>
  <c r="I49" i="30"/>
  <c r="I56" i="30"/>
  <c r="M62" i="30"/>
  <c r="P67" i="30"/>
  <c r="P74" i="30"/>
  <c r="P81" i="30"/>
  <c r="J87" i="30"/>
  <c r="N93" i="30"/>
  <c r="N100" i="30"/>
  <c r="Q105" i="30"/>
  <c r="Q112" i="30"/>
  <c r="L119" i="30"/>
  <c r="P122" i="30"/>
  <c r="P125" i="30"/>
  <c r="O128" i="30"/>
  <c r="I131" i="30"/>
  <c r="Q133" i="30"/>
  <c r="Q136" i="30"/>
  <c r="J139" i="30"/>
  <c r="Q141" i="30"/>
  <c r="M144" i="30"/>
  <c r="M146" i="30"/>
  <c r="I149" i="30"/>
  <c r="N151" i="30"/>
  <c r="N153" i="30"/>
  <c r="J156" i="30"/>
  <c r="O158" i="30"/>
  <c r="O160" i="30"/>
  <c r="K163" i="30"/>
  <c r="P165" i="30"/>
  <c r="P167" i="30"/>
  <c r="L170" i="30"/>
  <c r="K172" i="30"/>
  <c r="P173" i="30"/>
  <c r="J175" i="30"/>
  <c r="N176" i="30"/>
  <c r="I178" i="30"/>
  <c r="L179" i="30"/>
  <c r="Q180" i="30"/>
  <c r="K182" i="30"/>
  <c r="O183" i="30"/>
  <c r="J185" i="30"/>
  <c r="M186" i="30"/>
  <c r="I188" i="30"/>
  <c r="L189" i="30"/>
  <c r="P190" i="30"/>
  <c r="K192" i="30"/>
  <c r="N193" i="30"/>
  <c r="J195" i="30"/>
  <c r="M196" i="30"/>
  <c r="Q197" i="30"/>
  <c r="L199" i="30"/>
  <c r="O200" i="30"/>
  <c r="Q201" i="30"/>
  <c r="Q202" i="30"/>
  <c r="P203" i="30"/>
  <c r="O204" i="30"/>
  <c r="N205" i="30"/>
  <c r="M206" i="30"/>
  <c r="L207" i="30"/>
  <c r="K208" i="30"/>
  <c r="J209" i="30"/>
  <c r="I210" i="30"/>
  <c r="Q210" i="30"/>
  <c r="P211" i="30"/>
  <c r="O212" i="30"/>
  <c r="N213" i="30"/>
  <c r="M214" i="30"/>
  <c r="L215" i="30"/>
  <c r="K216" i="30"/>
  <c r="J217" i="30"/>
  <c r="I218" i="30"/>
  <c r="Q218" i="30"/>
  <c r="P219" i="30"/>
  <c r="O220" i="30"/>
  <c r="N221" i="30"/>
  <c r="M222" i="30"/>
  <c r="L223" i="30"/>
  <c r="K224" i="30"/>
  <c r="J225" i="30"/>
  <c r="I226" i="30"/>
  <c r="Q226" i="30"/>
  <c r="P227" i="30"/>
  <c r="O228" i="30"/>
  <c r="N229" i="30"/>
  <c r="M230" i="30"/>
  <c r="L231" i="30"/>
  <c r="K232" i="30"/>
  <c r="J233" i="30"/>
  <c r="I234" i="30"/>
  <c r="Q234" i="30"/>
  <c r="P235" i="30"/>
  <c r="I32" i="30"/>
  <c r="L37" i="30"/>
  <c r="P43" i="30"/>
  <c r="P50" i="30"/>
  <c r="J56" i="30"/>
  <c r="J63" i="30"/>
  <c r="N69" i="30"/>
  <c r="Q74" i="30"/>
  <c r="Q81" i="30"/>
  <c r="Q88" i="30"/>
  <c r="K94" i="30"/>
  <c r="O100" i="30"/>
  <c r="O107" i="30"/>
  <c r="I113" i="30"/>
  <c r="I120" i="30"/>
  <c r="O123" i="30"/>
  <c r="Q125" i="30"/>
  <c r="Q128" i="30"/>
  <c r="P131" i="30"/>
  <c r="I134" i="30"/>
  <c r="I137" i="30"/>
  <c r="Q139" i="30"/>
  <c r="I142" i="30"/>
  <c r="N144" i="30"/>
  <c r="J147" i="30"/>
  <c r="J149" i="30"/>
  <c r="O151" i="30"/>
  <c r="K154" i="30"/>
  <c r="K156" i="30"/>
  <c r="P158" i="30"/>
  <c r="L161" i="30"/>
  <c r="L163" i="30"/>
  <c r="Q165" i="30"/>
  <c r="M168" i="30"/>
  <c r="M170" i="30"/>
  <c r="M172" i="30"/>
  <c r="Q173" i="30"/>
  <c r="L175" i="30"/>
  <c r="O176" i="30"/>
  <c r="K178" i="30"/>
  <c r="N179" i="30"/>
  <c r="I181" i="30"/>
  <c r="M182" i="30"/>
  <c r="P183" i="30"/>
  <c r="L185" i="30"/>
  <c r="O186" i="30"/>
  <c r="J188" i="30"/>
  <c r="N189" i="30"/>
  <c r="Q190" i="30"/>
  <c r="M192" i="30"/>
  <c r="P193" i="30"/>
  <c r="K195" i="30"/>
  <c r="O196" i="30"/>
  <c r="I198" i="30"/>
  <c r="N199" i="30"/>
  <c r="Q200" i="30"/>
  <c r="I202" i="30"/>
  <c r="I203" i="30"/>
  <c r="Q203" i="30"/>
  <c r="P204" i="30"/>
  <c r="O205" i="30"/>
  <c r="N206" i="30"/>
  <c r="M207" i="30"/>
  <c r="L208" i="30"/>
  <c r="K209" i="30"/>
  <c r="J210" i="30"/>
  <c r="I211" i="30"/>
  <c r="Q211" i="30"/>
  <c r="P212" i="30"/>
  <c r="O213" i="30"/>
  <c r="N214" i="30"/>
  <c r="M215" i="30"/>
  <c r="L216" i="30"/>
  <c r="K217" i="30"/>
  <c r="J218" i="30"/>
  <c r="I219" i="30"/>
  <c r="Q219" i="30"/>
  <c r="P220" i="30"/>
  <c r="O221" i="30"/>
  <c r="N222" i="30"/>
  <c r="M223" i="30"/>
  <c r="L224" i="30"/>
  <c r="K225" i="30"/>
  <c r="J226" i="30"/>
  <c r="I227" i="30"/>
  <c r="Q227" i="30"/>
  <c r="P228" i="30"/>
  <c r="O229" i="30"/>
  <c r="N230" i="30"/>
  <c r="M231" i="30"/>
  <c r="L232" i="30"/>
  <c r="K233" i="30"/>
  <c r="J234" i="30"/>
  <c r="I235" i="30"/>
  <c r="Q235" i="30"/>
  <c r="P236" i="30"/>
  <c r="O237" i="30"/>
  <c r="N238" i="30"/>
  <c r="M239" i="30"/>
  <c r="L240" i="30"/>
  <c r="K241" i="30"/>
  <c r="J242" i="30"/>
  <c r="I243" i="30"/>
  <c r="Q243" i="30"/>
  <c r="J32" i="30"/>
  <c r="J39" i="30"/>
  <c r="M44" i="30"/>
  <c r="Q50" i="30"/>
  <c r="Q57" i="30"/>
  <c r="K63" i="30"/>
  <c r="K70" i="30"/>
  <c r="O76" i="30"/>
  <c r="I82" i="30"/>
  <c r="I89" i="30"/>
  <c r="I96" i="30"/>
  <c r="L101" i="30"/>
  <c r="P107" i="30"/>
  <c r="P114" i="30"/>
  <c r="J120" i="30"/>
  <c r="P123" i="30"/>
  <c r="O126" i="30"/>
  <c r="I129" i="30"/>
  <c r="Q131" i="30"/>
  <c r="P134" i="30"/>
  <c r="J137" i="30"/>
  <c r="I140" i="30"/>
  <c r="O142" i="30"/>
  <c r="O144" i="30"/>
  <c r="K147" i="30"/>
  <c r="P149" i="30"/>
  <c r="P151" i="30"/>
  <c r="L154" i="30"/>
  <c r="Q156" i="30"/>
  <c r="Q158" i="30"/>
  <c r="M161" i="30"/>
  <c r="I164" i="30"/>
  <c r="I166" i="30"/>
  <c r="N168" i="30"/>
  <c r="J171" i="30"/>
  <c r="O172" i="30"/>
  <c r="I174" i="30"/>
  <c r="N175" i="30"/>
  <c r="Q176" i="30"/>
  <c r="L178" i="30"/>
  <c r="P179" i="30"/>
  <c r="J181" i="30"/>
  <c r="O182" i="30"/>
  <c r="I184" i="30"/>
  <c r="M185" i="30"/>
  <c r="Q186" i="30"/>
  <c r="K188" i="30"/>
  <c r="P189" i="30"/>
  <c r="J191" i="30"/>
  <c r="N192" i="30"/>
  <c r="I194" i="30"/>
  <c r="L195" i="30"/>
  <c r="Q196" i="30"/>
  <c r="K198" i="30"/>
  <c r="O199" i="30"/>
  <c r="J201" i="30"/>
  <c r="K202" i="30"/>
  <c r="J203" i="30"/>
  <c r="I204" i="30"/>
  <c r="Q204" i="30"/>
  <c r="P205" i="30"/>
  <c r="O206" i="30"/>
  <c r="N207" i="30"/>
  <c r="M208" i="30"/>
  <c r="L209" i="30"/>
  <c r="K210" i="30"/>
  <c r="J211" i="30"/>
  <c r="I212" i="30"/>
  <c r="Q212" i="30"/>
  <c r="P213" i="30"/>
  <c r="O214" i="30"/>
  <c r="N215" i="30"/>
  <c r="M216" i="30"/>
  <c r="L217" i="30"/>
  <c r="K218" i="30"/>
  <c r="J219" i="30"/>
  <c r="I220" i="30"/>
  <c r="Q220" i="30"/>
  <c r="P221" i="30"/>
  <c r="O222" i="30"/>
  <c r="K32" i="30"/>
  <c r="M46" i="30"/>
  <c r="J65" i="30"/>
  <c r="P83" i="30"/>
  <c r="I98" i="30"/>
  <c r="N115" i="30"/>
  <c r="P126" i="30"/>
  <c r="Q132" i="30"/>
  <c r="Q140" i="30"/>
  <c r="L147" i="30"/>
  <c r="O152" i="30"/>
  <c r="O159" i="30"/>
  <c r="O166" i="30"/>
  <c r="N171" i="30"/>
  <c r="P175" i="30"/>
  <c r="I180" i="30"/>
  <c r="J183" i="30"/>
  <c r="K187" i="30"/>
  <c r="L191" i="30"/>
  <c r="M194" i="30"/>
  <c r="O198" i="30"/>
  <c r="L202" i="30"/>
  <c r="L204" i="30"/>
  <c r="Q206" i="30"/>
  <c r="M209" i="30"/>
  <c r="M211" i="30"/>
  <c r="I214" i="30"/>
  <c r="N216" i="30"/>
  <c r="N218" i="30"/>
  <c r="J221" i="30"/>
  <c r="N223" i="30"/>
  <c r="L225" i="30"/>
  <c r="J227" i="30"/>
  <c r="Q228" i="30"/>
  <c r="O230" i="30"/>
  <c r="M232" i="30"/>
  <c r="K234" i="30"/>
  <c r="I236" i="30"/>
  <c r="K237" i="30"/>
  <c r="P238" i="30"/>
  <c r="K240" i="30"/>
  <c r="N241" i="30"/>
  <c r="J243" i="30"/>
  <c r="L244" i="30"/>
  <c r="M245" i="30"/>
  <c r="M246" i="30"/>
  <c r="M247" i="30"/>
  <c r="M248" i="30"/>
  <c r="M249" i="30"/>
  <c r="M250" i="30"/>
  <c r="M251" i="30"/>
  <c r="N252" i="30"/>
  <c r="N253" i="30"/>
  <c r="N254" i="30"/>
  <c r="N255" i="30"/>
  <c r="N256" i="30"/>
  <c r="N257" i="30"/>
  <c r="N258" i="30"/>
  <c r="O259" i="30"/>
  <c r="O260" i="30"/>
  <c r="O261" i="30"/>
  <c r="O262" i="30"/>
  <c r="O263" i="30"/>
  <c r="O264" i="30"/>
  <c r="N265" i="30"/>
  <c r="M266" i="30"/>
  <c r="L267" i="30"/>
  <c r="K268" i="30"/>
  <c r="J269" i="30"/>
  <c r="I270" i="30"/>
  <c r="Q270" i="30"/>
  <c r="P271" i="30"/>
  <c r="O272" i="30"/>
  <c r="N273" i="30"/>
  <c r="M274" i="30"/>
  <c r="L275" i="30"/>
  <c r="K276" i="30"/>
  <c r="J277" i="30"/>
  <c r="I278" i="30"/>
  <c r="Q278" i="30"/>
  <c r="P279" i="30"/>
  <c r="O280" i="30"/>
  <c r="N281" i="30"/>
  <c r="M282" i="30"/>
  <c r="L283" i="30"/>
  <c r="K284" i="30"/>
  <c r="J285" i="30"/>
  <c r="I286" i="30"/>
  <c r="Q286" i="30"/>
  <c r="P287" i="30"/>
  <c r="O288" i="30"/>
  <c r="N289" i="30"/>
  <c r="M290" i="30"/>
  <c r="L291" i="30"/>
  <c r="K292" i="30"/>
  <c r="J293" i="30"/>
  <c r="I294" i="30"/>
  <c r="Q294" i="30"/>
  <c r="P295" i="30"/>
  <c r="O296" i="30"/>
  <c r="N297" i="30"/>
  <c r="M298" i="30"/>
  <c r="L299" i="30"/>
  <c r="K300" i="30"/>
  <c r="J301" i="30"/>
  <c r="I302" i="30"/>
  <c r="Q302" i="30"/>
  <c r="P303" i="30"/>
  <c r="O304" i="30"/>
  <c r="N305" i="30"/>
  <c r="M306" i="30"/>
  <c r="L307" i="30"/>
  <c r="K308" i="30"/>
  <c r="J309" i="30"/>
  <c r="I310" i="30"/>
  <c r="Q310" i="30"/>
  <c r="P311" i="30"/>
  <c r="O312" i="30"/>
  <c r="N313" i="30"/>
  <c r="M314" i="30"/>
  <c r="L315" i="30"/>
  <c r="K316" i="30"/>
  <c r="J317" i="30"/>
  <c r="I318" i="30"/>
  <c r="Q318" i="30"/>
  <c r="P319" i="30"/>
  <c r="O320" i="30"/>
  <c r="N321" i="30"/>
  <c r="M322" i="30"/>
  <c r="L323" i="30"/>
  <c r="K324" i="30"/>
  <c r="J325" i="30"/>
  <c r="I326" i="30"/>
  <c r="I34" i="30"/>
  <c r="N51" i="30"/>
  <c r="P65" i="30"/>
  <c r="M84" i="30"/>
  <c r="J103" i="30"/>
  <c r="L117" i="30"/>
  <c r="Q126" i="30"/>
  <c r="Q134" i="30"/>
  <c r="I141" i="30"/>
  <c r="I148" i="30"/>
  <c r="M154" i="30"/>
  <c r="P159" i="30"/>
  <c r="P166" i="30"/>
  <c r="Q172" i="30"/>
  <c r="I176" i="30"/>
  <c r="J180" i="30"/>
  <c r="K184" i="30"/>
  <c r="L187" i="30"/>
  <c r="N191" i="30"/>
  <c r="N195" i="30"/>
  <c r="P198" i="30"/>
  <c r="M202" i="30"/>
  <c r="I205" i="30"/>
  <c r="I207" i="30"/>
  <c r="N209" i="30"/>
  <c r="J212" i="30"/>
  <c r="J214" i="30"/>
  <c r="O216" i="30"/>
  <c r="K219" i="30"/>
  <c r="K221" i="30"/>
  <c r="O223" i="30"/>
  <c r="M225" i="30"/>
  <c r="K227" i="30"/>
  <c r="I229" i="30"/>
  <c r="P230" i="30"/>
  <c r="N232" i="30"/>
  <c r="L234" i="30"/>
  <c r="J236" i="30"/>
  <c r="N237" i="30"/>
  <c r="Q238" i="30"/>
  <c r="M240" i="30"/>
  <c r="O241" i="30"/>
  <c r="K243" i="30"/>
  <c r="N244" i="30"/>
  <c r="N245" i="30"/>
  <c r="N246" i="30"/>
  <c r="N247" i="30"/>
  <c r="N248" i="30"/>
  <c r="N249" i="30"/>
  <c r="N250" i="30"/>
  <c r="O251" i="30"/>
  <c r="O252" i="30"/>
  <c r="O253" i="30"/>
  <c r="O254" i="30"/>
  <c r="O255" i="30"/>
  <c r="O256" i="30"/>
  <c r="O257" i="30"/>
  <c r="P258" i="30"/>
  <c r="P259" i="30"/>
  <c r="P260" i="30"/>
  <c r="P261" i="30"/>
  <c r="P262" i="30"/>
  <c r="P263" i="30"/>
  <c r="P264" i="30"/>
  <c r="O265" i="30"/>
  <c r="N266" i="30"/>
  <c r="M267" i="30"/>
  <c r="L268" i="30"/>
  <c r="K269" i="30"/>
  <c r="J270" i="30"/>
  <c r="I271" i="30"/>
  <c r="Q271" i="30"/>
  <c r="P272" i="30"/>
  <c r="O273" i="30"/>
  <c r="N274" i="30"/>
  <c r="M275" i="30"/>
  <c r="L276" i="30"/>
  <c r="K277" i="30"/>
  <c r="J278" i="30"/>
  <c r="I279" i="30"/>
  <c r="Q279" i="30"/>
  <c r="P280" i="30"/>
  <c r="O281" i="30"/>
  <c r="N282" i="30"/>
  <c r="M283" i="30"/>
  <c r="L284" i="30"/>
  <c r="K285" i="30"/>
  <c r="J286" i="30"/>
  <c r="I287" i="30"/>
  <c r="Q287" i="30"/>
  <c r="P288" i="30"/>
  <c r="O289" i="30"/>
  <c r="N290" i="30"/>
  <c r="M291" i="30"/>
  <c r="L292" i="30"/>
  <c r="K293" i="30"/>
  <c r="J294" i="30"/>
  <c r="I295" i="30"/>
  <c r="Q295" i="30"/>
  <c r="P296" i="30"/>
  <c r="O297" i="30"/>
  <c r="N298" i="30"/>
  <c r="M299" i="30"/>
  <c r="L300" i="30"/>
  <c r="K301" i="30"/>
  <c r="J302" i="30"/>
  <c r="I303" i="30"/>
  <c r="Q303" i="30"/>
  <c r="P304" i="30"/>
  <c r="O305" i="30"/>
  <c r="N306" i="30"/>
  <c r="M307" i="30"/>
  <c r="L308" i="30"/>
  <c r="K309" i="30"/>
  <c r="J310" i="30"/>
  <c r="I311" i="30"/>
  <c r="O34" i="30"/>
  <c r="L53" i="30"/>
  <c r="L70" i="30"/>
  <c r="N84" i="30"/>
  <c r="K103" i="30"/>
  <c r="K121" i="30"/>
  <c r="O127" i="30"/>
  <c r="J135" i="30"/>
  <c r="P142" i="30"/>
  <c r="J148" i="30"/>
  <c r="J155" i="30"/>
  <c r="N161" i="30"/>
  <c r="Q166" i="30"/>
  <c r="I173" i="30"/>
  <c r="J177" i="30"/>
  <c r="K180" i="30"/>
  <c r="M184" i="30"/>
  <c r="M188" i="30"/>
  <c r="O191" i="30"/>
  <c r="P195" i="30"/>
  <c r="P199" i="30"/>
  <c r="N202" i="30"/>
  <c r="J205" i="30"/>
  <c r="O207" i="30"/>
  <c r="O209" i="30"/>
  <c r="K212" i="30"/>
  <c r="P214" i="30"/>
  <c r="P216" i="30"/>
  <c r="L219" i="30"/>
  <c r="Q221" i="30"/>
  <c r="P223" i="30"/>
  <c r="N225" i="30"/>
  <c r="L227" i="30"/>
  <c r="J229" i="30"/>
  <c r="Q230" i="30"/>
  <c r="O232" i="30"/>
  <c r="M234" i="30"/>
  <c r="K236" i="30"/>
  <c r="P237" i="30"/>
  <c r="I239" i="30"/>
  <c r="N240" i="30"/>
  <c r="I242" i="30"/>
  <c r="L243" i="30"/>
  <c r="O244" i="30"/>
  <c r="O245" i="30"/>
  <c r="O246" i="30"/>
  <c r="O247" i="30"/>
  <c r="O248" i="30"/>
  <c r="O249" i="30"/>
  <c r="P250" i="30"/>
  <c r="P251" i="30"/>
  <c r="P252" i="30"/>
  <c r="P253" i="30"/>
  <c r="P254" i="30"/>
  <c r="P255" i="30"/>
  <c r="P256" i="30"/>
  <c r="Q257" i="30"/>
  <c r="Q258" i="30"/>
  <c r="Q259" i="30"/>
  <c r="Q260" i="30"/>
  <c r="Q261" i="30"/>
  <c r="Q262" i="30"/>
  <c r="Q263" i="30"/>
  <c r="Q264" i="30"/>
  <c r="P265" i="30"/>
  <c r="O266" i="30"/>
  <c r="N267" i="30"/>
  <c r="M268" i="30"/>
  <c r="L269" i="30"/>
  <c r="K270" i="30"/>
  <c r="J271" i="30"/>
  <c r="I272" i="30"/>
  <c r="Q272" i="30"/>
  <c r="P273" i="30"/>
  <c r="O274" i="30"/>
  <c r="N275" i="30"/>
  <c r="M276" i="30"/>
  <c r="L277" i="30"/>
  <c r="K278" i="30"/>
  <c r="J279" i="30"/>
  <c r="I280" i="30"/>
  <c r="Q280" i="30"/>
  <c r="P281" i="30"/>
  <c r="O282" i="30"/>
  <c r="N283" i="30"/>
  <c r="M284" i="30"/>
  <c r="L285" i="30"/>
  <c r="K286" i="30"/>
  <c r="J287" i="30"/>
  <c r="I288" i="30"/>
  <c r="Q288" i="30"/>
  <c r="P289" i="30"/>
  <c r="O290" i="30"/>
  <c r="N291" i="30"/>
  <c r="M292" i="30"/>
  <c r="L293" i="30"/>
  <c r="K294" i="30"/>
  <c r="J295" i="30"/>
  <c r="I296" i="30"/>
  <c r="Q296" i="30"/>
  <c r="P297" i="30"/>
  <c r="O298" i="30"/>
  <c r="N299" i="30"/>
  <c r="M300" i="30"/>
  <c r="L301" i="30"/>
  <c r="K302" i="30"/>
  <c r="J303" i="30"/>
  <c r="I304" i="30"/>
  <c r="Q304" i="30"/>
  <c r="P305" i="30"/>
  <c r="O306" i="30"/>
  <c r="N307" i="30"/>
  <c r="M308" i="30"/>
  <c r="L309" i="30"/>
  <c r="K310" i="30"/>
  <c r="J311" i="30"/>
  <c r="I312" i="30"/>
  <c r="Q312" i="30"/>
  <c r="P313" i="30"/>
  <c r="O314" i="30"/>
  <c r="N315" i="30"/>
  <c r="M316" i="30"/>
  <c r="L317" i="30"/>
  <c r="K318" i="30"/>
  <c r="J319" i="30"/>
  <c r="I320" i="30"/>
  <c r="Q320" i="30"/>
  <c r="K39" i="30"/>
  <c r="M53" i="30"/>
  <c r="J72" i="30"/>
  <c r="J89" i="30"/>
  <c r="L103" i="30"/>
  <c r="L121" i="30"/>
  <c r="P129" i="30"/>
  <c r="P135" i="30"/>
  <c r="Q142" i="30"/>
  <c r="Q149" i="30"/>
  <c r="K155" i="30"/>
  <c r="K162" i="30"/>
  <c r="O168" i="30"/>
  <c r="J173" i="30"/>
  <c r="L177" i="30"/>
  <c r="L181" i="30"/>
  <c r="N184" i="30"/>
  <c r="O188" i="30"/>
  <c r="O192" i="30"/>
  <c r="I196" i="30"/>
  <c r="I200" i="30"/>
  <c r="K203" i="30"/>
  <c r="K205" i="30"/>
  <c r="P207" i="30"/>
  <c r="L210" i="30"/>
  <c r="L212" i="30"/>
  <c r="Q214" i="30"/>
  <c r="M217" i="30"/>
  <c r="M219" i="30"/>
  <c r="I222" i="30"/>
  <c r="Q223" i="30"/>
  <c r="O225" i="30"/>
  <c r="M227" i="30"/>
  <c r="K229" i="30"/>
  <c r="I231" i="30"/>
  <c r="P232" i="30"/>
  <c r="N234" i="30"/>
  <c r="L236" i="30"/>
  <c r="Q237" i="30"/>
  <c r="L239" i="30"/>
  <c r="O240" i="30"/>
  <c r="K242" i="30"/>
  <c r="M243" i="30"/>
  <c r="P244" i="30"/>
  <c r="P245" i="30"/>
  <c r="P246" i="30"/>
  <c r="P247" i="30"/>
  <c r="P248" i="30"/>
  <c r="Q249" i="30"/>
  <c r="Q250" i="30"/>
  <c r="Q251" i="30"/>
  <c r="Q252" i="30"/>
  <c r="Q253" i="30"/>
  <c r="Q254" i="30"/>
  <c r="Q255" i="30"/>
  <c r="I257" i="30"/>
  <c r="I258" i="30"/>
  <c r="I259" i="30"/>
  <c r="I260" i="30"/>
  <c r="I261" i="30"/>
  <c r="I262" i="30"/>
  <c r="I263" i="30"/>
  <c r="J264" i="30"/>
  <c r="I265" i="30"/>
  <c r="Q265" i="30"/>
  <c r="P266" i="30"/>
  <c r="O267" i="30"/>
  <c r="N268" i="30"/>
  <c r="M269" i="30"/>
  <c r="L270" i="30"/>
  <c r="K271" i="30"/>
  <c r="J272" i="30"/>
  <c r="I273" i="30"/>
  <c r="Q273" i="30"/>
  <c r="P274" i="30"/>
  <c r="O275" i="30"/>
  <c r="N276" i="30"/>
  <c r="M277" i="30"/>
  <c r="L278" i="30"/>
  <c r="K279" i="30"/>
  <c r="J280" i="30"/>
  <c r="I281" i="30"/>
  <c r="Q281" i="30"/>
  <c r="P282" i="30"/>
  <c r="O283" i="30"/>
  <c r="N284" i="30"/>
  <c r="M285" i="30"/>
  <c r="L286" i="30"/>
  <c r="K287" i="30"/>
  <c r="J288" i="30"/>
  <c r="I289" i="30"/>
  <c r="Q289" i="30"/>
  <c r="P290" i="30"/>
  <c r="O291" i="30"/>
  <c r="N292" i="30"/>
  <c r="M293" i="30"/>
  <c r="L294" i="30"/>
  <c r="K295" i="30"/>
  <c r="J296" i="30"/>
  <c r="I297" i="30"/>
  <c r="Q297" i="30"/>
  <c r="P298" i="30"/>
  <c r="O299" i="30"/>
  <c r="N300" i="30"/>
  <c r="M301" i="30"/>
  <c r="L302" i="30"/>
  <c r="K303" i="30"/>
  <c r="J304" i="30"/>
  <c r="I305" i="30"/>
  <c r="Q305" i="30"/>
  <c r="P306" i="30"/>
  <c r="O307" i="30"/>
  <c r="L39" i="30"/>
  <c r="I58" i="30"/>
  <c r="K72" i="30"/>
  <c r="Q90" i="30"/>
  <c r="M108" i="30"/>
  <c r="M121" i="30"/>
  <c r="Q129" i="30"/>
  <c r="Q137" i="30"/>
  <c r="N143" i="30"/>
  <c r="I150" i="30"/>
  <c r="I157" i="30"/>
  <c r="L162" i="30"/>
  <c r="L169" i="30"/>
  <c r="K174" i="30"/>
  <c r="M177" i="30"/>
  <c r="N181" i="30"/>
  <c r="N185" i="30"/>
  <c r="Q188" i="30"/>
  <c r="Q192" i="30"/>
  <c r="I197" i="30"/>
  <c r="K200" i="30"/>
  <c r="L203" i="30"/>
  <c r="Q205" i="30"/>
  <c r="Q207" i="30"/>
  <c r="M210" i="30"/>
  <c r="I213" i="30"/>
  <c r="I215" i="30"/>
  <c r="N217" i="30"/>
  <c r="J220" i="30"/>
  <c r="J222" i="30"/>
  <c r="M224" i="30"/>
  <c r="K226" i="30"/>
  <c r="I228" i="30"/>
  <c r="P229" i="30"/>
  <c r="N231" i="30"/>
  <c r="L233" i="30"/>
  <c r="J235" i="30"/>
  <c r="O236" i="30"/>
  <c r="I238" i="30"/>
  <c r="N239" i="30"/>
  <c r="P240" i="30"/>
  <c r="L242" i="30"/>
  <c r="P243" i="30"/>
  <c r="Q244" i="30"/>
  <c r="Q245" i="30"/>
  <c r="Q246" i="30"/>
  <c r="Q247" i="30"/>
  <c r="I249" i="30"/>
  <c r="I250" i="30"/>
  <c r="I251" i="30"/>
  <c r="I252" i="30"/>
  <c r="I253" i="30"/>
  <c r="I254" i="30"/>
  <c r="I255" i="30"/>
  <c r="J256" i="30"/>
  <c r="J257" i="30"/>
  <c r="J258" i="30"/>
  <c r="J259" i="30"/>
  <c r="J260" i="30"/>
  <c r="J261" i="30"/>
  <c r="J262" i="30"/>
  <c r="K263" i="30"/>
  <c r="K264" i="30"/>
  <c r="J265" i="30"/>
  <c r="I266" i="30"/>
  <c r="Q266" i="30"/>
  <c r="P267" i="30"/>
  <c r="O268" i="30"/>
  <c r="N269" i="30"/>
  <c r="M270" i="30"/>
  <c r="L271" i="30"/>
  <c r="K272" i="30"/>
  <c r="J273" i="30"/>
  <c r="I274" i="30"/>
  <c r="Q274" i="30"/>
  <c r="P275" i="30"/>
  <c r="O276" i="30"/>
  <c r="N277" i="30"/>
  <c r="M278" i="30"/>
  <c r="L279" i="30"/>
  <c r="K280" i="30"/>
  <c r="J281" i="30"/>
  <c r="I282" i="30"/>
  <c r="Q282" i="30"/>
  <c r="P283" i="30"/>
  <c r="O284" i="30"/>
  <c r="N285" i="30"/>
  <c r="M286" i="30"/>
  <c r="L287" i="30"/>
  <c r="K288" i="30"/>
  <c r="J289" i="30"/>
  <c r="I290" i="30"/>
  <c r="Q290" i="30"/>
  <c r="P291" i="30"/>
  <c r="O292" i="30"/>
  <c r="N293" i="30"/>
  <c r="M294" i="30"/>
  <c r="L295" i="30"/>
  <c r="K296" i="30"/>
  <c r="J297" i="30"/>
  <c r="I298" i="30"/>
  <c r="Q298" i="30"/>
  <c r="P299" i="30"/>
  <c r="O300" i="30"/>
  <c r="N301" i="30"/>
  <c r="M302" i="30"/>
  <c r="L303" i="30"/>
  <c r="K304" i="30"/>
  <c r="J305" i="30"/>
  <c r="I306" i="30"/>
  <c r="Q306" i="30"/>
  <c r="P307" i="30"/>
  <c r="J41" i="30"/>
  <c r="K79" i="30"/>
  <c r="O124" i="30"/>
  <c r="L145" i="30"/>
  <c r="N159" i="30"/>
  <c r="O174" i="30"/>
  <c r="P185" i="30"/>
  <c r="L194" i="30"/>
  <c r="J204" i="30"/>
  <c r="N210" i="30"/>
  <c r="Q215" i="30"/>
  <c r="Q222" i="30"/>
  <c r="J228" i="30"/>
  <c r="Q231" i="30"/>
  <c r="I237" i="30"/>
  <c r="J241" i="30"/>
  <c r="K244" i="30"/>
  <c r="K247" i="30"/>
  <c r="J250" i="30"/>
  <c r="L252" i="30"/>
  <c r="L255" i="30"/>
  <c r="K258" i="30"/>
  <c r="N260" i="30"/>
  <c r="M263" i="30"/>
  <c r="J266" i="30"/>
  <c r="J268" i="30"/>
  <c r="O270" i="30"/>
  <c r="K273" i="30"/>
  <c r="K275" i="30"/>
  <c r="P277" i="30"/>
  <c r="L280" i="30"/>
  <c r="L282" i="30"/>
  <c r="Q284" i="30"/>
  <c r="M287" i="30"/>
  <c r="M289" i="30"/>
  <c r="I292" i="30"/>
  <c r="N294" i="30"/>
  <c r="N296" i="30"/>
  <c r="J299" i="30"/>
  <c r="O301" i="30"/>
  <c r="O303" i="30"/>
  <c r="K306" i="30"/>
  <c r="N308" i="30"/>
  <c r="P309" i="30"/>
  <c r="L311" i="30"/>
  <c r="M312" i="30"/>
  <c r="O313" i="30"/>
  <c r="Q314" i="30"/>
  <c r="I316" i="30"/>
  <c r="K317" i="30"/>
  <c r="M318" i="30"/>
  <c r="N319" i="30"/>
  <c r="P320" i="30"/>
  <c r="Q321" i="30"/>
  <c r="Q322" i="30"/>
  <c r="Q323" i="30"/>
  <c r="Q324" i="30"/>
  <c r="Q325" i="30"/>
  <c r="Q326" i="30"/>
  <c r="P327" i="30"/>
  <c r="O328" i="30"/>
  <c r="N329" i="30"/>
  <c r="M330" i="30"/>
  <c r="L331" i="30"/>
  <c r="K332" i="30"/>
  <c r="J333" i="30"/>
  <c r="I334" i="30"/>
  <c r="Q334" i="30"/>
  <c r="P335" i="30"/>
  <c r="O336" i="30"/>
  <c r="N337" i="30"/>
  <c r="M338" i="30"/>
  <c r="L339" i="30"/>
  <c r="K340" i="30"/>
  <c r="J341" i="30"/>
  <c r="I342" i="30"/>
  <c r="Q342" i="30"/>
  <c r="P343" i="30"/>
  <c r="O344" i="30"/>
  <c r="N345" i="30"/>
  <c r="M346" i="30"/>
  <c r="L347" i="30"/>
  <c r="K348" i="30"/>
  <c r="J349" i="30"/>
  <c r="I350" i="30"/>
  <c r="Q350" i="30"/>
  <c r="P351" i="30"/>
  <c r="O352" i="30"/>
  <c r="N353" i="30"/>
  <c r="M354" i="30"/>
  <c r="L355" i="30"/>
  <c r="K356" i="30"/>
  <c r="J357" i="30"/>
  <c r="I358" i="30"/>
  <c r="Q358" i="30"/>
  <c r="P359" i="30"/>
  <c r="O360" i="30"/>
  <c r="N361" i="30"/>
  <c r="M362" i="30"/>
  <c r="L363" i="30"/>
  <c r="K364" i="30"/>
  <c r="J365" i="30"/>
  <c r="I366" i="30"/>
  <c r="Q366" i="30"/>
  <c r="P367" i="30"/>
  <c r="O368" i="30"/>
  <c r="N369" i="30"/>
  <c r="M370" i="30"/>
  <c r="L371" i="30"/>
  <c r="K372" i="30"/>
  <c r="J373" i="30"/>
  <c r="I374" i="30"/>
  <c r="Q374" i="30"/>
  <c r="P375" i="30"/>
  <c r="O376" i="30"/>
  <c r="N377" i="30"/>
  <c r="M378" i="30"/>
  <c r="L379" i="30"/>
  <c r="K380" i="30"/>
  <c r="J381" i="30"/>
  <c r="I382" i="30"/>
  <c r="Q382" i="30"/>
  <c r="P383" i="30"/>
  <c r="O384" i="30"/>
  <c r="N385" i="30"/>
  <c r="M386" i="30"/>
  <c r="L387" i="30"/>
  <c r="K388" i="30"/>
  <c r="J389" i="30"/>
  <c r="I390" i="30"/>
  <c r="Q390" i="30"/>
  <c r="P391" i="30"/>
  <c r="O392" i="30"/>
  <c r="N393" i="30"/>
  <c r="M394" i="30"/>
  <c r="L395" i="30"/>
  <c r="K396" i="30"/>
  <c r="J397" i="30"/>
  <c r="I398" i="30"/>
  <c r="Q398" i="30"/>
  <c r="P399" i="30"/>
  <c r="O400" i="30"/>
  <c r="N401" i="30"/>
  <c r="M402" i="30"/>
  <c r="L403" i="30"/>
  <c r="K404" i="30"/>
  <c r="J405" i="30"/>
  <c r="I406" i="30"/>
  <c r="Q406" i="30"/>
  <c r="P407" i="30"/>
  <c r="O408" i="30"/>
  <c r="K46" i="30"/>
  <c r="N91" i="30"/>
  <c r="P124" i="30"/>
  <c r="M145" i="30"/>
  <c r="J164" i="30"/>
  <c r="O175" i="30"/>
  <c r="I186" i="30"/>
  <c r="J197" i="30"/>
  <c r="K204" i="30"/>
  <c r="K211" i="30"/>
  <c r="O217" i="30"/>
  <c r="I223" i="30"/>
  <c r="K228" i="30"/>
  <c r="M233" i="30"/>
  <c r="J237" i="30"/>
  <c r="L241" i="30"/>
  <c r="I245" i="30"/>
  <c r="L247" i="30"/>
  <c r="K250" i="30"/>
  <c r="J253" i="30"/>
  <c r="M255" i="30"/>
  <c r="L258" i="30"/>
  <c r="K261" i="30"/>
  <c r="N263" i="30"/>
  <c r="K266" i="30"/>
  <c r="P268" i="30"/>
  <c r="P270" i="30"/>
  <c r="L273" i="30"/>
  <c r="Q275" i="30"/>
  <c r="Q277" i="30"/>
  <c r="M280" i="30"/>
  <c r="I283" i="30"/>
  <c r="I285" i="30"/>
  <c r="N287" i="30"/>
  <c r="J290" i="30"/>
  <c r="J292" i="30"/>
  <c r="O294" i="30"/>
  <c r="K297" i="30"/>
  <c r="K299" i="30"/>
  <c r="P301" i="30"/>
  <c r="L304" i="30"/>
  <c r="L306" i="30"/>
  <c r="O308" i="30"/>
  <c r="Q309" i="30"/>
  <c r="M311" i="30"/>
  <c r="N312" i="30"/>
  <c r="Q313" i="30"/>
  <c r="I315" i="30"/>
  <c r="J316" i="30"/>
  <c r="M317" i="30"/>
  <c r="N318" i="30"/>
  <c r="O319" i="30"/>
  <c r="I321" i="30"/>
  <c r="I322" i="30"/>
  <c r="I323" i="30"/>
  <c r="I324" i="30"/>
  <c r="I325" i="30"/>
  <c r="J326" i="30"/>
  <c r="I327" i="30"/>
  <c r="Q327" i="30"/>
  <c r="P328" i="30"/>
  <c r="O329" i="30"/>
  <c r="N330" i="30"/>
  <c r="M331" i="30"/>
  <c r="L332" i="30"/>
  <c r="K333" i="30"/>
  <c r="J334" i="30"/>
  <c r="I335" i="30"/>
  <c r="Q335" i="30"/>
  <c r="P336" i="30"/>
  <c r="O337" i="30"/>
  <c r="N338" i="30"/>
  <c r="M339" i="30"/>
  <c r="L340" i="30"/>
  <c r="K341" i="30"/>
  <c r="J342" i="30"/>
  <c r="I343" i="30"/>
  <c r="Q343" i="30"/>
  <c r="P344" i="30"/>
  <c r="O345" i="30"/>
  <c r="N346" i="30"/>
  <c r="M347" i="30"/>
  <c r="L348" i="30"/>
  <c r="K349" i="30"/>
  <c r="J350" i="30"/>
  <c r="I351" i="30"/>
  <c r="Q351" i="30"/>
  <c r="P352" i="30"/>
  <c r="O353" i="30"/>
  <c r="N354" i="30"/>
  <c r="M355" i="30"/>
  <c r="L356" i="30"/>
  <c r="K357" i="30"/>
  <c r="J358" i="30"/>
  <c r="I359" i="30"/>
  <c r="Q359" i="30"/>
  <c r="P360" i="30"/>
  <c r="O361" i="30"/>
  <c r="N362" i="30"/>
  <c r="M363" i="30"/>
  <c r="L364" i="30"/>
  <c r="K365" i="30"/>
  <c r="J366" i="30"/>
  <c r="I367" i="30"/>
  <c r="Q367" i="30"/>
  <c r="P368" i="30"/>
  <c r="O369" i="30"/>
  <c r="N370" i="30"/>
  <c r="M371" i="30"/>
  <c r="L372" i="30"/>
  <c r="K373" i="30"/>
  <c r="J374" i="30"/>
  <c r="I375" i="30"/>
  <c r="Q375" i="30"/>
  <c r="P376" i="30"/>
  <c r="O377" i="30"/>
  <c r="N378" i="30"/>
  <c r="L46" i="30"/>
  <c r="J96" i="30"/>
  <c r="I130" i="30"/>
  <c r="N145" i="30"/>
  <c r="K164" i="30"/>
  <c r="M178" i="30"/>
  <c r="J187" i="30"/>
  <c r="L197" i="30"/>
  <c r="I206" i="30"/>
  <c r="L211" i="30"/>
  <c r="L218" i="30"/>
  <c r="N224" i="30"/>
  <c r="L228" i="30"/>
  <c r="N233" i="30"/>
  <c r="J238" i="30"/>
  <c r="M241" i="30"/>
  <c r="J245" i="30"/>
  <c r="J248" i="30"/>
  <c r="L250" i="30"/>
  <c r="K253" i="30"/>
  <c r="K256" i="30"/>
  <c r="M258" i="30"/>
  <c r="M261" i="30"/>
  <c r="L264" i="30"/>
  <c r="L266" i="30"/>
  <c r="Q268" i="30"/>
  <c r="M271" i="30"/>
  <c r="M273" i="30"/>
  <c r="I276" i="30"/>
  <c r="N278" i="30"/>
  <c r="N280" i="30"/>
  <c r="J283" i="30"/>
  <c r="O285" i="30"/>
  <c r="O287" i="30"/>
  <c r="K290" i="30"/>
  <c r="P292" i="30"/>
  <c r="P294" i="30"/>
  <c r="L297" i="30"/>
  <c r="Q299" i="30"/>
  <c r="Q301" i="30"/>
  <c r="M304" i="30"/>
  <c r="I307" i="30"/>
  <c r="P308" i="30"/>
  <c r="L310" i="30"/>
  <c r="N311" i="30"/>
  <c r="P312" i="30"/>
  <c r="I314" i="30"/>
  <c r="J315" i="30"/>
  <c r="L316" i="30"/>
  <c r="N317" i="30"/>
  <c r="O318" i="30"/>
  <c r="Q319" i="30"/>
  <c r="J321" i="30"/>
  <c r="J322" i="30"/>
  <c r="J323" i="30"/>
  <c r="J324" i="30"/>
  <c r="K325" i="30"/>
  <c r="K326" i="30"/>
  <c r="J327" i="30"/>
  <c r="I328" i="30"/>
  <c r="Q328" i="30"/>
  <c r="P329" i="30"/>
  <c r="O330" i="30"/>
  <c r="N331" i="30"/>
  <c r="M332" i="30"/>
  <c r="L333" i="30"/>
  <c r="K334" i="30"/>
  <c r="J335" i="30"/>
  <c r="I336" i="30"/>
  <c r="Q336" i="30"/>
  <c r="P337" i="30"/>
  <c r="O338" i="30"/>
  <c r="N339" i="30"/>
  <c r="M340" i="30"/>
  <c r="L341" i="30"/>
  <c r="K342" i="30"/>
  <c r="J343" i="30"/>
  <c r="I344" i="30"/>
  <c r="Q344" i="30"/>
  <c r="P345" i="30"/>
  <c r="O346" i="30"/>
  <c r="N347" i="30"/>
  <c r="M348" i="30"/>
  <c r="L349" i="30"/>
  <c r="K350" i="30"/>
  <c r="J351" i="30"/>
  <c r="I352" i="30"/>
  <c r="Q352" i="30"/>
  <c r="P353" i="30"/>
  <c r="O354" i="30"/>
  <c r="N355" i="30"/>
  <c r="M356" i="30"/>
  <c r="L357" i="30"/>
  <c r="K358" i="30"/>
  <c r="J359" i="30"/>
  <c r="I360" i="30"/>
  <c r="Q360" i="30"/>
  <c r="P361" i="30"/>
  <c r="O362" i="30"/>
  <c r="N363" i="30"/>
  <c r="M364" i="30"/>
  <c r="L365" i="30"/>
  <c r="K366" i="30"/>
  <c r="J367" i="30"/>
  <c r="I368" i="30"/>
  <c r="Q368" i="30"/>
  <c r="P369" i="30"/>
  <c r="O370" i="30"/>
  <c r="N371" i="30"/>
  <c r="M372" i="30"/>
  <c r="L373" i="30"/>
  <c r="K374" i="30"/>
  <c r="J375" i="30"/>
  <c r="I376" i="30"/>
  <c r="Q376" i="30"/>
  <c r="P377" i="30"/>
  <c r="O378" i="30"/>
  <c r="N379" i="30"/>
  <c r="M380" i="30"/>
  <c r="L381" i="30"/>
  <c r="K382" i="30"/>
  <c r="J383" i="30"/>
  <c r="I384" i="30"/>
  <c r="Q384" i="30"/>
  <c r="P385" i="30"/>
  <c r="O386" i="30"/>
  <c r="N387" i="30"/>
  <c r="M388" i="30"/>
  <c r="L389" i="30"/>
  <c r="K390" i="30"/>
  <c r="J391" i="30"/>
  <c r="I392" i="30"/>
  <c r="Q392" i="30"/>
  <c r="P393" i="30"/>
  <c r="O394" i="30"/>
  <c r="N395" i="30"/>
  <c r="M396" i="30"/>
  <c r="L397" i="30"/>
  <c r="K398" i="30"/>
  <c r="J399" i="30"/>
  <c r="O58" i="30"/>
  <c r="K96" i="30"/>
  <c r="I132" i="30"/>
  <c r="O150" i="30"/>
  <c r="Q164" i="30"/>
  <c r="O178" i="30"/>
  <c r="Q189" i="30"/>
  <c r="M198" i="30"/>
  <c r="J206" i="30"/>
  <c r="J213" i="30"/>
  <c r="M218" i="30"/>
  <c r="O224" i="30"/>
  <c r="Q229" i="30"/>
  <c r="O233" i="30"/>
  <c r="M238" i="30"/>
  <c r="M242" i="30"/>
  <c r="K245" i="30"/>
  <c r="K248" i="30"/>
  <c r="J251" i="30"/>
  <c r="M253" i="30"/>
  <c r="L256" i="30"/>
  <c r="K259" i="30"/>
  <c r="N261" i="30"/>
  <c r="M264" i="30"/>
  <c r="I267" i="30"/>
  <c r="I269" i="30"/>
  <c r="N271" i="30"/>
  <c r="J274" i="30"/>
  <c r="J276" i="30"/>
  <c r="O278" i="30"/>
  <c r="K281" i="30"/>
  <c r="K283" i="30"/>
  <c r="P285" i="30"/>
  <c r="L288" i="30"/>
  <c r="L290" i="30"/>
  <c r="Q292" i="30"/>
  <c r="M295" i="30"/>
  <c r="M297" i="30"/>
  <c r="I300" i="30"/>
  <c r="N302" i="30"/>
  <c r="N304" i="30"/>
  <c r="J307" i="30"/>
  <c r="Q308" i="30"/>
  <c r="M310" i="30"/>
  <c r="O311" i="30"/>
  <c r="I313" i="30"/>
  <c r="J314" i="30"/>
  <c r="K315" i="30"/>
  <c r="N316" i="30"/>
  <c r="O317" i="30"/>
  <c r="P318" i="30"/>
  <c r="J320" i="30"/>
  <c r="K321" i="30"/>
  <c r="K322" i="30"/>
  <c r="K323" i="30"/>
  <c r="L324" i="30"/>
  <c r="L325" i="30"/>
  <c r="L326" i="30"/>
  <c r="K327" i="30"/>
  <c r="J328" i="30"/>
  <c r="I329" i="30"/>
  <c r="Q329" i="30"/>
  <c r="P330" i="30"/>
  <c r="O331" i="30"/>
  <c r="N332" i="30"/>
  <c r="M333" i="30"/>
  <c r="L334" i="30"/>
  <c r="K335" i="30"/>
  <c r="J336" i="30"/>
  <c r="I337" i="30"/>
  <c r="Q337" i="30"/>
  <c r="P338" i="30"/>
  <c r="O339" i="30"/>
  <c r="N340" i="30"/>
  <c r="M341" i="30"/>
  <c r="L342" i="30"/>
  <c r="K343" i="30"/>
  <c r="J344" i="30"/>
  <c r="I345" i="30"/>
  <c r="Q345" i="30"/>
  <c r="P346" i="30"/>
  <c r="O347" i="30"/>
  <c r="N348" i="30"/>
  <c r="M349" i="30"/>
  <c r="L350" i="30"/>
  <c r="K351" i="30"/>
  <c r="J352" i="30"/>
  <c r="I353" i="30"/>
  <c r="Q353" i="30"/>
  <c r="P354" i="30"/>
  <c r="O355" i="30"/>
  <c r="N356" i="30"/>
  <c r="M357" i="30"/>
  <c r="L358" i="30"/>
  <c r="K359" i="30"/>
  <c r="J360" i="30"/>
  <c r="I361" i="30"/>
  <c r="Q361" i="30"/>
  <c r="P362" i="30"/>
  <c r="O363" i="30"/>
  <c r="N364" i="30"/>
  <c r="M365" i="30"/>
  <c r="L366" i="30"/>
  <c r="K367" i="30"/>
  <c r="J368" i="30"/>
  <c r="I369" i="30"/>
  <c r="Q369" i="30"/>
  <c r="P370" i="30"/>
  <c r="O371" i="30"/>
  <c r="N372" i="30"/>
  <c r="M373" i="30"/>
  <c r="L374" i="30"/>
  <c r="K375" i="30"/>
  <c r="J376" i="30"/>
  <c r="I377" i="30"/>
  <c r="Q377" i="30"/>
  <c r="P378" i="30"/>
  <c r="O379" i="30"/>
  <c r="N380" i="30"/>
  <c r="M381" i="30"/>
  <c r="L382" i="30"/>
  <c r="K383" i="30"/>
  <c r="J384" i="30"/>
  <c r="I385" i="30"/>
  <c r="Q385" i="30"/>
  <c r="P386" i="30"/>
  <c r="O387" i="30"/>
  <c r="N388" i="30"/>
  <c r="M389" i="30"/>
  <c r="L390" i="30"/>
  <c r="K391" i="30"/>
  <c r="J392" i="30"/>
  <c r="I393" i="30"/>
  <c r="Q393" i="30"/>
  <c r="M60" i="30"/>
  <c r="K110" i="30"/>
  <c r="P132" i="30"/>
  <c r="M152" i="30"/>
  <c r="M169" i="30"/>
  <c r="Q178" i="30"/>
  <c r="I190" i="30"/>
  <c r="L201" i="30"/>
  <c r="P206" i="30"/>
  <c r="K213" i="30"/>
  <c r="K220" i="30"/>
  <c r="P224" i="30"/>
  <c r="I230" i="30"/>
  <c r="K235" i="30"/>
  <c r="O238" i="30"/>
  <c r="N242" i="30"/>
  <c r="I246" i="30"/>
  <c r="L248" i="30"/>
  <c r="K251" i="30"/>
  <c r="J254" i="30"/>
  <c r="M256" i="30"/>
  <c r="L259" i="30"/>
  <c r="L262" i="30"/>
  <c r="N264" i="30"/>
  <c r="J267" i="30"/>
  <c r="O269" i="30"/>
  <c r="O271" i="30"/>
  <c r="K274" i="30"/>
  <c r="P276" i="30"/>
  <c r="P278" i="30"/>
  <c r="L281" i="30"/>
  <c r="Q283" i="30"/>
  <c r="Q285" i="30"/>
  <c r="M288" i="30"/>
  <c r="I291" i="30"/>
  <c r="I293" i="30"/>
  <c r="N295" i="30"/>
  <c r="J298" i="30"/>
  <c r="J300" i="30"/>
  <c r="O302" i="30"/>
  <c r="K305" i="30"/>
  <c r="K307" i="30"/>
  <c r="I309" i="30"/>
  <c r="N310" i="30"/>
  <c r="Q311" i="30"/>
  <c r="J313" i="30"/>
  <c r="K314" i="30"/>
  <c r="M315" i="30"/>
  <c r="O316" i="30"/>
  <c r="P317" i="30"/>
  <c r="I319" i="30"/>
  <c r="K320" i="30"/>
  <c r="L321" i="30"/>
  <c r="L322" i="30"/>
  <c r="M323" i="30"/>
  <c r="M324" i="30"/>
  <c r="M325" i="30"/>
  <c r="M326" i="30"/>
  <c r="L327" i="30"/>
  <c r="K328" i="30"/>
  <c r="J329" i="30"/>
  <c r="I330" i="30"/>
  <c r="Q330" i="30"/>
  <c r="P331" i="30"/>
  <c r="O332" i="30"/>
  <c r="N333" i="30"/>
  <c r="M334" i="30"/>
  <c r="L335" i="30"/>
  <c r="K336" i="30"/>
  <c r="J337" i="30"/>
  <c r="I338" i="30"/>
  <c r="Q338" i="30"/>
  <c r="P339" i="30"/>
  <c r="O340" i="30"/>
  <c r="N341" i="30"/>
  <c r="M342" i="30"/>
  <c r="L343" i="30"/>
  <c r="K344" i="30"/>
  <c r="J345" i="30"/>
  <c r="I346" i="30"/>
  <c r="Q346" i="30"/>
  <c r="P347" i="30"/>
  <c r="O348" i="30"/>
  <c r="N349" i="30"/>
  <c r="M350" i="30"/>
  <c r="L351" i="30"/>
  <c r="K352" i="30"/>
  <c r="J353" i="30"/>
  <c r="I354" i="30"/>
  <c r="Q354" i="30"/>
  <c r="P355" i="30"/>
  <c r="O356" i="30"/>
  <c r="N357" i="30"/>
  <c r="M358" i="30"/>
  <c r="L359" i="30"/>
  <c r="K360" i="30"/>
  <c r="J361" i="30"/>
  <c r="I362" i="30"/>
  <c r="Q362" i="30"/>
  <c r="P363" i="30"/>
  <c r="O364" i="30"/>
  <c r="N365" i="30"/>
  <c r="M366" i="30"/>
  <c r="L367" i="30"/>
  <c r="K368" i="30"/>
  <c r="J369" i="30"/>
  <c r="I370" i="30"/>
  <c r="Q370" i="30"/>
  <c r="P371" i="30"/>
  <c r="O372" i="30"/>
  <c r="N373" i="30"/>
  <c r="M374" i="30"/>
  <c r="L375" i="30"/>
  <c r="K376" i="30"/>
  <c r="J377" i="30"/>
  <c r="I378" i="30"/>
  <c r="Q378" i="30"/>
  <c r="P379" i="30"/>
  <c r="O380" i="30"/>
  <c r="N381" i="30"/>
  <c r="M382" i="30"/>
  <c r="L383" i="30"/>
  <c r="K384" i="30"/>
  <c r="J385" i="30"/>
  <c r="I386" i="30"/>
  <c r="Q386" i="30"/>
  <c r="P387" i="30"/>
  <c r="I65" i="30"/>
  <c r="J140" i="30"/>
  <c r="P182" i="30"/>
  <c r="N208" i="30"/>
  <c r="P222" i="30"/>
  <c r="M235" i="30"/>
  <c r="J246" i="30"/>
  <c r="K252" i="30"/>
  <c r="K260" i="30"/>
  <c r="K267" i="30"/>
  <c r="N272" i="30"/>
  <c r="N279" i="30"/>
  <c r="N286" i="30"/>
  <c r="Q291" i="30"/>
  <c r="L298" i="30"/>
  <c r="L305" i="30"/>
  <c r="O309" i="30"/>
  <c r="L313" i="30"/>
  <c r="P316" i="30"/>
  <c r="M319" i="30"/>
  <c r="O322" i="30"/>
  <c r="N325" i="30"/>
  <c r="O327" i="30"/>
  <c r="K330" i="30"/>
  <c r="P332" i="30"/>
  <c r="P334" i="30"/>
  <c r="L337" i="30"/>
  <c r="Q339" i="30"/>
  <c r="Q341" i="30"/>
  <c r="M344" i="30"/>
  <c r="I347" i="30"/>
  <c r="I349" i="30"/>
  <c r="N351" i="30"/>
  <c r="J354" i="30"/>
  <c r="J356" i="30"/>
  <c r="O358" i="30"/>
  <c r="K361" i="30"/>
  <c r="K363" i="30"/>
  <c r="P365" i="30"/>
  <c r="L368" i="30"/>
  <c r="L370" i="30"/>
  <c r="Q372" i="30"/>
  <c r="M375" i="30"/>
  <c r="M377" i="30"/>
  <c r="Q379" i="30"/>
  <c r="O381" i="30"/>
  <c r="M383" i="30"/>
  <c r="K385" i="30"/>
  <c r="I387" i="30"/>
  <c r="O388" i="30"/>
  <c r="Q389" i="30"/>
  <c r="M391" i="30"/>
  <c r="P392" i="30"/>
  <c r="K394" i="30"/>
  <c r="M395" i="30"/>
  <c r="O396" i="30"/>
  <c r="P397" i="30"/>
  <c r="I399" i="30"/>
  <c r="J400" i="30"/>
  <c r="J401" i="30"/>
  <c r="J402" i="30"/>
  <c r="J403" i="30"/>
  <c r="J404" i="30"/>
  <c r="K405" i="30"/>
  <c r="K406" i="30"/>
  <c r="K407" i="30"/>
  <c r="K408" i="30"/>
  <c r="K409" i="30"/>
  <c r="J410" i="30"/>
  <c r="I411" i="30"/>
  <c r="Q411" i="30"/>
  <c r="P412" i="30"/>
  <c r="O413" i="30"/>
  <c r="N414" i="30"/>
  <c r="M415" i="30"/>
  <c r="L416" i="30"/>
  <c r="K417" i="30"/>
  <c r="J418" i="30"/>
  <c r="I419" i="30"/>
  <c r="Q419" i="30"/>
  <c r="P420" i="30"/>
  <c r="O421" i="30"/>
  <c r="N422" i="30"/>
  <c r="M423" i="30"/>
  <c r="L424" i="30"/>
  <c r="K425" i="30"/>
  <c r="J426" i="30"/>
  <c r="I427" i="30"/>
  <c r="Q427" i="30"/>
  <c r="P428" i="30"/>
  <c r="O429" i="30"/>
  <c r="N430" i="30"/>
  <c r="M431" i="30"/>
  <c r="L432" i="30"/>
  <c r="K433" i="30"/>
  <c r="J434" i="30"/>
  <c r="I435" i="30"/>
  <c r="Q435" i="30"/>
  <c r="P436" i="30"/>
  <c r="O437" i="30"/>
  <c r="N438" i="30"/>
  <c r="M439" i="30"/>
  <c r="L440" i="30"/>
  <c r="K441" i="30"/>
  <c r="J442" i="30"/>
  <c r="I443" i="30"/>
  <c r="Q443" i="30"/>
  <c r="P444" i="30"/>
  <c r="O445" i="30"/>
  <c r="N446" i="30"/>
  <c r="M447" i="30"/>
  <c r="L448" i="30"/>
  <c r="K449" i="30"/>
  <c r="J450" i="30"/>
  <c r="I451" i="30"/>
  <c r="Q451" i="30"/>
  <c r="P452" i="30"/>
  <c r="O453" i="30"/>
  <c r="N454" i="30"/>
  <c r="M455" i="30"/>
  <c r="L456" i="30"/>
  <c r="K457" i="30"/>
  <c r="J458" i="30"/>
  <c r="I459" i="30"/>
  <c r="Q459" i="30"/>
  <c r="P460" i="30"/>
  <c r="O461" i="30"/>
  <c r="N462" i="30"/>
  <c r="M463" i="30"/>
  <c r="L464" i="30"/>
  <c r="K465" i="30"/>
  <c r="J466" i="30"/>
  <c r="I467" i="30"/>
  <c r="Q467" i="30"/>
  <c r="P468" i="30"/>
  <c r="O469" i="30"/>
  <c r="N470" i="30"/>
  <c r="M471" i="30"/>
  <c r="L472" i="30"/>
  <c r="K473" i="30"/>
  <c r="J474" i="30"/>
  <c r="I475" i="30"/>
  <c r="Q475" i="30"/>
  <c r="P476" i="30"/>
  <c r="O477" i="30"/>
  <c r="N478" i="30"/>
  <c r="M479" i="30"/>
  <c r="L480" i="30"/>
  <c r="K481" i="30"/>
  <c r="J482" i="30"/>
  <c r="I483" i="30"/>
  <c r="Q483" i="30"/>
  <c r="P484" i="30"/>
  <c r="O485" i="30"/>
  <c r="N486" i="30"/>
  <c r="M487" i="30"/>
  <c r="L488" i="30"/>
  <c r="K489" i="30"/>
  <c r="J490" i="30"/>
  <c r="I491" i="30"/>
  <c r="Q491" i="30"/>
  <c r="P492" i="30"/>
  <c r="O493" i="30"/>
  <c r="N494" i="30"/>
  <c r="M495" i="30"/>
  <c r="L496" i="30"/>
  <c r="K497" i="30"/>
  <c r="J498" i="30"/>
  <c r="I499" i="30"/>
  <c r="Q499" i="30"/>
  <c r="P500" i="30"/>
  <c r="O501" i="30"/>
  <c r="N502" i="30"/>
  <c r="M503" i="30"/>
  <c r="L504" i="30"/>
  <c r="K505" i="30"/>
  <c r="J506" i="30"/>
  <c r="I507" i="30"/>
  <c r="Q507" i="30"/>
  <c r="P508" i="30"/>
  <c r="O509" i="30"/>
  <c r="N510" i="30"/>
  <c r="M511" i="30"/>
  <c r="L512" i="30"/>
  <c r="K513" i="30"/>
  <c r="J514" i="30"/>
  <c r="I515" i="30"/>
  <c r="Q515" i="30"/>
  <c r="P516" i="30"/>
  <c r="O517" i="30"/>
  <c r="N518" i="30"/>
  <c r="M519" i="30"/>
  <c r="L520" i="30"/>
  <c r="K521" i="30"/>
  <c r="J522" i="30"/>
  <c r="I523" i="30"/>
  <c r="Q523" i="30"/>
  <c r="P524" i="30"/>
  <c r="O525" i="30"/>
  <c r="N526" i="30"/>
  <c r="M527" i="30"/>
  <c r="L528" i="30"/>
  <c r="K529" i="30"/>
  <c r="J530" i="30"/>
  <c r="I531" i="30"/>
  <c r="Q531" i="30"/>
  <c r="P532" i="30"/>
  <c r="O533" i="30"/>
  <c r="N534" i="30"/>
  <c r="M535" i="30"/>
  <c r="L536" i="30"/>
  <c r="K537" i="30"/>
  <c r="J538" i="30"/>
  <c r="I539" i="30"/>
  <c r="Q539" i="30"/>
  <c r="P540" i="30"/>
  <c r="O541" i="30"/>
  <c r="N542" i="30"/>
  <c r="M543" i="30"/>
  <c r="L544" i="30"/>
  <c r="K545" i="30"/>
  <c r="J546" i="30"/>
  <c r="I547" i="30"/>
  <c r="Q547" i="30"/>
  <c r="P548" i="30"/>
  <c r="O549" i="30"/>
  <c r="N550" i="30"/>
  <c r="M551" i="30"/>
  <c r="L552" i="30"/>
  <c r="K553" i="30"/>
  <c r="J554" i="30"/>
  <c r="I555" i="30"/>
  <c r="Q555" i="30"/>
  <c r="P556" i="30"/>
  <c r="O557" i="30"/>
  <c r="N558" i="30"/>
  <c r="M559" i="30"/>
  <c r="L560" i="30"/>
  <c r="K561" i="30"/>
  <c r="J562" i="30"/>
  <c r="I563" i="30"/>
  <c r="Q563" i="30"/>
  <c r="P564" i="30"/>
  <c r="O565" i="30"/>
  <c r="N566" i="30"/>
  <c r="M567" i="30"/>
  <c r="L568" i="30"/>
  <c r="K569" i="30"/>
  <c r="J570" i="30"/>
  <c r="I571" i="30"/>
  <c r="Q571" i="30"/>
  <c r="P572" i="30"/>
  <c r="O573" i="30"/>
  <c r="N574" i="30"/>
  <c r="M575" i="30"/>
  <c r="L77" i="30"/>
  <c r="N152" i="30"/>
  <c r="Q182" i="30"/>
  <c r="O208" i="30"/>
  <c r="L226" i="30"/>
  <c r="Q236" i="30"/>
  <c r="L246" i="30"/>
  <c r="L254" i="30"/>
  <c r="L260" i="30"/>
  <c r="Q267" i="30"/>
  <c r="L274" i="30"/>
  <c r="O279" i="30"/>
  <c r="O286" i="30"/>
  <c r="O293" i="30"/>
  <c r="I299" i="30"/>
  <c r="M305" i="30"/>
  <c r="O310" i="30"/>
  <c r="M313" i="30"/>
  <c r="Q316" i="30"/>
  <c r="L320" i="30"/>
  <c r="P322" i="30"/>
  <c r="O325" i="30"/>
  <c r="L328" i="30"/>
  <c r="L330" i="30"/>
  <c r="Q332" i="30"/>
  <c r="M335" i="30"/>
  <c r="M337" i="30"/>
  <c r="I340" i="30"/>
  <c r="N342" i="30"/>
  <c r="N344" i="30"/>
  <c r="J347" i="30"/>
  <c r="O349" i="30"/>
  <c r="O351" i="30"/>
  <c r="K354" i="30"/>
  <c r="P356" i="30"/>
  <c r="P358" i="30"/>
  <c r="L361" i="30"/>
  <c r="Q363" i="30"/>
  <c r="Q365" i="30"/>
  <c r="M368" i="30"/>
  <c r="I371" i="30"/>
  <c r="I373" i="30"/>
  <c r="N375" i="30"/>
  <c r="J378" i="30"/>
  <c r="I380" i="30"/>
  <c r="P381" i="30"/>
  <c r="N383" i="30"/>
  <c r="L385" i="30"/>
  <c r="J387" i="30"/>
  <c r="P388" i="30"/>
  <c r="J390" i="30"/>
  <c r="N391" i="30"/>
  <c r="J393" i="30"/>
  <c r="L394" i="30"/>
  <c r="O395" i="30"/>
  <c r="P396" i="30"/>
  <c r="Q397" i="30"/>
  <c r="K399" i="30"/>
  <c r="K400" i="30"/>
  <c r="K401" i="30"/>
  <c r="K402" i="30"/>
  <c r="K403" i="30"/>
  <c r="L404" i="30"/>
  <c r="L405" i="30"/>
  <c r="L406" i="30"/>
  <c r="L407" i="30"/>
  <c r="L408" i="30"/>
  <c r="L409" i="30"/>
  <c r="K410" i="30"/>
  <c r="J411" i="30"/>
  <c r="I412" i="30"/>
  <c r="Q412" i="30"/>
  <c r="P413" i="30"/>
  <c r="O414" i="30"/>
  <c r="N415" i="30"/>
  <c r="M416" i="30"/>
  <c r="L417" i="30"/>
  <c r="K418" i="30"/>
  <c r="J419" i="30"/>
  <c r="I420" i="30"/>
  <c r="Q420" i="30"/>
  <c r="P421" i="30"/>
  <c r="O422" i="30"/>
  <c r="N423" i="30"/>
  <c r="M424" i="30"/>
  <c r="L425" i="30"/>
  <c r="K426" i="30"/>
  <c r="J427" i="30"/>
  <c r="I428" i="30"/>
  <c r="Q428" i="30"/>
  <c r="P429" i="30"/>
  <c r="O430" i="30"/>
  <c r="N431" i="30"/>
  <c r="M432" i="30"/>
  <c r="L433" i="30"/>
  <c r="K434" i="30"/>
  <c r="J435" i="30"/>
  <c r="I436" i="30"/>
  <c r="Q436" i="30"/>
  <c r="P437" i="30"/>
  <c r="O438" i="30"/>
  <c r="N439" i="30"/>
  <c r="M440" i="30"/>
  <c r="L441" i="30"/>
  <c r="K442" i="30"/>
  <c r="J443" i="30"/>
  <c r="I444" i="30"/>
  <c r="Q444" i="30"/>
  <c r="P445" i="30"/>
  <c r="O446" i="30"/>
  <c r="N447" i="30"/>
  <c r="M448" i="30"/>
  <c r="L449" i="30"/>
  <c r="K450" i="30"/>
  <c r="J451" i="30"/>
  <c r="I452" i="30"/>
  <c r="Q452" i="30"/>
  <c r="P453" i="30"/>
  <c r="O454" i="30"/>
  <c r="N455" i="30"/>
  <c r="M456" i="30"/>
  <c r="L457" i="30"/>
  <c r="K458" i="30"/>
  <c r="J459" i="30"/>
  <c r="I460" i="30"/>
  <c r="Q460" i="30"/>
  <c r="P461" i="30"/>
  <c r="O462" i="30"/>
  <c r="N463" i="30"/>
  <c r="M464" i="30"/>
  <c r="L465" i="30"/>
  <c r="K466" i="30"/>
  <c r="J467" i="30"/>
  <c r="I468" i="30"/>
  <c r="Q468" i="30"/>
  <c r="P469" i="30"/>
  <c r="O470" i="30"/>
  <c r="N471" i="30"/>
  <c r="M472" i="30"/>
  <c r="L473" i="30"/>
  <c r="K474" i="30"/>
  <c r="J475" i="30"/>
  <c r="I476" i="30"/>
  <c r="Q476" i="30"/>
  <c r="P477" i="30"/>
  <c r="O478" i="30"/>
  <c r="N479" i="30"/>
  <c r="M480" i="30"/>
  <c r="L481" i="30"/>
  <c r="K482" i="30"/>
  <c r="J483" i="30"/>
  <c r="I484" i="30"/>
  <c r="Q484" i="30"/>
  <c r="P485" i="30"/>
  <c r="O486" i="30"/>
  <c r="N487" i="30"/>
  <c r="M488" i="30"/>
  <c r="L489" i="30"/>
  <c r="K490" i="30"/>
  <c r="J491" i="30"/>
  <c r="I492" i="30"/>
  <c r="Q492" i="30"/>
  <c r="P493" i="30"/>
  <c r="O494" i="30"/>
  <c r="N495" i="30"/>
  <c r="M496" i="30"/>
  <c r="L497" i="30"/>
  <c r="K498" i="30"/>
  <c r="J499" i="30"/>
  <c r="I500" i="30"/>
  <c r="Q500" i="30"/>
  <c r="P501" i="30"/>
  <c r="O502" i="30"/>
  <c r="N503" i="30"/>
  <c r="M504" i="30"/>
  <c r="L505" i="30"/>
  <c r="K506" i="30"/>
  <c r="J507" i="30"/>
  <c r="I508" i="30"/>
  <c r="Q508" i="30"/>
  <c r="P509" i="30"/>
  <c r="O510" i="30"/>
  <c r="N511" i="30"/>
  <c r="M512" i="30"/>
  <c r="L513" i="30"/>
  <c r="K514" i="30"/>
  <c r="J515" i="30"/>
  <c r="I516" i="30"/>
  <c r="Q516" i="30"/>
  <c r="P517" i="30"/>
  <c r="O518" i="30"/>
  <c r="N519" i="30"/>
  <c r="M520" i="30"/>
  <c r="L521" i="30"/>
  <c r="K522" i="30"/>
  <c r="J523" i="30"/>
  <c r="I524" i="30"/>
  <c r="M77" i="30"/>
  <c r="J157" i="30"/>
  <c r="K190" i="30"/>
  <c r="P208" i="30"/>
  <c r="M226" i="30"/>
  <c r="O239" i="30"/>
  <c r="I247" i="30"/>
  <c r="M254" i="30"/>
  <c r="M262" i="30"/>
  <c r="I268" i="30"/>
  <c r="I275" i="30"/>
  <c r="M281" i="30"/>
  <c r="P286" i="30"/>
  <c r="P293" i="30"/>
  <c r="P300" i="30"/>
  <c r="J306" i="30"/>
  <c r="P310" i="30"/>
  <c r="L314" i="30"/>
  <c r="I317" i="30"/>
  <c r="M320" i="30"/>
  <c r="N323" i="30"/>
  <c r="P325" i="30"/>
  <c r="M328" i="30"/>
  <c r="I331" i="30"/>
  <c r="I333" i="30"/>
  <c r="N335" i="30"/>
  <c r="J338" i="30"/>
  <c r="J340" i="30"/>
  <c r="O342" i="30"/>
  <c r="K345" i="30"/>
  <c r="K347" i="30"/>
  <c r="P349" i="30"/>
  <c r="L352" i="30"/>
  <c r="L354" i="30"/>
  <c r="Q356" i="30"/>
  <c r="M359" i="30"/>
  <c r="M361" i="30"/>
  <c r="I364" i="30"/>
  <c r="N366" i="30"/>
  <c r="N368" i="30"/>
  <c r="J371" i="30"/>
  <c r="O373" i="30"/>
  <c r="O375" i="30"/>
  <c r="K378" i="30"/>
  <c r="J380" i="30"/>
  <c r="Q381" i="30"/>
  <c r="O383" i="30"/>
  <c r="M385" i="30"/>
  <c r="K387" i="30"/>
  <c r="Q388" i="30"/>
  <c r="M390" i="30"/>
  <c r="O391" i="30"/>
  <c r="K393" i="30"/>
  <c r="N394" i="30"/>
  <c r="P395" i="30"/>
  <c r="Q396" i="30"/>
  <c r="J398" i="30"/>
  <c r="L399" i="30"/>
  <c r="L400" i="30"/>
  <c r="L401" i="30"/>
  <c r="L402" i="30"/>
  <c r="M403" i="30"/>
  <c r="M404" i="30"/>
  <c r="M405" i="30"/>
  <c r="M406" i="30"/>
  <c r="M407" i="30"/>
  <c r="M408" i="30"/>
  <c r="M409" i="30"/>
  <c r="L410" i="30"/>
  <c r="K411" i="30"/>
  <c r="J412" i="30"/>
  <c r="I413" i="30"/>
  <c r="Q413" i="30"/>
  <c r="P414" i="30"/>
  <c r="O415" i="30"/>
  <c r="N416" i="30"/>
  <c r="M417" i="30"/>
  <c r="L418" i="30"/>
  <c r="K419" i="30"/>
  <c r="J420" i="30"/>
  <c r="I421" i="30"/>
  <c r="Q421" i="30"/>
  <c r="P422" i="30"/>
  <c r="O423" i="30"/>
  <c r="N424" i="30"/>
  <c r="M425" i="30"/>
  <c r="L426" i="30"/>
  <c r="K427" i="30"/>
  <c r="J428" i="30"/>
  <c r="I429" i="30"/>
  <c r="Q429" i="30"/>
  <c r="P430" i="30"/>
  <c r="O431" i="30"/>
  <c r="N432" i="30"/>
  <c r="M433" i="30"/>
  <c r="L434" i="30"/>
  <c r="K435" i="30"/>
  <c r="J436" i="30"/>
  <c r="I437" i="30"/>
  <c r="Q437" i="30"/>
  <c r="P438" i="30"/>
  <c r="O439" i="30"/>
  <c r="N440" i="30"/>
  <c r="M441" i="30"/>
  <c r="L442" i="30"/>
  <c r="K443" i="30"/>
  <c r="J444" i="30"/>
  <c r="I445" i="30"/>
  <c r="Q445" i="30"/>
  <c r="P446" i="30"/>
  <c r="O447" i="30"/>
  <c r="N448" i="30"/>
  <c r="M449" i="30"/>
  <c r="L450" i="30"/>
  <c r="K451" i="30"/>
  <c r="J452" i="30"/>
  <c r="I453" i="30"/>
  <c r="Q453" i="30"/>
  <c r="P454" i="30"/>
  <c r="O455" i="30"/>
  <c r="N456" i="30"/>
  <c r="M457" i="30"/>
  <c r="L458" i="30"/>
  <c r="K459" i="30"/>
  <c r="J460" i="30"/>
  <c r="I461" i="30"/>
  <c r="Q461" i="30"/>
  <c r="P462" i="30"/>
  <c r="O463" i="30"/>
  <c r="N464" i="30"/>
  <c r="M465" i="30"/>
  <c r="L466" i="30"/>
  <c r="K467" i="30"/>
  <c r="J468" i="30"/>
  <c r="I469" i="30"/>
  <c r="Q469" i="30"/>
  <c r="P470" i="30"/>
  <c r="O471" i="30"/>
  <c r="N472" i="30"/>
  <c r="M473" i="30"/>
  <c r="L474" i="30"/>
  <c r="K475" i="30"/>
  <c r="J476" i="30"/>
  <c r="I477" i="30"/>
  <c r="Q477" i="30"/>
  <c r="P478" i="30"/>
  <c r="O479" i="30"/>
  <c r="N480" i="30"/>
  <c r="M481" i="30"/>
  <c r="L482" i="30"/>
  <c r="K483" i="30"/>
  <c r="J484" i="30"/>
  <c r="I485" i="30"/>
  <c r="Q485" i="30"/>
  <c r="P486" i="30"/>
  <c r="O487" i="30"/>
  <c r="N488" i="30"/>
  <c r="M489" i="30"/>
  <c r="L490" i="30"/>
  <c r="K491" i="30"/>
  <c r="J492" i="30"/>
  <c r="I493" i="30"/>
  <c r="Q493" i="30"/>
  <c r="P494" i="30"/>
  <c r="O495" i="30"/>
  <c r="N496" i="30"/>
  <c r="M497" i="30"/>
  <c r="L498" i="30"/>
  <c r="K499" i="30"/>
  <c r="J500" i="30"/>
  <c r="I501" i="30"/>
  <c r="Q501" i="30"/>
  <c r="P502" i="30"/>
  <c r="O503" i="30"/>
  <c r="N504" i="30"/>
  <c r="M505" i="30"/>
  <c r="L506" i="30"/>
  <c r="K507" i="30"/>
  <c r="J508" i="30"/>
  <c r="I509" i="30"/>
  <c r="Q509" i="30"/>
  <c r="P510" i="30"/>
  <c r="O511" i="30"/>
  <c r="N512" i="30"/>
  <c r="M513" i="30"/>
  <c r="L514" i="30"/>
  <c r="K515" i="30"/>
  <c r="J516" i="30"/>
  <c r="I517" i="30"/>
  <c r="Q517" i="30"/>
  <c r="P518" i="30"/>
  <c r="O519" i="30"/>
  <c r="N520" i="30"/>
  <c r="M521" i="30"/>
  <c r="L522" i="30"/>
  <c r="K523" i="30"/>
  <c r="J524" i="30"/>
  <c r="I525" i="30"/>
  <c r="Q525" i="30"/>
  <c r="P526" i="30"/>
  <c r="O527" i="30"/>
  <c r="N528" i="30"/>
  <c r="M529" i="30"/>
  <c r="L530" i="30"/>
  <c r="K531" i="30"/>
  <c r="J532" i="30"/>
  <c r="I533" i="30"/>
  <c r="Q533" i="30"/>
  <c r="P534" i="30"/>
  <c r="O535" i="30"/>
  <c r="N536" i="30"/>
  <c r="M537" i="30"/>
  <c r="L538" i="30"/>
  <c r="K539" i="30"/>
  <c r="J540" i="30"/>
  <c r="I541" i="30"/>
  <c r="Q541" i="30"/>
  <c r="P542" i="30"/>
  <c r="O543" i="30"/>
  <c r="N544" i="30"/>
  <c r="M545" i="30"/>
  <c r="L546" i="30"/>
  <c r="K547" i="30"/>
  <c r="J548" i="30"/>
  <c r="I549" i="30"/>
  <c r="Q549" i="30"/>
  <c r="P550" i="30"/>
  <c r="O551" i="30"/>
  <c r="N552" i="30"/>
  <c r="M553" i="30"/>
  <c r="L554" i="30"/>
  <c r="K555" i="30"/>
  <c r="J556" i="30"/>
  <c r="L110" i="30"/>
  <c r="P157" i="30"/>
  <c r="J193" i="30"/>
  <c r="Q213" i="30"/>
  <c r="N226" i="30"/>
  <c r="P239" i="30"/>
  <c r="J249" i="30"/>
  <c r="K255" i="30"/>
  <c r="N262" i="30"/>
  <c r="P269" i="30"/>
  <c r="J275" i="30"/>
  <c r="J282" i="30"/>
  <c r="N288" i="30"/>
  <c r="Q293" i="30"/>
  <c r="Q300" i="30"/>
  <c r="Q307" i="30"/>
  <c r="K311" i="30"/>
  <c r="N314" i="30"/>
  <c r="Q317" i="30"/>
  <c r="N320" i="30"/>
  <c r="O323" i="30"/>
  <c r="N326" i="30"/>
  <c r="N328" i="30"/>
  <c r="J331" i="30"/>
  <c r="O333" i="30"/>
  <c r="O335" i="30"/>
  <c r="K338" i="30"/>
  <c r="P340" i="30"/>
  <c r="P342" i="30"/>
  <c r="L345" i="30"/>
  <c r="Q347" i="30"/>
  <c r="Q349" i="30"/>
  <c r="M352" i="30"/>
  <c r="I355" i="30"/>
  <c r="I357" i="30"/>
  <c r="N359" i="30"/>
  <c r="J362" i="30"/>
  <c r="J364" i="30"/>
  <c r="O366" i="30"/>
  <c r="K369" i="30"/>
  <c r="K371" i="30"/>
  <c r="P373" i="30"/>
  <c r="L376" i="30"/>
  <c r="L378" i="30"/>
  <c r="L380" i="30"/>
  <c r="J382" i="30"/>
  <c r="Q383" i="30"/>
  <c r="O385" i="30"/>
  <c r="M387" i="30"/>
  <c r="I389" i="30"/>
  <c r="N390" i="30"/>
  <c r="Q391" i="30"/>
  <c r="L393" i="30"/>
  <c r="P394" i="30"/>
  <c r="Q395" i="30"/>
  <c r="I397" i="30"/>
  <c r="L398" i="30"/>
  <c r="M399" i="30"/>
  <c r="M400" i="30"/>
  <c r="M401" i="30"/>
  <c r="N402" i="30"/>
  <c r="N403" i="30"/>
  <c r="N404" i="30"/>
  <c r="N405" i="30"/>
  <c r="N406" i="30"/>
  <c r="N407" i="30"/>
  <c r="N408" i="30"/>
  <c r="N409" i="30"/>
  <c r="M410" i="30"/>
  <c r="L411" i="30"/>
  <c r="K412" i="30"/>
  <c r="J413" i="30"/>
  <c r="I414" i="30"/>
  <c r="Q414" i="30"/>
  <c r="P415" i="30"/>
  <c r="O416" i="30"/>
  <c r="N417" i="30"/>
  <c r="M418" i="30"/>
  <c r="L419" i="30"/>
  <c r="K420" i="30"/>
  <c r="J421" i="30"/>
  <c r="I422" i="30"/>
  <c r="Q422" i="30"/>
  <c r="P423" i="30"/>
  <c r="O424" i="30"/>
  <c r="N425" i="30"/>
  <c r="M426" i="30"/>
  <c r="L427" i="30"/>
  <c r="K428" i="30"/>
  <c r="J429" i="30"/>
  <c r="I430" i="30"/>
  <c r="Q430" i="30"/>
  <c r="P431" i="30"/>
  <c r="O432" i="30"/>
  <c r="N433" i="30"/>
  <c r="M434" i="30"/>
  <c r="L435" i="30"/>
  <c r="K436" i="30"/>
  <c r="J437" i="30"/>
  <c r="I438" i="30"/>
  <c r="Q438" i="30"/>
  <c r="P439" i="30"/>
  <c r="O440" i="30"/>
  <c r="N441" i="30"/>
  <c r="M442" i="30"/>
  <c r="L443" i="30"/>
  <c r="K444" i="30"/>
  <c r="J445" i="30"/>
  <c r="I446" i="30"/>
  <c r="Q446" i="30"/>
  <c r="P447" i="30"/>
  <c r="O448" i="30"/>
  <c r="N449" i="30"/>
  <c r="M450" i="30"/>
  <c r="L451" i="30"/>
  <c r="K452" i="30"/>
  <c r="J453" i="30"/>
  <c r="I454" i="30"/>
  <c r="Q454" i="30"/>
  <c r="P455" i="30"/>
  <c r="O456" i="30"/>
  <c r="N457" i="30"/>
  <c r="M458" i="30"/>
  <c r="L459" i="30"/>
  <c r="K460" i="30"/>
  <c r="J461" i="30"/>
  <c r="I462" i="30"/>
  <c r="Q462" i="30"/>
  <c r="P463" i="30"/>
  <c r="O464" i="30"/>
  <c r="N465" i="30"/>
  <c r="M466" i="30"/>
  <c r="L467" i="30"/>
  <c r="K468" i="30"/>
  <c r="J469" i="30"/>
  <c r="I470" i="30"/>
  <c r="Q470" i="30"/>
  <c r="P471" i="30"/>
  <c r="O472" i="30"/>
  <c r="N473" i="30"/>
  <c r="M474" i="30"/>
  <c r="L475" i="30"/>
  <c r="K476" i="30"/>
  <c r="J477" i="30"/>
  <c r="I478" i="30"/>
  <c r="Q478" i="30"/>
  <c r="P479" i="30"/>
  <c r="O480" i="30"/>
  <c r="N481" i="30"/>
  <c r="M482" i="30"/>
  <c r="L483" i="30"/>
  <c r="K484" i="30"/>
  <c r="J485" i="30"/>
  <c r="I486" i="30"/>
  <c r="Q486" i="30"/>
  <c r="P487" i="30"/>
  <c r="O488" i="30"/>
  <c r="N489" i="30"/>
  <c r="M490" i="30"/>
  <c r="L491" i="30"/>
  <c r="K492" i="30"/>
  <c r="J493" i="30"/>
  <c r="I494" i="30"/>
  <c r="Q494" i="30"/>
  <c r="P495" i="30"/>
  <c r="O496" i="30"/>
  <c r="N497" i="30"/>
  <c r="M498" i="30"/>
  <c r="L499" i="30"/>
  <c r="K500" i="30"/>
  <c r="J501" i="30"/>
  <c r="I502" i="30"/>
  <c r="Q502" i="30"/>
  <c r="P503" i="30"/>
  <c r="O504" i="30"/>
  <c r="N505" i="30"/>
  <c r="M506" i="30"/>
  <c r="L507" i="30"/>
  <c r="K508" i="30"/>
  <c r="J509" i="30"/>
  <c r="I510" i="30"/>
  <c r="Q510" i="30"/>
  <c r="P511" i="30"/>
  <c r="O512" i="30"/>
  <c r="N513" i="30"/>
  <c r="M514" i="30"/>
  <c r="L515" i="30"/>
  <c r="K516" i="30"/>
  <c r="J517" i="30"/>
  <c r="I518" i="30"/>
  <c r="Q518" i="30"/>
  <c r="P519" i="30"/>
  <c r="O520" i="30"/>
  <c r="N521" i="30"/>
  <c r="M522" i="30"/>
  <c r="L523" i="30"/>
  <c r="K524" i="30"/>
  <c r="J525" i="30"/>
  <c r="I526" i="30"/>
  <c r="Q526" i="30"/>
  <c r="P527" i="30"/>
  <c r="O528" i="30"/>
  <c r="N529" i="30"/>
  <c r="M530" i="30"/>
  <c r="L531" i="30"/>
  <c r="K532" i="30"/>
  <c r="J533" i="30"/>
  <c r="I534" i="30"/>
  <c r="Q534" i="30"/>
  <c r="P535" i="30"/>
  <c r="O536" i="30"/>
  <c r="N537" i="30"/>
  <c r="M538" i="30"/>
  <c r="L539" i="30"/>
  <c r="K540" i="30"/>
  <c r="J541" i="30"/>
  <c r="I542" i="30"/>
  <c r="Q542" i="30"/>
  <c r="P543" i="30"/>
  <c r="O544" i="30"/>
  <c r="N545" i="30"/>
  <c r="M546" i="30"/>
  <c r="L547" i="30"/>
  <c r="K548" i="30"/>
  <c r="J549" i="30"/>
  <c r="I550" i="30"/>
  <c r="Q114" i="30"/>
  <c r="K171" i="30"/>
  <c r="K194" i="30"/>
  <c r="O215" i="30"/>
  <c r="J230" i="30"/>
  <c r="Q239" i="30"/>
  <c r="K249" i="30"/>
  <c r="K257" i="30"/>
  <c r="L263" i="30"/>
  <c r="Q269" i="30"/>
  <c r="Q276" i="30"/>
  <c r="K282" i="30"/>
  <c r="K289" i="30"/>
  <c r="O295" i="30"/>
  <c r="I301" i="30"/>
  <c r="I308" i="30"/>
  <c r="J312" i="30"/>
  <c r="P314" i="30"/>
  <c r="J318" i="30"/>
  <c r="M321" i="30"/>
  <c r="P323" i="30"/>
  <c r="O326" i="30"/>
  <c r="K329" i="30"/>
  <c r="K331" i="30"/>
  <c r="P333" i="30"/>
  <c r="L336" i="30"/>
  <c r="L338" i="30"/>
  <c r="Q340" i="30"/>
  <c r="M343" i="30"/>
  <c r="M345" i="30"/>
  <c r="I348" i="30"/>
  <c r="N350" i="30"/>
  <c r="N352" i="30"/>
  <c r="J355" i="30"/>
  <c r="O357" i="30"/>
  <c r="O359" i="30"/>
  <c r="K362" i="30"/>
  <c r="P364" i="30"/>
  <c r="P366" i="30"/>
  <c r="L369" i="30"/>
  <c r="Q371" i="30"/>
  <c r="Q373" i="30"/>
  <c r="M376" i="30"/>
  <c r="I379" i="30"/>
  <c r="P380" i="30"/>
  <c r="N382" i="30"/>
  <c r="L384" i="30"/>
  <c r="J386" i="30"/>
  <c r="Q387" i="30"/>
  <c r="K389" i="30"/>
  <c r="O390" i="30"/>
  <c r="K392" i="30"/>
  <c r="M393" i="30"/>
  <c r="Q394" i="30"/>
  <c r="I396" i="30"/>
  <c r="K397" i="30"/>
  <c r="M398" i="30"/>
  <c r="N399" i="30"/>
  <c r="N400" i="30"/>
  <c r="O401" i="30"/>
  <c r="O402" i="30"/>
  <c r="O403" i="30"/>
  <c r="O404" i="30"/>
  <c r="O405" i="30"/>
  <c r="O406" i="30"/>
  <c r="O407" i="30"/>
  <c r="P408" i="30"/>
  <c r="O409" i="30"/>
  <c r="N410" i="30"/>
  <c r="M411" i="30"/>
  <c r="L412" i="30"/>
  <c r="K413" i="30"/>
  <c r="J414" i="30"/>
  <c r="I415" i="30"/>
  <c r="Q415" i="30"/>
  <c r="P416" i="30"/>
  <c r="O417" i="30"/>
  <c r="N418" i="30"/>
  <c r="M419" i="30"/>
  <c r="L420" i="30"/>
  <c r="K421" i="30"/>
  <c r="J422" i="30"/>
  <c r="I423" i="30"/>
  <c r="Q423" i="30"/>
  <c r="P424" i="30"/>
  <c r="O425" i="30"/>
  <c r="N426" i="30"/>
  <c r="M427" i="30"/>
  <c r="L428" i="30"/>
  <c r="K429" i="30"/>
  <c r="J430" i="30"/>
  <c r="I431" i="30"/>
  <c r="Q431" i="30"/>
  <c r="P432" i="30"/>
  <c r="O433" i="30"/>
  <c r="N434" i="30"/>
  <c r="M435" i="30"/>
  <c r="L436" i="30"/>
  <c r="K437" i="30"/>
  <c r="J438" i="30"/>
  <c r="I439" i="30"/>
  <c r="Q439" i="30"/>
  <c r="P440" i="30"/>
  <c r="O441" i="30"/>
  <c r="N442" i="30"/>
  <c r="M443" i="30"/>
  <c r="L444" i="30"/>
  <c r="K445" i="30"/>
  <c r="J446" i="30"/>
  <c r="I447" i="30"/>
  <c r="Q447" i="30"/>
  <c r="P448" i="30"/>
  <c r="O449" i="30"/>
  <c r="N450" i="30"/>
  <c r="M451" i="30"/>
  <c r="L452" i="30"/>
  <c r="K453" i="30"/>
  <c r="J454" i="30"/>
  <c r="I455" i="30"/>
  <c r="Q455" i="30"/>
  <c r="P456" i="30"/>
  <c r="O457" i="30"/>
  <c r="N458" i="30"/>
  <c r="M459" i="30"/>
  <c r="L460" i="30"/>
  <c r="K461" i="30"/>
  <c r="J462" i="30"/>
  <c r="I463" i="30"/>
  <c r="Q463" i="30"/>
  <c r="P464" i="30"/>
  <c r="O465" i="30"/>
  <c r="N466" i="30"/>
  <c r="M467" i="30"/>
  <c r="L468" i="30"/>
  <c r="K469" i="30"/>
  <c r="J470" i="30"/>
  <c r="I471" i="30"/>
  <c r="Q471" i="30"/>
  <c r="P472" i="30"/>
  <c r="O473" i="30"/>
  <c r="N474" i="30"/>
  <c r="M475" i="30"/>
  <c r="L476" i="30"/>
  <c r="K477" i="30"/>
  <c r="J478" i="30"/>
  <c r="I479" i="30"/>
  <c r="Q479" i="30"/>
  <c r="P480" i="30"/>
  <c r="O481" i="30"/>
  <c r="N482" i="30"/>
  <c r="M483" i="30"/>
  <c r="L484" i="30"/>
  <c r="K485" i="30"/>
  <c r="J486" i="30"/>
  <c r="I487" i="30"/>
  <c r="Q487" i="30"/>
  <c r="P488" i="30"/>
  <c r="O489" i="30"/>
  <c r="N490" i="30"/>
  <c r="M491" i="30"/>
  <c r="L492" i="30"/>
  <c r="K493" i="30"/>
  <c r="J494" i="30"/>
  <c r="I495" i="30"/>
  <c r="Q495" i="30"/>
  <c r="P496" i="30"/>
  <c r="O497" i="30"/>
  <c r="N498" i="30"/>
  <c r="M499" i="30"/>
  <c r="L500" i="30"/>
  <c r="K501" i="30"/>
  <c r="J502" i="30"/>
  <c r="I503" i="30"/>
  <c r="Q503" i="30"/>
  <c r="P504" i="30"/>
  <c r="O505" i="30"/>
  <c r="N506" i="30"/>
  <c r="M507" i="30"/>
  <c r="L508" i="30"/>
  <c r="K509" i="30"/>
  <c r="J510" i="30"/>
  <c r="I511" i="30"/>
  <c r="Q511" i="30"/>
  <c r="P512" i="30"/>
  <c r="O513" i="30"/>
  <c r="N514" i="30"/>
  <c r="M515" i="30"/>
  <c r="L516" i="30"/>
  <c r="K517" i="30"/>
  <c r="J518" i="30"/>
  <c r="I519" i="30"/>
  <c r="Q519" i="30"/>
  <c r="P520" i="30"/>
  <c r="O521" i="30"/>
  <c r="N522" i="30"/>
  <c r="M523" i="30"/>
  <c r="L524" i="30"/>
  <c r="K525" i="30"/>
  <c r="J526" i="30"/>
  <c r="I527" i="30"/>
  <c r="Q527" i="30"/>
  <c r="P528" i="30"/>
  <c r="O529" i="30"/>
  <c r="N530" i="30"/>
  <c r="M531" i="30"/>
  <c r="L532" i="30"/>
  <c r="K533" i="30"/>
  <c r="J534" i="30"/>
  <c r="I535" i="30"/>
  <c r="Q535" i="30"/>
  <c r="P536" i="30"/>
  <c r="O537" i="30"/>
  <c r="N538" i="30"/>
  <c r="M539" i="30"/>
  <c r="L540" i="30"/>
  <c r="K541" i="30"/>
  <c r="J542" i="30"/>
  <c r="I543" i="30"/>
  <c r="Q543" i="30"/>
  <c r="P544" i="30"/>
  <c r="O545" i="30"/>
  <c r="N546" i="30"/>
  <c r="Q123" i="30"/>
  <c r="M203" i="30"/>
  <c r="I244" i="30"/>
  <c r="K265" i="30"/>
  <c r="M279" i="30"/>
  <c r="M296" i="30"/>
  <c r="K312" i="30"/>
  <c r="L319" i="30"/>
  <c r="M327" i="30"/>
  <c r="Q333" i="30"/>
  <c r="K339" i="30"/>
  <c r="K346" i="30"/>
  <c r="K353" i="30"/>
  <c r="N358" i="30"/>
  <c r="I365" i="30"/>
  <c r="I372" i="30"/>
  <c r="L377" i="30"/>
  <c r="P382" i="30"/>
  <c r="I388" i="30"/>
  <c r="L391" i="30"/>
  <c r="J395" i="30"/>
  <c r="N398" i="30"/>
  <c r="I401" i="30"/>
  <c r="Q403" i="30"/>
  <c r="P406" i="30"/>
  <c r="J409" i="30"/>
  <c r="O411" i="30"/>
  <c r="K414" i="30"/>
  <c r="K416" i="30"/>
  <c r="P418" i="30"/>
  <c r="L421" i="30"/>
  <c r="L423" i="30"/>
  <c r="Q425" i="30"/>
  <c r="M428" i="30"/>
  <c r="M430" i="30"/>
  <c r="I433" i="30"/>
  <c r="N435" i="30"/>
  <c r="N437" i="30"/>
  <c r="J440" i="30"/>
  <c r="O442" i="30"/>
  <c r="O444" i="30"/>
  <c r="K447" i="30"/>
  <c r="P449" i="30"/>
  <c r="P451" i="30"/>
  <c r="L454" i="30"/>
  <c r="Q456" i="30"/>
  <c r="Q458" i="30"/>
  <c r="M461" i="30"/>
  <c r="I464" i="30"/>
  <c r="I466" i="30"/>
  <c r="N468" i="30"/>
  <c r="J471" i="30"/>
  <c r="J473" i="30"/>
  <c r="O475" i="30"/>
  <c r="K478" i="30"/>
  <c r="K480" i="30"/>
  <c r="P482" i="30"/>
  <c r="L485" i="30"/>
  <c r="L487" i="30"/>
  <c r="Q489" i="30"/>
  <c r="M492" i="30"/>
  <c r="M494" i="30"/>
  <c r="I497" i="30"/>
  <c r="N499" i="30"/>
  <c r="N501" i="30"/>
  <c r="J504" i="30"/>
  <c r="O506" i="30"/>
  <c r="O508" i="30"/>
  <c r="K511" i="30"/>
  <c r="P513" i="30"/>
  <c r="P515" i="30"/>
  <c r="L518" i="30"/>
  <c r="Q520" i="30"/>
  <c r="Q522" i="30"/>
  <c r="L525" i="30"/>
  <c r="J527" i="30"/>
  <c r="Q528" i="30"/>
  <c r="O530" i="30"/>
  <c r="M532" i="30"/>
  <c r="K534" i="30"/>
  <c r="I536" i="30"/>
  <c r="P537" i="30"/>
  <c r="N539" i="30"/>
  <c r="L541" i="30"/>
  <c r="J543" i="30"/>
  <c r="Q544" i="30"/>
  <c r="O546" i="30"/>
  <c r="I548" i="30"/>
  <c r="M549" i="30"/>
  <c r="Q550" i="30"/>
  <c r="I552" i="30"/>
  <c r="J553" i="30"/>
  <c r="M554" i="30"/>
  <c r="N555" i="30"/>
  <c r="O556" i="30"/>
  <c r="P557" i="30"/>
  <c r="P558" i="30"/>
  <c r="P559" i="30"/>
  <c r="P560" i="30"/>
  <c r="P561" i="30"/>
  <c r="P562" i="30"/>
  <c r="P563" i="30"/>
  <c r="Q564" i="30"/>
  <c r="Q565" i="30"/>
  <c r="Q566" i="30"/>
  <c r="Q567" i="30"/>
  <c r="Q568" i="30"/>
  <c r="Q569" i="30"/>
  <c r="Q570" i="30"/>
  <c r="I572" i="30"/>
  <c r="I573" i="30"/>
  <c r="I574" i="30"/>
  <c r="I575" i="30"/>
  <c r="I576" i="30"/>
  <c r="Q576" i="30"/>
  <c r="P577" i="30"/>
  <c r="O578" i="30"/>
  <c r="N579" i="30"/>
  <c r="M580" i="30"/>
  <c r="L581" i="30"/>
  <c r="K582" i="30"/>
  <c r="J583" i="30"/>
  <c r="I584" i="30"/>
  <c r="Q584" i="30"/>
  <c r="P585" i="30"/>
  <c r="O586" i="30"/>
  <c r="N587" i="30"/>
  <c r="M588" i="30"/>
  <c r="L589" i="30"/>
  <c r="K590" i="30"/>
  <c r="J591" i="30"/>
  <c r="I592" i="30"/>
  <c r="Q592" i="30"/>
  <c r="P593" i="30"/>
  <c r="O594" i="30"/>
  <c r="N595" i="30"/>
  <c r="M596" i="30"/>
  <c r="L597" i="30"/>
  <c r="K598" i="30"/>
  <c r="J599" i="30"/>
  <c r="I600" i="30"/>
  <c r="Q600" i="30"/>
  <c r="P601" i="30"/>
  <c r="O602" i="30"/>
  <c r="N603" i="30"/>
  <c r="M604" i="30"/>
  <c r="L605" i="30"/>
  <c r="K606" i="30"/>
  <c r="J607" i="30"/>
  <c r="I608" i="30"/>
  <c r="Q608" i="30"/>
  <c r="P609" i="30"/>
  <c r="O610" i="30"/>
  <c r="N611" i="30"/>
  <c r="M612" i="30"/>
  <c r="L613" i="30"/>
  <c r="K614" i="30"/>
  <c r="J615" i="30"/>
  <c r="I616" i="30"/>
  <c r="Q616" i="30"/>
  <c r="P617" i="30"/>
  <c r="O618" i="30"/>
  <c r="N619" i="30"/>
  <c r="M620" i="30"/>
  <c r="L621" i="30"/>
  <c r="K622" i="30"/>
  <c r="J623" i="30"/>
  <c r="I624" i="30"/>
  <c r="Q624" i="30"/>
  <c r="P625" i="30"/>
  <c r="O626" i="30"/>
  <c r="N627" i="30"/>
  <c r="M628" i="30"/>
  <c r="L629" i="30"/>
  <c r="K630" i="30"/>
  <c r="J631" i="30"/>
  <c r="I632" i="30"/>
  <c r="Q632" i="30"/>
  <c r="P633" i="30"/>
  <c r="O634" i="30"/>
  <c r="N635" i="30"/>
  <c r="M636" i="30"/>
  <c r="L637" i="30"/>
  <c r="K638" i="30"/>
  <c r="J639" i="30"/>
  <c r="I640" i="30"/>
  <c r="Q640" i="30"/>
  <c r="P641" i="30"/>
  <c r="O642" i="30"/>
  <c r="N643" i="30"/>
  <c r="M644" i="30"/>
  <c r="L645" i="30"/>
  <c r="K646" i="30"/>
  <c r="J647" i="30"/>
  <c r="I648" i="30"/>
  <c r="Q648" i="30"/>
  <c r="P649" i="30"/>
  <c r="O650" i="30"/>
  <c r="N651" i="30"/>
  <c r="M652" i="30"/>
  <c r="L653" i="30"/>
  <c r="K654" i="30"/>
  <c r="J655" i="30"/>
  <c r="I656" i="30"/>
  <c r="Q656" i="30"/>
  <c r="P657" i="30"/>
  <c r="O658" i="30"/>
  <c r="N659" i="30"/>
  <c r="M660" i="30"/>
  <c r="L661" i="30"/>
  <c r="K662" i="30"/>
  <c r="J663" i="30"/>
  <c r="I664" i="30"/>
  <c r="Q664" i="30"/>
  <c r="P665" i="30"/>
  <c r="O666" i="30"/>
  <c r="N667" i="30"/>
  <c r="M668" i="30"/>
  <c r="L669" i="30"/>
  <c r="K670" i="30"/>
  <c r="J671" i="30"/>
  <c r="I672" i="30"/>
  <c r="Q672" i="30"/>
  <c r="P673" i="30"/>
  <c r="O674" i="30"/>
  <c r="N675" i="30"/>
  <c r="M676" i="30"/>
  <c r="L677" i="30"/>
  <c r="K678" i="30"/>
  <c r="J679" i="30"/>
  <c r="I680" i="30"/>
  <c r="Q680" i="30"/>
  <c r="P681" i="30"/>
  <c r="O682" i="30"/>
  <c r="N683" i="30"/>
  <c r="M684" i="30"/>
  <c r="L685" i="30"/>
  <c r="K686" i="30"/>
  <c r="J687" i="30"/>
  <c r="I688" i="30"/>
  <c r="Q688" i="30"/>
  <c r="P689" i="30"/>
  <c r="O690" i="30"/>
  <c r="N691" i="30"/>
  <c r="M692" i="30"/>
  <c r="L693" i="30"/>
  <c r="K694" i="30"/>
  <c r="J695" i="30"/>
  <c r="I696" i="30"/>
  <c r="Q696" i="30"/>
  <c r="P697" i="30"/>
  <c r="O698" i="30"/>
  <c r="N699" i="30"/>
  <c r="M700" i="30"/>
  <c r="L701" i="30"/>
  <c r="K702" i="30"/>
  <c r="J703" i="30"/>
  <c r="I704" i="30"/>
  <c r="Q704" i="30"/>
  <c r="P705" i="30"/>
  <c r="O706" i="30"/>
  <c r="N707" i="30"/>
  <c r="M708" i="30"/>
  <c r="L709" i="30"/>
  <c r="K710" i="30"/>
  <c r="J711" i="30"/>
  <c r="I712" i="30"/>
  <c r="Q712" i="30"/>
  <c r="P713" i="30"/>
  <c r="O714" i="30"/>
  <c r="N715" i="30"/>
  <c r="M716" i="30"/>
  <c r="I138" i="30"/>
  <c r="P215" i="30"/>
  <c r="J244" i="30"/>
  <c r="L265" i="30"/>
  <c r="I284" i="30"/>
  <c r="K298" i="30"/>
  <c r="L312" i="30"/>
  <c r="O321" i="30"/>
  <c r="N327" i="30"/>
  <c r="N334" i="30"/>
  <c r="I341" i="30"/>
  <c r="L346" i="30"/>
  <c r="L353" i="30"/>
  <c r="L360" i="30"/>
  <c r="O365" i="30"/>
  <c r="J372" i="30"/>
  <c r="J379" i="30"/>
  <c r="I383" i="30"/>
  <c r="J388" i="30"/>
  <c r="L392" i="30"/>
  <c r="K395" i="30"/>
  <c r="O398" i="30"/>
  <c r="P401" i="30"/>
  <c r="I404" i="30"/>
  <c r="I407" i="30"/>
  <c r="P409" i="30"/>
  <c r="P411" i="30"/>
  <c r="L414" i="30"/>
  <c r="Q416" i="30"/>
  <c r="Q418" i="30"/>
  <c r="M421" i="30"/>
  <c r="I424" i="30"/>
  <c r="I426" i="30"/>
  <c r="N428" i="30"/>
  <c r="J431" i="30"/>
  <c r="J433" i="30"/>
  <c r="O435" i="30"/>
  <c r="K438" i="30"/>
  <c r="K440" i="30"/>
  <c r="P442" i="30"/>
  <c r="L445" i="30"/>
  <c r="L447" i="30"/>
  <c r="Q449" i="30"/>
  <c r="M452" i="30"/>
  <c r="M454" i="30"/>
  <c r="I457" i="30"/>
  <c r="N459" i="30"/>
  <c r="N461" i="30"/>
  <c r="J464" i="30"/>
  <c r="O466" i="30"/>
  <c r="O468" i="30"/>
  <c r="K471" i="30"/>
  <c r="P473" i="30"/>
  <c r="P475" i="30"/>
  <c r="L478" i="30"/>
  <c r="Q480" i="30"/>
  <c r="Q482" i="30"/>
  <c r="M485" i="30"/>
  <c r="I488" i="30"/>
  <c r="I490" i="30"/>
  <c r="N492" i="30"/>
  <c r="J495" i="30"/>
  <c r="J497" i="30"/>
  <c r="O499" i="30"/>
  <c r="K502" i="30"/>
  <c r="K504" i="30"/>
  <c r="P506" i="30"/>
  <c r="L509" i="30"/>
  <c r="L511" i="30"/>
  <c r="Q513" i="30"/>
  <c r="M516" i="30"/>
  <c r="M518" i="30"/>
  <c r="I521" i="30"/>
  <c r="N523" i="30"/>
  <c r="M525" i="30"/>
  <c r="K527" i="30"/>
  <c r="I529" i="30"/>
  <c r="P530" i="30"/>
  <c r="N532" i="30"/>
  <c r="L534" i="30"/>
  <c r="J536" i="30"/>
  <c r="Q537" i="30"/>
  <c r="O539" i="30"/>
  <c r="M541" i="30"/>
  <c r="K543" i="30"/>
  <c r="I545" i="30"/>
  <c r="P546" i="30"/>
  <c r="L548" i="30"/>
  <c r="N549" i="30"/>
  <c r="I551" i="30"/>
  <c r="J552" i="30"/>
  <c r="L553" i="30"/>
  <c r="N554" i="30"/>
  <c r="O555" i="30"/>
  <c r="Q556" i="30"/>
  <c r="Q557" i="30"/>
  <c r="Q558" i="30"/>
  <c r="Q559" i="30"/>
  <c r="Q560" i="30"/>
  <c r="Q561" i="30"/>
  <c r="Q562" i="30"/>
  <c r="I564" i="30"/>
  <c r="I565" i="30"/>
  <c r="I566" i="30"/>
  <c r="I567" i="30"/>
  <c r="I568" i="30"/>
  <c r="I569" i="30"/>
  <c r="I570" i="30"/>
  <c r="J571" i="30"/>
  <c r="J572" i="30"/>
  <c r="J573" i="30"/>
  <c r="J574" i="30"/>
  <c r="J575" i="30"/>
  <c r="J576" i="30"/>
  <c r="I577" i="30"/>
  <c r="Q577" i="30"/>
  <c r="P578" i="30"/>
  <c r="O579" i="30"/>
  <c r="N580" i="30"/>
  <c r="M581" i="30"/>
  <c r="L582" i="30"/>
  <c r="K583" i="30"/>
  <c r="J584" i="30"/>
  <c r="I585" i="30"/>
  <c r="Q585" i="30"/>
  <c r="P586" i="30"/>
  <c r="O587" i="30"/>
  <c r="N588" i="30"/>
  <c r="M589" i="30"/>
  <c r="L590" i="30"/>
  <c r="K591" i="30"/>
  <c r="J592" i="30"/>
  <c r="I593" i="30"/>
  <c r="Q593" i="30"/>
  <c r="P594" i="30"/>
  <c r="O595" i="30"/>
  <c r="N596" i="30"/>
  <c r="M597" i="30"/>
  <c r="L598" i="30"/>
  <c r="K599" i="30"/>
  <c r="J600" i="30"/>
  <c r="I601" i="30"/>
  <c r="Q601" i="30"/>
  <c r="P602" i="30"/>
  <c r="O603" i="30"/>
  <c r="N604" i="30"/>
  <c r="M605" i="30"/>
  <c r="L606" i="30"/>
  <c r="K607" i="30"/>
  <c r="J608" i="30"/>
  <c r="I609" i="30"/>
  <c r="Q609" i="30"/>
  <c r="P610" i="30"/>
  <c r="O611" i="30"/>
  <c r="N612" i="30"/>
  <c r="M613" i="30"/>
  <c r="L614" i="30"/>
  <c r="K615" i="30"/>
  <c r="J616" i="30"/>
  <c r="I617" i="30"/>
  <c r="Q617" i="30"/>
  <c r="P618" i="30"/>
  <c r="O619" i="30"/>
  <c r="N620" i="30"/>
  <c r="M621" i="30"/>
  <c r="L622" i="30"/>
  <c r="K623" i="30"/>
  <c r="J624" i="30"/>
  <c r="I625" i="30"/>
  <c r="Q625" i="30"/>
  <c r="P626" i="30"/>
  <c r="O627" i="30"/>
  <c r="N628" i="30"/>
  <c r="M629" i="30"/>
  <c r="L630" i="30"/>
  <c r="K631" i="30"/>
  <c r="J632" i="30"/>
  <c r="I633" i="30"/>
  <c r="Q633" i="30"/>
  <c r="P634" i="30"/>
  <c r="O635" i="30"/>
  <c r="N636" i="30"/>
  <c r="M637" i="30"/>
  <c r="L638" i="30"/>
  <c r="K639" i="30"/>
  <c r="J640" i="30"/>
  <c r="I641" i="30"/>
  <c r="Q641" i="30"/>
  <c r="P642" i="30"/>
  <c r="O643" i="30"/>
  <c r="N644" i="30"/>
  <c r="M645" i="30"/>
  <c r="L646" i="30"/>
  <c r="K647" i="30"/>
  <c r="J648" i="30"/>
  <c r="I649" i="30"/>
  <c r="Q649" i="30"/>
  <c r="P650" i="30"/>
  <c r="O651" i="30"/>
  <c r="N652" i="30"/>
  <c r="M653" i="30"/>
  <c r="L654" i="30"/>
  <c r="K655" i="30"/>
  <c r="J656" i="30"/>
  <c r="I657" i="30"/>
  <c r="Q657" i="30"/>
  <c r="P658" i="30"/>
  <c r="O659" i="30"/>
  <c r="N660" i="30"/>
  <c r="M661" i="30"/>
  <c r="L662" i="30"/>
  <c r="K663" i="30"/>
  <c r="J664" i="30"/>
  <c r="I665" i="30"/>
  <c r="Q665" i="30"/>
  <c r="P666" i="30"/>
  <c r="O667" i="30"/>
  <c r="N668" i="30"/>
  <c r="M669" i="30"/>
  <c r="L670" i="30"/>
  <c r="K671" i="30"/>
  <c r="J672" i="30"/>
  <c r="I673" i="30"/>
  <c r="Q673" i="30"/>
  <c r="P674" i="30"/>
  <c r="O675" i="30"/>
  <c r="N676" i="30"/>
  <c r="M677" i="30"/>
  <c r="L678" i="30"/>
  <c r="K679" i="30"/>
  <c r="J680" i="30"/>
  <c r="I681" i="30"/>
  <c r="Q681" i="30"/>
  <c r="P682" i="30"/>
  <c r="O683" i="30"/>
  <c r="N684" i="30"/>
  <c r="M685" i="30"/>
  <c r="L686" i="30"/>
  <c r="K687" i="30"/>
  <c r="J688" i="30"/>
  <c r="I689" i="30"/>
  <c r="Q689" i="30"/>
  <c r="P690" i="30"/>
  <c r="O691" i="30"/>
  <c r="N692" i="30"/>
  <c r="M693" i="30"/>
  <c r="L694" i="30"/>
  <c r="K695" i="30"/>
  <c r="J696" i="30"/>
  <c r="I697" i="30"/>
  <c r="Q697" i="30"/>
  <c r="P698" i="30"/>
  <c r="O699" i="30"/>
  <c r="N700" i="30"/>
  <c r="M701" i="30"/>
  <c r="J138" i="30"/>
  <c r="L220" i="30"/>
  <c r="L249" i="30"/>
  <c r="M265" i="30"/>
  <c r="J284" i="30"/>
  <c r="P302" i="30"/>
  <c r="K313" i="30"/>
  <c r="P321" i="30"/>
  <c r="L329" i="30"/>
  <c r="O334" i="30"/>
  <c r="O341" i="30"/>
  <c r="J348" i="30"/>
  <c r="M353" i="30"/>
  <c r="M360" i="30"/>
  <c r="M367" i="30"/>
  <c r="P372" i="30"/>
  <c r="K379" i="30"/>
  <c r="M384" i="30"/>
  <c r="L388" i="30"/>
  <c r="M392" i="30"/>
  <c r="J396" i="30"/>
  <c r="P398" i="30"/>
  <c r="Q401" i="30"/>
  <c r="P404" i="30"/>
  <c r="J407" i="30"/>
  <c r="Q409" i="30"/>
  <c r="M412" i="30"/>
  <c r="M414" i="30"/>
  <c r="I417" i="30"/>
  <c r="N419" i="30"/>
  <c r="N421" i="30"/>
  <c r="J424" i="30"/>
  <c r="O426" i="30"/>
  <c r="O428" i="30"/>
  <c r="K431" i="30"/>
  <c r="P433" i="30"/>
  <c r="P435" i="30"/>
  <c r="L438" i="30"/>
  <c r="Q440" i="30"/>
  <c r="Q442" i="30"/>
  <c r="M445" i="30"/>
  <c r="I448" i="30"/>
  <c r="I450" i="30"/>
  <c r="N452" i="30"/>
  <c r="J455" i="30"/>
  <c r="J457" i="30"/>
  <c r="O459" i="30"/>
  <c r="K462" i="30"/>
  <c r="K464" i="30"/>
  <c r="P466" i="30"/>
  <c r="L469" i="30"/>
  <c r="L471" i="30"/>
  <c r="Q473" i="30"/>
  <c r="M476" i="30"/>
  <c r="M478" i="30"/>
  <c r="I481" i="30"/>
  <c r="N483" i="30"/>
  <c r="N485" i="30"/>
  <c r="J488" i="30"/>
  <c r="O490" i="30"/>
  <c r="O492" i="30"/>
  <c r="K495" i="30"/>
  <c r="P497" i="30"/>
  <c r="P499" i="30"/>
  <c r="L502" i="30"/>
  <c r="Q504" i="30"/>
  <c r="Q506" i="30"/>
  <c r="M509" i="30"/>
  <c r="I512" i="30"/>
  <c r="I514" i="30"/>
  <c r="N516" i="30"/>
  <c r="J519" i="30"/>
  <c r="J521" i="30"/>
  <c r="O523" i="30"/>
  <c r="N525" i="30"/>
  <c r="L527" i="30"/>
  <c r="J529" i="30"/>
  <c r="Q530" i="30"/>
  <c r="O532" i="30"/>
  <c r="M534" i="30"/>
  <c r="K536" i="30"/>
  <c r="I538" i="30"/>
  <c r="P539" i="30"/>
  <c r="N541" i="30"/>
  <c r="L543" i="30"/>
  <c r="J545" i="30"/>
  <c r="Q546" i="30"/>
  <c r="M548" i="30"/>
  <c r="P549" i="30"/>
  <c r="J551" i="30"/>
  <c r="K552" i="30"/>
  <c r="N553" i="30"/>
  <c r="O554" i="30"/>
  <c r="P555" i="30"/>
  <c r="I557" i="30"/>
  <c r="I558" i="30"/>
  <c r="I559" i="30"/>
  <c r="I560" i="30"/>
  <c r="I561" i="30"/>
  <c r="I562" i="30"/>
  <c r="J563" i="30"/>
  <c r="J564" i="30"/>
  <c r="J565" i="30"/>
  <c r="J566" i="30"/>
  <c r="J567" i="30"/>
  <c r="J568" i="30"/>
  <c r="J569" i="30"/>
  <c r="K570" i="30"/>
  <c r="K571" i="30"/>
  <c r="K572" i="30"/>
  <c r="K573" i="30"/>
  <c r="K574" i="30"/>
  <c r="K575" i="30"/>
  <c r="K576" i="30"/>
  <c r="J577" i="30"/>
  <c r="I578" i="30"/>
  <c r="Q578" i="30"/>
  <c r="P579" i="30"/>
  <c r="O580" i="30"/>
  <c r="N581" i="30"/>
  <c r="M582" i="30"/>
  <c r="L583" i="30"/>
  <c r="K584" i="30"/>
  <c r="J585" i="30"/>
  <c r="I586" i="30"/>
  <c r="Q586" i="30"/>
  <c r="P587" i="30"/>
  <c r="O588" i="30"/>
  <c r="N589" i="30"/>
  <c r="M590" i="30"/>
  <c r="L591" i="30"/>
  <c r="K592" i="30"/>
  <c r="J593" i="30"/>
  <c r="I594" i="30"/>
  <c r="Q594" i="30"/>
  <c r="P595" i="30"/>
  <c r="O596" i="30"/>
  <c r="N597" i="30"/>
  <c r="M598" i="30"/>
  <c r="L599" i="30"/>
  <c r="K600" i="30"/>
  <c r="J601" i="30"/>
  <c r="I602" i="30"/>
  <c r="Q602" i="30"/>
  <c r="P603" i="30"/>
  <c r="O604" i="30"/>
  <c r="N605" i="30"/>
  <c r="M606" i="30"/>
  <c r="L607" i="30"/>
  <c r="K608" i="30"/>
  <c r="J609" i="30"/>
  <c r="I610" i="30"/>
  <c r="Q610" i="30"/>
  <c r="P611" i="30"/>
  <c r="O612" i="30"/>
  <c r="N613" i="30"/>
  <c r="M614" i="30"/>
  <c r="L615" i="30"/>
  <c r="K616" i="30"/>
  <c r="J617" i="30"/>
  <c r="I618" i="30"/>
  <c r="Q618" i="30"/>
  <c r="P619" i="30"/>
  <c r="O620" i="30"/>
  <c r="N621" i="30"/>
  <c r="M622" i="30"/>
  <c r="L623" i="30"/>
  <c r="K624" i="30"/>
  <c r="J625" i="30"/>
  <c r="I626" i="30"/>
  <c r="Q626" i="30"/>
  <c r="P627" i="30"/>
  <c r="O628" i="30"/>
  <c r="N629" i="30"/>
  <c r="M630" i="30"/>
  <c r="L631" i="30"/>
  <c r="K632" i="30"/>
  <c r="J633" i="30"/>
  <c r="I634" i="30"/>
  <c r="Q634" i="30"/>
  <c r="P635" i="30"/>
  <c r="O636" i="30"/>
  <c r="N637" i="30"/>
  <c r="M638" i="30"/>
  <c r="L639" i="30"/>
  <c r="K640" i="30"/>
  <c r="J641" i="30"/>
  <c r="I642" i="30"/>
  <c r="Q642" i="30"/>
  <c r="P643" i="30"/>
  <c r="O644" i="30"/>
  <c r="N645" i="30"/>
  <c r="M646" i="30"/>
  <c r="L647" i="30"/>
  <c r="K648" i="30"/>
  <c r="J649" i="30"/>
  <c r="I650" i="30"/>
  <c r="Q650" i="30"/>
  <c r="P651" i="30"/>
  <c r="O652" i="30"/>
  <c r="N653" i="30"/>
  <c r="M654" i="30"/>
  <c r="L655" i="30"/>
  <c r="K656" i="30"/>
  <c r="J657" i="30"/>
  <c r="I658" i="30"/>
  <c r="Q658" i="30"/>
  <c r="P659" i="30"/>
  <c r="O660" i="30"/>
  <c r="N661" i="30"/>
  <c r="M662" i="30"/>
  <c r="L663" i="30"/>
  <c r="K664" i="30"/>
  <c r="J665" i="30"/>
  <c r="I666" i="30"/>
  <c r="Q666" i="30"/>
  <c r="P667" i="30"/>
  <c r="O668" i="30"/>
  <c r="N669" i="30"/>
  <c r="M670" i="30"/>
  <c r="L671" i="30"/>
  <c r="K672" i="30"/>
  <c r="J673" i="30"/>
  <c r="I674" i="30"/>
  <c r="Q674" i="30"/>
  <c r="P675" i="30"/>
  <c r="O676" i="30"/>
  <c r="N677" i="30"/>
  <c r="M678" i="30"/>
  <c r="L679" i="30"/>
  <c r="K680" i="30"/>
  <c r="J681" i="30"/>
  <c r="I682" i="30"/>
  <c r="Q682" i="30"/>
  <c r="P683" i="30"/>
  <c r="O684" i="30"/>
  <c r="N685" i="30"/>
  <c r="M686" i="30"/>
  <c r="L687" i="30"/>
  <c r="K688" i="30"/>
  <c r="J689" i="30"/>
  <c r="I690" i="30"/>
  <c r="Q690" i="30"/>
  <c r="L171" i="30"/>
  <c r="I221" i="30"/>
  <c r="L251" i="30"/>
  <c r="N270" i="30"/>
  <c r="P284" i="30"/>
  <c r="M303" i="30"/>
  <c r="O315" i="30"/>
  <c r="N322" i="30"/>
  <c r="M329" i="30"/>
  <c r="M336" i="30"/>
  <c r="P341" i="30"/>
  <c r="P348" i="30"/>
  <c r="K355" i="30"/>
  <c r="N360" i="30"/>
  <c r="N367" i="30"/>
  <c r="N374" i="30"/>
  <c r="M379" i="30"/>
  <c r="N384" i="30"/>
  <c r="N389" i="30"/>
  <c r="N392" i="30"/>
  <c r="L396" i="30"/>
  <c r="O399" i="30"/>
  <c r="I402" i="30"/>
  <c r="Q404" i="30"/>
  <c r="Q407" i="30"/>
  <c r="I410" i="30"/>
  <c r="N412" i="30"/>
  <c r="J415" i="30"/>
  <c r="J417" i="30"/>
  <c r="O419" i="30"/>
  <c r="K422" i="30"/>
  <c r="K424" i="30"/>
  <c r="P426" i="30"/>
  <c r="L429" i="30"/>
  <c r="L431" i="30"/>
  <c r="Q433" i="30"/>
  <c r="M436" i="30"/>
  <c r="M438" i="30"/>
  <c r="I441" i="30"/>
  <c r="N443" i="30"/>
  <c r="N445" i="30"/>
  <c r="J448" i="30"/>
  <c r="O450" i="30"/>
  <c r="O452" i="30"/>
  <c r="K455" i="30"/>
  <c r="P457" i="30"/>
  <c r="P459" i="30"/>
  <c r="L462" i="30"/>
  <c r="Q464" i="30"/>
  <c r="Q466" i="30"/>
  <c r="M469" i="30"/>
  <c r="I472" i="30"/>
  <c r="I474" i="30"/>
  <c r="N476" i="30"/>
  <c r="J479" i="30"/>
  <c r="J481" i="30"/>
  <c r="O483" i="30"/>
  <c r="K486" i="30"/>
  <c r="K488" i="30"/>
  <c r="P490" i="30"/>
  <c r="L493" i="30"/>
  <c r="L495" i="30"/>
  <c r="Q497" i="30"/>
  <c r="M500" i="30"/>
  <c r="M502" i="30"/>
  <c r="I505" i="30"/>
  <c r="N507" i="30"/>
  <c r="N509" i="30"/>
  <c r="J512" i="30"/>
  <c r="O514" i="30"/>
  <c r="O516" i="30"/>
  <c r="K519" i="30"/>
  <c r="P521" i="30"/>
  <c r="P523" i="30"/>
  <c r="P525" i="30"/>
  <c r="N527" i="30"/>
  <c r="L529" i="30"/>
  <c r="J531" i="30"/>
  <c r="Q532" i="30"/>
  <c r="O534" i="30"/>
  <c r="M536" i="30"/>
  <c r="K538" i="30"/>
  <c r="I540" i="30"/>
  <c r="P541" i="30"/>
  <c r="N543" i="30"/>
  <c r="L545" i="30"/>
  <c r="J547" i="30"/>
  <c r="N548" i="30"/>
  <c r="J550" i="30"/>
  <c r="K551" i="30"/>
  <c r="M552" i="30"/>
  <c r="O553" i="30"/>
  <c r="P554" i="30"/>
  <c r="I556" i="30"/>
  <c r="J557" i="30"/>
  <c r="J558" i="30"/>
  <c r="J559" i="30"/>
  <c r="J560" i="30"/>
  <c r="J561" i="30"/>
  <c r="K562" i="30"/>
  <c r="K563" i="30"/>
  <c r="K564" i="30"/>
  <c r="K565" i="30"/>
  <c r="K566" i="30"/>
  <c r="K567" i="30"/>
  <c r="K568" i="30"/>
  <c r="L569" i="30"/>
  <c r="L570" i="30"/>
  <c r="L571" i="30"/>
  <c r="L572" i="30"/>
  <c r="L573" i="30"/>
  <c r="L574" i="30"/>
  <c r="L575" i="30"/>
  <c r="L576" i="30"/>
  <c r="K577" i="30"/>
  <c r="J578" i="30"/>
  <c r="I579" i="30"/>
  <c r="Q579" i="30"/>
  <c r="P580" i="30"/>
  <c r="O581" i="30"/>
  <c r="N582" i="30"/>
  <c r="M583" i="30"/>
  <c r="L584" i="30"/>
  <c r="K585" i="30"/>
  <c r="J586" i="30"/>
  <c r="I587" i="30"/>
  <c r="Q587" i="30"/>
  <c r="P588" i="30"/>
  <c r="O589" i="30"/>
  <c r="N590" i="30"/>
  <c r="M591" i="30"/>
  <c r="L592" i="30"/>
  <c r="K593" i="30"/>
  <c r="J594" i="30"/>
  <c r="I595" i="30"/>
  <c r="Q595" i="30"/>
  <c r="P596" i="30"/>
  <c r="O597" i="30"/>
  <c r="N598" i="30"/>
  <c r="M599" i="30"/>
  <c r="L600" i="30"/>
  <c r="K601" i="30"/>
  <c r="J602" i="30"/>
  <c r="I603" i="30"/>
  <c r="Q603" i="30"/>
  <c r="P604" i="30"/>
  <c r="O605" i="30"/>
  <c r="N606" i="30"/>
  <c r="M607" i="30"/>
  <c r="L608" i="30"/>
  <c r="K609" i="30"/>
  <c r="J610" i="30"/>
  <c r="I611" i="30"/>
  <c r="Q611" i="30"/>
  <c r="P612" i="30"/>
  <c r="O613" i="30"/>
  <c r="N614" i="30"/>
  <c r="M615" i="30"/>
  <c r="L616" i="30"/>
  <c r="K617" i="30"/>
  <c r="J618" i="30"/>
  <c r="I619" i="30"/>
  <c r="Q619" i="30"/>
  <c r="P620" i="30"/>
  <c r="O621" i="30"/>
  <c r="N622" i="30"/>
  <c r="M623" i="30"/>
  <c r="L624" i="30"/>
  <c r="K625" i="30"/>
  <c r="J626" i="30"/>
  <c r="I627" i="30"/>
  <c r="Q627" i="30"/>
  <c r="P628" i="30"/>
  <c r="O629" i="30"/>
  <c r="N630" i="30"/>
  <c r="M631" i="30"/>
  <c r="L632" i="30"/>
  <c r="K633" i="30"/>
  <c r="J634" i="30"/>
  <c r="I635" i="30"/>
  <c r="Q635" i="30"/>
  <c r="P636" i="30"/>
  <c r="O637" i="30"/>
  <c r="N638" i="30"/>
  <c r="M639" i="30"/>
  <c r="L640" i="30"/>
  <c r="K641" i="30"/>
  <c r="J642" i="30"/>
  <c r="I643" i="30"/>
  <c r="Q643" i="30"/>
  <c r="P644" i="30"/>
  <c r="O645" i="30"/>
  <c r="N646" i="30"/>
  <c r="M647" i="30"/>
  <c r="L648" i="30"/>
  <c r="K649" i="30"/>
  <c r="J650" i="30"/>
  <c r="I651" i="30"/>
  <c r="Q651" i="30"/>
  <c r="P652" i="30"/>
  <c r="O653" i="30"/>
  <c r="N654" i="30"/>
  <c r="M655" i="30"/>
  <c r="L656" i="30"/>
  <c r="K657" i="30"/>
  <c r="J658" i="30"/>
  <c r="I659" i="30"/>
  <c r="Q659" i="30"/>
  <c r="P660" i="30"/>
  <c r="O661" i="30"/>
  <c r="N662" i="30"/>
  <c r="M663" i="30"/>
  <c r="L664" i="30"/>
  <c r="K665" i="30"/>
  <c r="J666" i="30"/>
  <c r="I667" i="30"/>
  <c r="Q667" i="30"/>
  <c r="P668" i="30"/>
  <c r="O669" i="30"/>
  <c r="N670" i="30"/>
  <c r="M671" i="30"/>
  <c r="L672" i="30"/>
  <c r="K673" i="30"/>
  <c r="J674" i="30"/>
  <c r="I675" i="30"/>
  <c r="Q675" i="30"/>
  <c r="P676" i="30"/>
  <c r="O677" i="30"/>
  <c r="N678" i="30"/>
  <c r="M679" i="30"/>
  <c r="M174" i="30"/>
  <c r="O231" i="30"/>
  <c r="J252" i="30"/>
  <c r="L272" i="30"/>
  <c r="L289" i="30"/>
  <c r="N303" i="30"/>
  <c r="P315" i="30"/>
  <c r="N324" i="30"/>
  <c r="J330" i="30"/>
  <c r="N336" i="30"/>
  <c r="N343" i="30"/>
  <c r="Q348" i="30"/>
  <c r="Q355" i="30"/>
  <c r="L362" i="30"/>
  <c r="O367" i="30"/>
  <c r="O374" i="30"/>
  <c r="Q380" i="30"/>
  <c r="P384" i="30"/>
  <c r="O389" i="30"/>
  <c r="O393" i="30"/>
  <c r="N396" i="30"/>
  <c r="Q399" i="30"/>
  <c r="P402" i="30"/>
  <c r="I405" i="30"/>
  <c r="I408" i="30"/>
  <c r="O410" i="30"/>
  <c r="O412" i="30"/>
  <c r="K415" i="30"/>
  <c r="P417" i="30"/>
  <c r="P419" i="30"/>
  <c r="L422" i="30"/>
  <c r="Q424" i="30"/>
  <c r="Q426" i="30"/>
  <c r="M429" i="30"/>
  <c r="I432" i="30"/>
  <c r="I434" i="30"/>
  <c r="N436" i="30"/>
  <c r="J439" i="30"/>
  <c r="J441" i="30"/>
  <c r="O443" i="30"/>
  <c r="K446" i="30"/>
  <c r="K448" i="30"/>
  <c r="P450" i="30"/>
  <c r="L453" i="30"/>
  <c r="L455" i="30"/>
  <c r="Q457" i="30"/>
  <c r="M460" i="30"/>
  <c r="M462" i="30"/>
  <c r="I465" i="30"/>
  <c r="N467" i="30"/>
  <c r="N469" i="30"/>
  <c r="J472" i="30"/>
  <c r="O474" i="30"/>
  <c r="O476" i="30"/>
  <c r="K479" i="30"/>
  <c r="P481" i="30"/>
  <c r="P483" i="30"/>
  <c r="L486" i="30"/>
  <c r="Q488" i="30"/>
  <c r="Q490" i="30"/>
  <c r="M493" i="30"/>
  <c r="I496" i="30"/>
  <c r="I498" i="30"/>
  <c r="N500" i="30"/>
  <c r="J503" i="30"/>
  <c r="J505" i="30"/>
  <c r="O507" i="30"/>
  <c r="K510" i="30"/>
  <c r="K512" i="30"/>
  <c r="P514" i="30"/>
  <c r="L517" i="30"/>
  <c r="L519" i="30"/>
  <c r="Q521" i="30"/>
  <c r="M524" i="30"/>
  <c r="K526" i="30"/>
  <c r="I528" i="30"/>
  <c r="P529" i="30"/>
  <c r="N531" i="30"/>
  <c r="L533" i="30"/>
  <c r="J535" i="30"/>
  <c r="Q536" i="30"/>
  <c r="O538" i="30"/>
  <c r="M540" i="30"/>
  <c r="K542" i="30"/>
  <c r="I544" i="30"/>
  <c r="P545" i="30"/>
  <c r="M547" i="30"/>
  <c r="O548" i="30"/>
  <c r="K550" i="30"/>
  <c r="L551" i="30"/>
  <c r="O552" i="30"/>
  <c r="P553" i="30"/>
  <c r="Q554" i="30"/>
  <c r="K556" i="30"/>
  <c r="K557" i="30"/>
  <c r="K558" i="30"/>
  <c r="K559" i="30"/>
  <c r="K560" i="30"/>
  <c r="L561" i="30"/>
  <c r="L562" i="30"/>
  <c r="L563" i="30"/>
  <c r="L564" i="30"/>
  <c r="L565" i="30"/>
  <c r="L566" i="30"/>
  <c r="L567" i="30"/>
  <c r="M568" i="30"/>
  <c r="M569" i="30"/>
  <c r="M570" i="30"/>
  <c r="M571" i="30"/>
  <c r="M572" i="30"/>
  <c r="M573" i="30"/>
  <c r="M574" i="30"/>
  <c r="N575" i="30"/>
  <c r="M576" i="30"/>
  <c r="L577" i="30"/>
  <c r="K578" i="30"/>
  <c r="J579" i="30"/>
  <c r="I580" i="30"/>
  <c r="Q580" i="30"/>
  <c r="P581" i="30"/>
  <c r="O582" i="30"/>
  <c r="N583" i="30"/>
  <c r="M584" i="30"/>
  <c r="L585" i="30"/>
  <c r="K586" i="30"/>
  <c r="J587" i="30"/>
  <c r="I588" i="30"/>
  <c r="Q588" i="30"/>
  <c r="P589" i="30"/>
  <c r="O590" i="30"/>
  <c r="N591" i="30"/>
  <c r="M592" i="30"/>
  <c r="L593" i="30"/>
  <c r="K594" i="30"/>
  <c r="J595" i="30"/>
  <c r="I596" i="30"/>
  <c r="Q596" i="30"/>
  <c r="P597" i="30"/>
  <c r="O598" i="30"/>
  <c r="N599" i="30"/>
  <c r="M600" i="30"/>
  <c r="L601" i="30"/>
  <c r="K602" i="30"/>
  <c r="J603" i="30"/>
  <c r="I604" i="30"/>
  <c r="Q604" i="30"/>
  <c r="P605" i="30"/>
  <c r="O606" i="30"/>
  <c r="N607" i="30"/>
  <c r="M608" i="30"/>
  <c r="L609" i="30"/>
  <c r="K610" i="30"/>
  <c r="J611" i="30"/>
  <c r="I612" i="30"/>
  <c r="Q612" i="30"/>
  <c r="P613" i="30"/>
  <c r="O614" i="30"/>
  <c r="N615" i="30"/>
  <c r="M616" i="30"/>
  <c r="L617" i="30"/>
  <c r="K618" i="30"/>
  <c r="J619" i="30"/>
  <c r="I620" i="30"/>
  <c r="Q620" i="30"/>
  <c r="P621" i="30"/>
  <c r="O622" i="30"/>
  <c r="N623" i="30"/>
  <c r="M624" i="30"/>
  <c r="L625" i="30"/>
  <c r="K626" i="30"/>
  <c r="J627" i="30"/>
  <c r="I628" i="30"/>
  <c r="Q628" i="30"/>
  <c r="P629" i="30"/>
  <c r="O630" i="30"/>
  <c r="N631" i="30"/>
  <c r="M632" i="30"/>
  <c r="L633" i="30"/>
  <c r="K634" i="30"/>
  <c r="J635" i="30"/>
  <c r="I636" i="30"/>
  <c r="Q636" i="30"/>
  <c r="P637" i="30"/>
  <c r="O638" i="30"/>
  <c r="N639" i="30"/>
  <c r="M640" i="30"/>
  <c r="L641" i="30"/>
  <c r="K642" i="30"/>
  <c r="J643" i="30"/>
  <c r="I644" i="30"/>
  <c r="Q644" i="30"/>
  <c r="P645" i="30"/>
  <c r="O646" i="30"/>
  <c r="N647" i="30"/>
  <c r="M648" i="30"/>
  <c r="L649" i="30"/>
  <c r="K650" i="30"/>
  <c r="J651" i="30"/>
  <c r="I652" i="30"/>
  <c r="Q652" i="30"/>
  <c r="P653" i="30"/>
  <c r="O654" i="30"/>
  <c r="N655" i="30"/>
  <c r="M656" i="30"/>
  <c r="L657" i="30"/>
  <c r="K658" i="30"/>
  <c r="J659" i="30"/>
  <c r="I660" i="30"/>
  <c r="Q660" i="30"/>
  <c r="P661" i="30"/>
  <c r="O662" i="30"/>
  <c r="N663" i="30"/>
  <c r="M664" i="30"/>
  <c r="L665" i="30"/>
  <c r="K666" i="30"/>
  <c r="J667" i="30"/>
  <c r="I668" i="30"/>
  <c r="Q668" i="30"/>
  <c r="P669" i="30"/>
  <c r="O670" i="30"/>
  <c r="N671" i="30"/>
  <c r="M672" i="30"/>
  <c r="L673" i="30"/>
  <c r="K674" i="30"/>
  <c r="J675" i="30"/>
  <c r="I676" i="30"/>
  <c r="Q676" i="30"/>
  <c r="P677" i="30"/>
  <c r="O678" i="30"/>
  <c r="N679" i="30"/>
  <c r="M680" i="30"/>
  <c r="L681" i="30"/>
  <c r="K682" i="30"/>
  <c r="J683" i="30"/>
  <c r="I684" i="30"/>
  <c r="Q684" i="30"/>
  <c r="P685" i="30"/>
  <c r="O686" i="30"/>
  <c r="N687" i="30"/>
  <c r="M688" i="30"/>
  <c r="L689" i="30"/>
  <c r="K690" i="30"/>
  <c r="J691" i="30"/>
  <c r="P181" i="30"/>
  <c r="M259" i="30"/>
  <c r="M309" i="30"/>
  <c r="Q331" i="30"/>
  <c r="J346" i="30"/>
  <c r="J363" i="30"/>
  <c r="I381" i="30"/>
  <c r="I391" i="30"/>
  <c r="P400" i="30"/>
  <c r="J408" i="30"/>
  <c r="N413" i="30"/>
  <c r="N420" i="30"/>
  <c r="N427" i="30"/>
  <c r="Q432" i="30"/>
  <c r="L439" i="30"/>
  <c r="L446" i="30"/>
  <c r="O451" i="30"/>
  <c r="O458" i="30"/>
  <c r="J465" i="30"/>
  <c r="M470" i="30"/>
  <c r="M477" i="30"/>
  <c r="M484" i="30"/>
  <c r="P489" i="30"/>
  <c r="K496" i="30"/>
  <c r="K503" i="30"/>
  <c r="N508" i="30"/>
  <c r="N515" i="30"/>
  <c r="I522" i="30"/>
  <c r="O526" i="30"/>
  <c r="P531" i="30"/>
  <c r="I537" i="30"/>
  <c r="Q540" i="30"/>
  <c r="I546" i="30"/>
  <c r="L550" i="30"/>
  <c r="I553" i="30"/>
  <c r="M556" i="30"/>
  <c r="L559" i="30"/>
  <c r="O561" i="30"/>
  <c r="N564" i="30"/>
  <c r="N567" i="30"/>
  <c r="P569" i="30"/>
  <c r="O572" i="30"/>
  <c r="O575" i="30"/>
  <c r="O577" i="30"/>
  <c r="K580" i="30"/>
  <c r="P582" i="30"/>
  <c r="P584" i="30"/>
  <c r="L587" i="30"/>
  <c r="Q589" i="30"/>
  <c r="Q591" i="30"/>
  <c r="M594" i="30"/>
  <c r="I597" i="30"/>
  <c r="I599" i="30"/>
  <c r="N601" i="30"/>
  <c r="J604" i="30"/>
  <c r="J606" i="30"/>
  <c r="O608" i="30"/>
  <c r="K611" i="30"/>
  <c r="K613" i="30"/>
  <c r="P615" i="30"/>
  <c r="L618" i="30"/>
  <c r="L620" i="30"/>
  <c r="Q622" i="30"/>
  <c r="M625" i="30"/>
  <c r="M627" i="30"/>
  <c r="I630" i="30"/>
  <c r="N632" i="30"/>
  <c r="N634" i="30"/>
  <c r="J637" i="30"/>
  <c r="O639" i="30"/>
  <c r="O641" i="30"/>
  <c r="K644" i="30"/>
  <c r="P646" i="30"/>
  <c r="P648" i="30"/>
  <c r="L651" i="30"/>
  <c r="Q653" i="30"/>
  <c r="Q655" i="30"/>
  <c r="M658" i="30"/>
  <c r="I661" i="30"/>
  <c r="I663" i="30"/>
  <c r="N665" i="30"/>
  <c r="J668" i="30"/>
  <c r="J670" i="30"/>
  <c r="O672" i="30"/>
  <c r="K675" i="30"/>
  <c r="K677" i="30"/>
  <c r="P679" i="30"/>
  <c r="N681" i="30"/>
  <c r="L683" i="30"/>
  <c r="J685" i="30"/>
  <c r="Q686" i="30"/>
  <c r="O688" i="30"/>
  <c r="M690" i="30"/>
  <c r="I692" i="30"/>
  <c r="J693" i="30"/>
  <c r="M694" i="30"/>
  <c r="N695" i="30"/>
  <c r="O696" i="30"/>
  <c r="I698" i="30"/>
  <c r="J699" i="30"/>
  <c r="K700" i="30"/>
  <c r="N701" i="30"/>
  <c r="N702" i="30"/>
  <c r="N703" i="30"/>
  <c r="N704" i="30"/>
  <c r="N705" i="30"/>
  <c r="N706" i="30"/>
  <c r="O707" i="30"/>
  <c r="O708" i="30"/>
  <c r="O709" i="30"/>
  <c r="O710" i="30"/>
  <c r="O711" i="30"/>
  <c r="O712" i="30"/>
  <c r="O713" i="30"/>
  <c r="P714" i="30"/>
  <c r="P715" i="30"/>
  <c r="P716" i="30"/>
  <c r="O717" i="30"/>
  <c r="N718" i="30"/>
  <c r="M719" i="30"/>
  <c r="L720" i="30"/>
  <c r="K721" i="30"/>
  <c r="J722" i="30"/>
  <c r="I723" i="30"/>
  <c r="Q723" i="30"/>
  <c r="P724" i="30"/>
  <c r="O725" i="30"/>
  <c r="N726" i="30"/>
  <c r="M727" i="30"/>
  <c r="L728" i="30"/>
  <c r="K729" i="30"/>
  <c r="J730" i="30"/>
  <c r="I731" i="30"/>
  <c r="Q731" i="30"/>
  <c r="P732" i="30"/>
  <c r="O733" i="30"/>
  <c r="N734" i="30"/>
  <c r="M735" i="30"/>
  <c r="L736" i="30"/>
  <c r="K737" i="30"/>
  <c r="J738" i="30"/>
  <c r="I739" i="30"/>
  <c r="Q739" i="30"/>
  <c r="P740" i="30"/>
  <c r="O741" i="30"/>
  <c r="N742" i="30"/>
  <c r="M743" i="30"/>
  <c r="L744" i="30"/>
  <c r="K745" i="30"/>
  <c r="J746" i="30"/>
  <c r="I747" i="30"/>
  <c r="Q747" i="30"/>
  <c r="P748" i="30"/>
  <c r="O749" i="30"/>
  <c r="N750" i="30"/>
  <c r="M751" i="30"/>
  <c r="L752" i="30"/>
  <c r="K753" i="30"/>
  <c r="J754" i="30"/>
  <c r="I755" i="30"/>
  <c r="Q755" i="30"/>
  <c r="P756" i="30"/>
  <c r="O757" i="30"/>
  <c r="N758" i="30"/>
  <c r="M759" i="30"/>
  <c r="L760" i="30"/>
  <c r="K761" i="30"/>
  <c r="O750" i="30"/>
  <c r="L753" i="30"/>
  <c r="J755" i="30"/>
  <c r="Q756" i="30"/>
  <c r="O758" i="30"/>
  <c r="M760" i="30"/>
  <c r="J756" i="30"/>
  <c r="P758" i="30"/>
  <c r="M761" i="30"/>
  <c r="P735" i="30"/>
  <c r="K740" i="30"/>
  <c r="Q742" i="30"/>
  <c r="M746" i="30"/>
  <c r="J749" i="30"/>
  <c r="O752" i="30"/>
  <c r="K756" i="30"/>
  <c r="O760" i="30"/>
  <c r="I759" i="30"/>
  <c r="J339" i="30"/>
  <c r="N411" i="30"/>
  <c r="L437" i="30"/>
  <c r="Q474" i="30"/>
  <c r="I513" i="30"/>
  <c r="J539" i="30"/>
  <c r="L558" i="30"/>
  <c r="P568" i="30"/>
  <c r="Q581" i="30"/>
  <c r="I591" i="30"/>
  <c r="K603" i="30"/>
  <c r="L612" i="30"/>
  <c r="N624" i="30"/>
  <c r="K636" i="30"/>
  <c r="Q645" i="30"/>
  <c r="I655" i="30"/>
  <c r="K667" i="30"/>
  <c r="Q678" i="30"/>
  <c r="Q687" i="30"/>
  <c r="Q693" i="30"/>
  <c r="Q699" i="30"/>
  <c r="K705" i="30"/>
  <c r="L710" i="30"/>
  <c r="L715" i="30"/>
  <c r="I720" i="30"/>
  <c r="K726" i="30"/>
  <c r="P729" i="30"/>
  <c r="K734" i="30"/>
  <c r="O738" i="30"/>
  <c r="J743" i="30"/>
  <c r="M748" i="30"/>
  <c r="Q752" i="30"/>
  <c r="M756" i="30"/>
  <c r="Q760" i="30"/>
  <c r="Q357" i="30"/>
  <c r="Q405" i="30"/>
  <c r="M437" i="30"/>
  <c r="K463" i="30"/>
  <c r="L494" i="30"/>
  <c r="K530" i="30"/>
  <c r="P552" i="30"/>
  <c r="O566" i="30"/>
  <c r="M579" i="30"/>
  <c r="O591" i="30"/>
  <c r="L603" i="30"/>
  <c r="I615" i="30"/>
  <c r="K627" i="30"/>
  <c r="Q638" i="30"/>
  <c r="J653" i="30"/>
  <c r="P664" i="30"/>
  <c r="I677" i="30"/>
  <c r="N686" i="30"/>
  <c r="I694" i="30"/>
  <c r="J701" i="30"/>
  <c r="L705" i="30"/>
  <c r="M710" i="30"/>
  <c r="M715" i="30"/>
  <c r="J720" i="30"/>
  <c r="O723" i="30"/>
  <c r="J728" i="30"/>
  <c r="N732" i="30"/>
  <c r="I737" i="30"/>
  <c r="M741" i="30"/>
  <c r="P746" i="30"/>
  <c r="J752" i="30"/>
  <c r="N756" i="30"/>
  <c r="I761" i="30"/>
  <c r="L344" i="30"/>
  <c r="I400" i="30"/>
  <c r="K439" i="30"/>
  <c r="L470" i="30"/>
  <c r="M501" i="30"/>
  <c r="M526" i="30"/>
  <c r="L549" i="30"/>
  <c r="M564" i="30"/>
  <c r="N577" i="30"/>
  <c r="K587" i="30"/>
  <c r="M601" i="30"/>
  <c r="J613" i="30"/>
  <c r="P624" i="30"/>
  <c r="M634" i="30"/>
  <c r="J646" i="30"/>
  <c r="L658" i="30"/>
  <c r="I670" i="30"/>
  <c r="M201" i="30"/>
  <c r="M272" i="30"/>
  <c r="N309" i="30"/>
  <c r="I332" i="30"/>
  <c r="O350" i="30"/>
  <c r="Q364" i="30"/>
  <c r="K381" i="30"/>
  <c r="I394" i="30"/>
  <c r="Q400" i="30"/>
  <c r="Q408" i="30"/>
  <c r="L415" i="30"/>
  <c r="O420" i="30"/>
  <c r="O427" i="30"/>
  <c r="O434" i="30"/>
  <c r="I440" i="30"/>
  <c r="M446" i="30"/>
  <c r="M453" i="30"/>
  <c r="P458" i="30"/>
  <c r="P465" i="30"/>
  <c r="K472" i="30"/>
  <c r="N477" i="30"/>
  <c r="N484" i="30"/>
  <c r="N491" i="30"/>
  <c r="Q496" i="30"/>
  <c r="L503" i="30"/>
  <c r="L510" i="30"/>
  <c r="O515" i="30"/>
  <c r="O522" i="30"/>
  <c r="J528" i="30"/>
  <c r="I532" i="30"/>
  <c r="J537" i="30"/>
  <c r="L542" i="30"/>
  <c r="K546" i="30"/>
  <c r="M550" i="30"/>
  <c r="Q553" i="30"/>
  <c r="N556" i="30"/>
  <c r="N559" i="30"/>
  <c r="M562" i="30"/>
  <c r="O564" i="30"/>
  <c r="O567" i="30"/>
  <c r="N570" i="30"/>
  <c r="Q572" i="30"/>
  <c r="P575" i="30"/>
  <c r="L578" i="30"/>
  <c r="L580" i="30"/>
  <c r="Q582" i="30"/>
  <c r="M585" i="30"/>
  <c r="M587" i="30"/>
  <c r="I590" i="30"/>
  <c r="N592" i="30"/>
  <c r="N594" i="30"/>
  <c r="J597" i="30"/>
  <c r="O599" i="30"/>
  <c r="O601" i="30"/>
  <c r="K604" i="30"/>
  <c r="P606" i="30"/>
  <c r="P608" i="30"/>
  <c r="L611" i="30"/>
  <c r="Q613" i="30"/>
  <c r="Q615" i="30"/>
  <c r="M618" i="30"/>
  <c r="I621" i="30"/>
  <c r="I623" i="30"/>
  <c r="N625" i="30"/>
  <c r="J628" i="30"/>
  <c r="J630" i="30"/>
  <c r="O632" i="30"/>
  <c r="K635" i="30"/>
  <c r="K637" i="30"/>
  <c r="P639" i="30"/>
  <c r="L642" i="30"/>
  <c r="L644" i="30"/>
  <c r="Q646" i="30"/>
  <c r="M649" i="30"/>
  <c r="M651" i="30"/>
  <c r="I654" i="30"/>
  <c r="N656" i="30"/>
  <c r="N658" i="30"/>
  <c r="J661" i="30"/>
  <c r="O663" i="30"/>
  <c r="O665" i="30"/>
  <c r="K668" i="30"/>
  <c r="P670" i="30"/>
  <c r="P672" i="30"/>
  <c r="L675" i="30"/>
  <c r="Q677" i="30"/>
  <c r="Q679" i="30"/>
  <c r="O681" i="30"/>
  <c r="M683" i="30"/>
  <c r="K685" i="30"/>
  <c r="I687" i="30"/>
  <c r="P688" i="30"/>
  <c r="N690" i="30"/>
  <c r="J692" i="30"/>
  <c r="K693" i="30"/>
  <c r="N694" i="30"/>
  <c r="O695" i="30"/>
  <c r="P696" i="30"/>
  <c r="J698" i="30"/>
  <c r="K699" i="30"/>
  <c r="L700" i="30"/>
  <c r="O701" i="30"/>
  <c r="O702" i="30"/>
  <c r="O703" i="30"/>
  <c r="O704" i="30"/>
  <c r="O705" i="30"/>
  <c r="P706" i="30"/>
  <c r="P707" i="30"/>
  <c r="P708" i="30"/>
  <c r="P709" i="30"/>
  <c r="P710" i="30"/>
  <c r="P711" i="30"/>
  <c r="P712" i="30"/>
  <c r="Q713" i="30"/>
  <c r="Q714" i="30"/>
  <c r="Q715" i="30"/>
  <c r="Q716" i="30"/>
  <c r="P717" i="30"/>
  <c r="O718" i="30"/>
  <c r="N719" i="30"/>
  <c r="M720" i="30"/>
  <c r="L721" i="30"/>
  <c r="K722" i="30"/>
  <c r="J723" i="30"/>
  <c r="I724" i="30"/>
  <c r="Q724" i="30"/>
  <c r="P725" i="30"/>
  <c r="O726" i="30"/>
  <c r="N727" i="30"/>
  <c r="M728" i="30"/>
  <c r="L729" i="30"/>
  <c r="K730" i="30"/>
  <c r="J731" i="30"/>
  <c r="I732" i="30"/>
  <c r="Q732" i="30"/>
  <c r="P733" i="30"/>
  <c r="O734" i="30"/>
  <c r="N735" i="30"/>
  <c r="M736" i="30"/>
  <c r="L737" i="30"/>
  <c r="K738" i="30"/>
  <c r="J739" i="30"/>
  <c r="I740" i="30"/>
  <c r="Q740" i="30"/>
  <c r="P741" i="30"/>
  <c r="O742" i="30"/>
  <c r="N743" i="30"/>
  <c r="M744" i="30"/>
  <c r="L745" i="30"/>
  <c r="K746" i="30"/>
  <c r="J747" i="30"/>
  <c r="I748" i="30"/>
  <c r="Q748" i="30"/>
  <c r="P749" i="30"/>
  <c r="N751" i="30"/>
  <c r="M752" i="30"/>
  <c r="K754" i="30"/>
  <c r="I756" i="30"/>
  <c r="P757" i="30"/>
  <c r="N759" i="30"/>
  <c r="L761" i="30"/>
  <c r="Q757" i="30"/>
  <c r="N760" i="30"/>
  <c r="O736" i="30"/>
  <c r="J741" i="30"/>
  <c r="O744" i="30"/>
  <c r="K748" i="30"/>
  <c r="P751" i="30"/>
  <c r="L755" i="30"/>
  <c r="I758" i="30"/>
  <c r="N761" i="30"/>
  <c r="O761" i="30"/>
  <c r="O324" i="30"/>
  <c r="N386" i="30"/>
  <c r="P405" i="30"/>
  <c r="L430" i="30"/>
  <c r="J456" i="30"/>
  <c r="Q481" i="30"/>
  <c r="I506" i="30"/>
  <c r="K535" i="30"/>
  <c r="L555" i="30"/>
  <c r="O571" i="30"/>
  <c r="M586" i="30"/>
  <c r="J598" i="30"/>
  <c r="L610" i="30"/>
  <c r="I622" i="30"/>
  <c r="O633" i="30"/>
  <c r="L643" i="30"/>
  <c r="N657" i="30"/>
  <c r="K669" i="30"/>
  <c r="N682" i="30"/>
  <c r="M691" i="30"/>
  <c r="M697" i="30"/>
  <c r="J702" i="30"/>
  <c r="K706" i="30"/>
  <c r="K709" i="30"/>
  <c r="L714" i="30"/>
  <c r="J719" i="30"/>
  <c r="O722" i="30"/>
  <c r="J727" i="30"/>
  <c r="N731" i="30"/>
  <c r="I736" i="30"/>
  <c r="M740" i="30"/>
  <c r="Q744" i="30"/>
  <c r="L749" i="30"/>
  <c r="P753" i="30"/>
  <c r="K758" i="30"/>
  <c r="L257" i="30"/>
  <c r="N376" i="30"/>
  <c r="L413" i="30"/>
  <c r="M444" i="30"/>
  <c r="N475" i="30"/>
  <c r="L501" i="30"/>
  <c r="L526" i="30"/>
  <c r="K549" i="30"/>
  <c r="O563" i="30"/>
  <c r="M577" i="30"/>
  <c r="J589" i="30"/>
  <c r="P600" i="30"/>
  <c r="I613" i="30"/>
  <c r="O624" i="30"/>
  <c r="L634" i="30"/>
  <c r="M643" i="30"/>
  <c r="O655" i="30"/>
  <c r="Q669" i="30"/>
  <c r="K681" i="30"/>
  <c r="J690" i="30"/>
  <c r="M696" i="30"/>
  <c r="L702" i="30"/>
  <c r="L708" i="30"/>
  <c r="M712" i="30"/>
  <c r="M717" i="30"/>
  <c r="Q721" i="30"/>
  <c r="M725" i="30"/>
  <c r="I729" i="30"/>
  <c r="M733" i="30"/>
  <c r="P738" i="30"/>
  <c r="K743" i="30"/>
  <c r="N748" i="30"/>
  <c r="I753" i="30"/>
  <c r="L758" i="30"/>
  <c r="Q761" i="30"/>
  <c r="I363" i="30"/>
  <c r="J406" i="30"/>
  <c r="K432" i="30"/>
  <c r="L463" i="30"/>
  <c r="J489" i="30"/>
  <c r="K520" i="30"/>
  <c r="Q545" i="30"/>
  <c r="O558" i="30"/>
  <c r="N572" i="30"/>
  <c r="O584" i="30"/>
  <c r="L596" i="30"/>
  <c r="N610" i="30"/>
  <c r="P622" i="30"/>
  <c r="I637" i="30"/>
  <c r="O648" i="30"/>
  <c r="L660" i="30"/>
  <c r="N672" i="30"/>
  <c r="N201" i="30"/>
  <c r="I277" i="30"/>
  <c r="Q315" i="30"/>
  <c r="J332" i="30"/>
  <c r="P350" i="30"/>
  <c r="M369" i="30"/>
  <c r="O382" i="30"/>
  <c r="J394" i="30"/>
  <c r="Q402" i="30"/>
  <c r="I409" i="30"/>
  <c r="I416" i="30"/>
  <c r="M422" i="30"/>
  <c r="P427" i="30"/>
  <c r="P434" i="30"/>
  <c r="P441" i="30"/>
  <c r="J447" i="30"/>
  <c r="N453" i="30"/>
  <c r="N460" i="30"/>
  <c r="Q465" i="30"/>
  <c r="Q472" i="30"/>
  <c r="L479" i="30"/>
  <c r="O484" i="30"/>
  <c r="O491" i="30"/>
  <c r="O498" i="30"/>
  <c r="I504" i="30"/>
  <c r="M510" i="30"/>
  <c r="M517" i="30"/>
  <c r="P522" i="30"/>
  <c r="K528" i="30"/>
  <c r="M533" i="30"/>
  <c r="L537" i="30"/>
  <c r="M542" i="30"/>
  <c r="N547" i="30"/>
  <c r="O550" i="30"/>
  <c r="I554" i="30"/>
  <c r="L557" i="30"/>
  <c r="O559" i="30"/>
  <c r="N562" i="30"/>
  <c r="M565" i="30"/>
  <c r="P567" i="30"/>
  <c r="O570" i="30"/>
  <c r="N573" i="30"/>
  <c r="Q575" i="30"/>
  <c r="M578" i="30"/>
  <c r="I581" i="30"/>
  <c r="I583" i="30"/>
  <c r="N585" i="30"/>
  <c r="J588" i="30"/>
  <c r="J590" i="30"/>
  <c r="O592" i="30"/>
  <c r="K595" i="30"/>
  <c r="K597" i="30"/>
  <c r="P599" i="30"/>
  <c r="L602" i="30"/>
  <c r="L604" i="30"/>
  <c r="Q606" i="30"/>
  <c r="M609" i="30"/>
  <c r="M611" i="30"/>
  <c r="I614" i="30"/>
  <c r="N616" i="30"/>
  <c r="N618" i="30"/>
  <c r="J621" i="30"/>
  <c r="O623" i="30"/>
  <c r="O625" i="30"/>
  <c r="K628" i="30"/>
  <c r="P630" i="30"/>
  <c r="P632" i="30"/>
  <c r="L635" i="30"/>
  <c r="Q637" i="30"/>
  <c r="Q639" i="30"/>
  <c r="M642" i="30"/>
  <c r="I645" i="30"/>
  <c r="I647" i="30"/>
  <c r="N649" i="30"/>
  <c r="J652" i="30"/>
  <c r="J654" i="30"/>
  <c r="O656" i="30"/>
  <c r="K659" i="30"/>
  <c r="K661" i="30"/>
  <c r="P663" i="30"/>
  <c r="L666" i="30"/>
  <c r="L668" i="30"/>
  <c r="Q670" i="30"/>
  <c r="M673" i="30"/>
  <c r="M675" i="30"/>
  <c r="I678" i="30"/>
  <c r="L680" i="30"/>
  <c r="J682" i="30"/>
  <c r="Q683" i="30"/>
  <c r="O685" i="30"/>
  <c r="M687" i="30"/>
  <c r="K689" i="30"/>
  <c r="I691" i="30"/>
  <c r="K692" i="30"/>
  <c r="N693" i="30"/>
  <c r="O694" i="30"/>
  <c r="P695" i="30"/>
  <c r="J697" i="30"/>
  <c r="K698" i="30"/>
  <c r="L699" i="30"/>
  <c r="O700" i="30"/>
  <c r="P701" i="30"/>
  <c r="P702" i="30"/>
  <c r="P703" i="30"/>
  <c r="P704" i="30"/>
  <c r="Q705" i="30"/>
  <c r="Q706" i="30"/>
  <c r="Q707" i="30"/>
  <c r="Q708" i="30"/>
  <c r="Q709" i="30"/>
  <c r="Q710" i="30"/>
  <c r="Q711" i="30"/>
  <c r="I713" i="30"/>
  <c r="I714" i="30"/>
  <c r="I715" i="30"/>
  <c r="I716" i="30"/>
  <c r="I717" i="30"/>
  <c r="Q717" i="30"/>
  <c r="P718" i="30"/>
  <c r="O719" i="30"/>
  <c r="N720" i="30"/>
  <c r="M721" i="30"/>
  <c r="L722" i="30"/>
  <c r="K723" i="30"/>
  <c r="J724" i="30"/>
  <c r="I725" i="30"/>
  <c r="Q725" i="30"/>
  <c r="P726" i="30"/>
  <c r="O727" i="30"/>
  <c r="N728" i="30"/>
  <c r="M729" i="30"/>
  <c r="L730" i="30"/>
  <c r="K731" i="30"/>
  <c r="J732" i="30"/>
  <c r="I733" i="30"/>
  <c r="Q733" i="30"/>
  <c r="P734" i="30"/>
  <c r="O735" i="30"/>
  <c r="N736" i="30"/>
  <c r="M737" i="30"/>
  <c r="L738" i="30"/>
  <c r="K739" i="30"/>
  <c r="J740" i="30"/>
  <c r="I741" i="30"/>
  <c r="Q741" i="30"/>
  <c r="P742" i="30"/>
  <c r="O743" i="30"/>
  <c r="N744" i="30"/>
  <c r="M745" i="30"/>
  <c r="L746" i="30"/>
  <c r="K747" i="30"/>
  <c r="J748" i="30"/>
  <c r="I749" i="30"/>
  <c r="Q749" i="30"/>
  <c r="P750" i="30"/>
  <c r="O751" i="30"/>
  <c r="N752" i="30"/>
  <c r="M753" i="30"/>
  <c r="L754" i="30"/>
  <c r="K755" i="30"/>
  <c r="I757" i="30"/>
  <c r="O759" i="30"/>
  <c r="Q734" i="30"/>
  <c r="L739" i="30"/>
  <c r="P743" i="30"/>
  <c r="L747" i="30"/>
  <c r="Q750" i="30"/>
  <c r="N753" i="30"/>
  <c r="J757" i="30"/>
  <c r="Q758" i="30"/>
  <c r="Q759" i="30"/>
  <c r="K291" i="30"/>
  <c r="I425" i="30"/>
  <c r="J463" i="30"/>
  <c r="K487" i="30"/>
  <c r="I520" i="30"/>
  <c r="K544" i="30"/>
  <c r="O560" i="30"/>
  <c r="O574" i="30"/>
  <c r="Q583" i="30"/>
  <c r="J596" i="30"/>
  <c r="P607" i="30"/>
  <c r="M617" i="30"/>
  <c r="N626" i="30"/>
  <c r="P638" i="30"/>
  <c r="M650" i="30"/>
  <c r="J662" i="30"/>
  <c r="P671" i="30"/>
  <c r="P680" i="30"/>
  <c r="O689" i="30"/>
  <c r="L696" i="30"/>
  <c r="K703" i="30"/>
  <c r="K708" i="30"/>
  <c r="L713" i="30"/>
  <c r="K718" i="30"/>
  <c r="P721" i="30"/>
  <c r="M724" i="30"/>
  <c r="I728" i="30"/>
  <c r="L733" i="30"/>
  <c r="Q736" i="30"/>
  <c r="L741" i="30"/>
  <c r="P745" i="30"/>
  <c r="K750" i="30"/>
  <c r="O754" i="30"/>
  <c r="J759" i="30"/>
  <c r="L296" i="30"/>
  <c r="P389" i="30"/>
  <c r="O418" i="30"/>
  <c r="Q450" i="30"/>
  <c r="I482" i="30"/>
  <c r="J513" i="30"/>
  <c r="N540" i="30"/>
  <c r="M558" i="30"/>
  <c r="P571" i="30"/>
  <c r="N584" i="30"/>
  <c r="P598" i="30"/>
  <c r="M610" i="30"/>
  <c r="J622" i="30"/>
  <c r="P631" i="30"/>
  <c r="I646" i="30"/>
  <c r="K660" i="30"/>
  <c r="Q671" i="30"/>
  <c r="I683" i="30"/>
  <c r="P691" i="30"/>
  <c r="N697" i="30"/>
  <c r="L703" i="30"/>
  <c r="L707" i="30"/>
  <c r="M711" i="30"/>
  <c r="N716" i="30"/>
  <c r="I721" i="30"/>
  <c r="L726" i="30"/>
  <c r="P730" i="30"/>
  <c r="K735" i="30"/>
  <c r="N740" i="30"/>
  <c r="I745" i="30"/>
  <c r="M749" i="30"/>
  <c r="Q753" i="30"/>
  <c r="M757" i="30"/>
  <c r="M257" i="30"/>
  <c r="K377" i="30"/>
  <c r="M413" i="30"/>
  <c r="N451" i="30"/>
  <c r="O482" i="30"/>
  <c r="Q514" i="30"/>
  <c r="N535" i="30"/>
  <c r="L556" i="30"/>
  <c r="O569" i="30"/>
  <c r="J582" i="30"/>
  <c r="L594" i="30"/>
  <c r="M603" i="30"/>
  <c r="O615" i="30"/>
  <c r="L627" i="30"/>
  <c r="I639" i="30"/>
  <c r="K651" i="30"/>
  <c r="Q662" i="30"/>
  <c r="P231" i="30"/>
  <c r="O277" i="30"/>
  <c r="L318" i="30"/>
  <c r="K337" i="30"/>
  <c r="M351" i="30"/>
  <c r="J370" i="30"/>
  <c r="K386" i="30"/>
  <c r="I395" i="30"/>
  <c r="I403" i="30"/>
  <c r="P410" i="30"/>
  <c r="J416" i="30"/>
  <c r="J423" i="30"/>
  <c r="N429" i="30"/>
  <c r="Q434" i="30"/>
  <c r="Q441" i="30"/>
  <c r="Q448" i="30"/>
  <c r="K454" i="30"/>
  <c r="O460" i="30"/>
  <c r="O467" i="30"/>
  <c r="I473" i="30"/>
  <c r="I480" i="30"/>
  <c r="M486" i="30"/>
  <c r="P491" i="30"/>
  <c r="P498" i="30"/>
  <c r="P505" i="30"/>
  <c r="J511" i="30"/>
  <c r="N517" i="30"/>
  <c r="N524" i="30"/>
  <c r="M528" i="30"/>
  <c r="N533" i="30"/>
  <c r="P538" i="30"/>
  <c r="O542" i="30"/>
  <c r="O547" i="30"/>
  <c r="N551" i="30"/>
  <c r="K554" i="30"/>
  <c r="M557" i="30"/>
  <c r="M560" i="30"/>
  <c r="O562" i="30"/>
  <c r="N565" i="30"/>
  <c r="N568" i="30"/>
  <c r="P570" i="30"/>
  <c r="P573" i="30"/>
  <c r="N576" i="30"/>
  <c r="N578" i="30"/>
  <c r="J581" i="30"/>
  <c r="O583" i="30"/>
  <c r="O585" i="30"/>
  <c r="K588" i="30"/>
  <c r="P590" i="30"/>
  <c r="P592" i="30"/>
  <c r="L595" i="30"/>
  <c r="Q597" i="30"/>
  <c r="Q599" i="30"/>
  <c r="M602" i="30"/>
  <c r="I605" i="30"/>
  <c r="I607" i="30"/>
  <c r="N609" i="30"/>
  <c r="J612" i="30"/>
  <c r="J614" i="30"/>
  <c r="O616" i="30"/>
  <c r="K619" i="30"/>
  <c r="K621" i="30"/>
  <c r="P623" i="30"/>
  <c r="L626" i="30"/>
  <c r="L628" i="30"/>
  <c r="Q630" i="30"/>
  <c r="M633" i="30"/>
  <c r="M635" i="30"/>
  <c r="I638" i="30"/>
  <c r="N640" i="30"/>
  <c r="N642" i="30"/>
  <c r="J645" i="30"/>
  <c r="O647" i="30"/>
  <c r="O649" i="30"/>
  <c r="K652" i="30"/>
  <c r="P654" i="30"/>
  <c r="P656" i="30"/>
  <c r="L659" i="30"/>
  <c r="Q661" i="30"/>
  <c r="Q663" i="30"/>
  <c r="M666" i="30"/>
  <c r="I669" i="30"/>
  <c r="I671" i="30"/>
  <c r="N673" i="30"/>
  <c r="J676" i="30"/>
  <c r="J678" i="30"/>
  <c r="N680" i="30"/>
  <c r="L682" i="30"/>
  <c r="J684" i="30"/>
  <c r="Q685" i="30"/>
  <c r="O687" i="30"/>
  <c r="M689" i="30"/>
  <c r="K691" i="30"/>
  <c r="L692" i="30"/>
  <c r="O693" i="30"/>
  <c r="P694" i="30"/>
  <c r="Q695" i="30"/>
  <c r="K697" i="30"/>
  <c r="L698" i="30"/>
  <c r="M699" i="30"/>
  <c r="P700" i="30"/>
  <c r="Q701" i="30"/>
  <c r="Q702" i="30"/>
  <c r="Q703" i="30"/>
  <c r="I705" i="30"/>
  <c r="I706" i="30"/>
  <c r="I707" i="30"/>
  <c r="I708" i="30"/>
  <c r="I709" i="30"/>
  <c r="I710" i="30"/>
  <c r="I711" i="30"/>
  <c r="J712" i="30"/>
  <c r="J713" i="30"/>
  <c r="J714" i="30"/>
  <c r="J715" i="30"/>
  <c r="J716" i="30"/>
  <c r="J717" i="30"/>
  <c r="I718" i="30"/>
  <c r="Q718" i="30"/>
  <c r="P719" i="30"/>
  <c r="O720" i="30"/>
  <c r="N721" i="30"/>
  <c r="M722" i="30"/>
  <c r="L723" i="30"/>
  <c r="K724" i="30"/>
  <c r="J725" i="30"/>
  <c r="I726" i="30"/>
  <c r="Q726" i="30"/>
  <c r="P727" i="30"/>
  <c r="O728" i="30"/>
  <c r="N729" i="30"/>
  <c r="M730" i="30"/>
  <c r="L731" i="30"/>
  <c r="K732" i="30"/>
  <c r="J733" i="30"/>
  <c r="I734" i="30"/>
  <c r="N737" i="30"/>
  <c r="M738" i="30"/>
  <c r="I742" i="30"/>
  <c r="N745" i="30"/>
  <c r="I750" i="30"/>
  <c r="M754" i="30"/>
  <c r="P759" i="30"/>
  <c r="Q242" i="30"/>
  <c r="J449" i="30"/>
  <c r="K494" i="30"/>
  <c r="Q524" i="30"/>
  <c r="Q548" i="30"/>
  <c r="N563" i="30"/>
  <c r="P576" i="30"/>
  <c r="I589" i="30"/>
  <c r="O600" i="30"/>
  <c r="Q614" i="30"/>
  <c r="O631" i="30"/>
  <c r="Q647" i="30"/>
  <c r="J660" i="30"/>
  <c r="L674" i="30"/>
  <c r="L684" i="30"/>
  <c r="P692" i="30"/>
  <c r="N698" i="30"/>
  <c r="K704" i="30"/>
  <c r="L711" i="30"/>
  <c r="L717" i="30"/>
  <c r="N723" i="30"/>
  <c r="O730" i="30"/>
  <c r="J735" i="30"/>
  <c r="N739" i="30"/>
  <c r="I744" i="30"/>
  <c r="N747" i="30"/>
  <c r="I752" i="30"/>
  <c r="L757" i="30"/>
  <c r="P761" i="30"/>
  <c r="O343" i="30"/>
  <c r="J432" i="30"/>
  <c r="K470" i="30"/>
  <c r="P507" i="30"/>
  <c r="L535" i="30"/>
  <c r="M555" i="30"/>
  <c r="N569" i="30"/>
  <c r="I582" i="30"/>
  <c r="O593" i="30"/>
  <c r="Q607" i="30"/>
  <c r="J620" i="30"/>
  <c r="L636" i="30"/>
  <c r="N648" i="30"/>
  <c r="O657" i="30"/>
  <c r="L667" i="30"/>
  <c r="I679" i="30"/>
  <c r="L688" i="30"/>
  <c r="L695" i="30"/>
  <c r="I700" i="30"/>
  <c r="L706" i="30"/>
  <c r="M713" i="30"/>
  <c r="K719" i="30"/>
  <c r="N724" i="30"/>
  <c r="Q729" i="30"/>
  <c r="L734" i="30"/>
  <c r="Q737" i="30"/>
  <c r="J744" i="30"/>
  <c r="O747" i="30"/>
  <c r="K751" i="30"/>
  <c r="O755" i="30"/>
  <c r="J760" i="30"/>
  <c r="P326" i="30"/>
  <c r="P425" i="30"/>
  <c r="I458" i="30"/>
  <c r="J496" i="30"/>
  <c r="O540" i="30"/>
  <c r="N561" i="30"/>
  <c r="Q574" i="30"/>
  <c r="P591" i="30"/>
  <c r="I606" i="30"/>
  <c r="K620" i="30"/>
  <c r="Q631" i="30"/>
  <c r="J644" i="30"/>
  <c r="P655" i="30"/>
  <c r="M667" i="30"/>
  <c r="L235" i="30"/>
  <c r="J291" i="30"/>
  <c r="K319" i="30"/>
  <c r="I339" i="30"/>
  <c r="I356" i="30"/>
  <c r="K370" i="30"/>
  <c r="L386" i="30"/>
  <c r="M397" i="30"/>
  <c r="P403" i="30"/>
  <c r="Q410" i="30"/>
  <c r="Q417" i="30"/>
  <c r="K423" i="30"/>
  <c r="K430" i="30"/>
  <c r="O436" i="30"/>
  <c r="I442" i="30"/>
  <c r="I449" i="30"/>
  <c r="I456" i="30"/>
  <c r="L461" i="30"/>
  <c r="P467" i="30"/>
  <c r="P474" i="30"/>
  <c r="J480" i="30"/>
  <c r="J487" i="30"/>
  <c r="N493" i="30"/>
  <c r="Q498" i="30"/>
  <c r="Q505" i="30"/>
  <c r="Q512" i="30"/>
  <c r="K518" i="30"/>
  <c r="O524" i="30"/>
  <c r="Q529" i="30"/>
  <c r="P533" i="30"/>
  <c r="Q538" i="30"/>
  <c r="J544" i="30"/>
  <c r="P547" i="30"/>
  <c r="P551" i="30"/>
  <c r="J555" i="30"/>
  <c r="N557" i="30"/>
  <c r="N560" i="30"/>
  <c r="M563" i="30"/>
  <c r="P565" i="30"/>
  <c r="O568" i="30"/>
  <c r="N571" i="30"/>
  <c r="Q573" i="30"/>
  <c r="O576" i="30"/>
  <c r="K579" i="30"/>
  <c r="K581" i="30"/>
  <c r="P583" i="30"/>
  <c r="L586" i="30"/>
  <c r="L588" i="30"/>
  <c r="Q590" i="30"/>
  <c r="M593" i="30"/>
  <c r="M595" i="30"/>
  <c r="I598" i="30"/>
  <c r="N600" i="30"/>
  <c r="N602" i="30"/>
  <c r="J605" i="30"/>
  <c r="O607" i="30"/>
  <c r="O609" i="30"/>
  <c r="K612" i="30"/>
  <c r="P614" i="30"/>
  <c r="P616" i="30"/>
  <c r="L619" i="30"/>
  <c r="Q621" i="30"/>
  <c r="Q623" i="30"/>
  <c r="M626" i="30"/>
  <c r="I629" i="30"/>
  <c r="I631" i="30"/>
  <c r="N633" i="30"/>
  <c r="J636" i="30"/>
  <c r="J638" i="30"/>
  <c r="O640" i="30"/>
  <c r="K643" i="30"/>
  <c r="K645" i="30"/>
  <c r="P647" i="30"/>
  <c r="L650" i="30"/>
  <c r="L652" i="30"/>
  <c r="Q654" i="30"/>
  <c r="M657" i="30"/>
  <c r="M659" i="30"/>
  <c r="I662" i="30"/>
  <c r="N664" i="30"/>
  <c r="N666" i="30"/>
  <c r="J669" i="30"/>
  <c r="O671" i="30"/>
  <c r="O673" i="30"/>
  <c r="K676" i="30"/>
  <c r="P678" i="30"/>
  <c r="O680" i="30"/>
  <c r="M682" i="30"/>
  <c r="K684" i="30"/>
  <c r="I686" i="30"/>
  <c r="P687" i="30"/>
  <c r="N689" i="30"/>
  <c r="L691" i="30"/>
  <c r="O692" i="30"/>
  <c r="P693" i="30"/>
  <c r="Q694" i="30"/>
  <c r="K696" i="30"/>
  <c r="L697" i="30"/>
  <c r="M698" i="30"/>
  <c r="P699" i="30"/>
  <c r="Q700" i="30"/>
  <c r="I702" i="30"/>
  <c r="I703" i="30"/>
  <c r="J704" i="30"/>
  <c r="J705" i="30"/>
  <c r="J706" i="30"/>
  <c r="J707" i="30"/>
  <c r="J708" i="30"/>
  <c r="J709" i="30"/>
  <c r="J710" i="30"/>
  <c r="K711" i="30"/>
  <c r="K712" i="30"/>
  <c r="K713" i="30"/>
  <c r="K714" i="30"/>
  <c r="K715" i="30"/>
  <c r="K716" i="30"/>
  <c r="K717" i="30"/>
  <c r="J718" i="30"/>
  <c r="I719" i="30"/>
  <c r="Q719" i="30"/>
  <c r="P720" i="30"/>
  <c r="O721" i="30"/>
  <c r="N722" i="30"/>
  <c r="M723" i="30"/>
  <c r="L724" i="30"/>
  <c r="K725" i="30"/>
  <c r="J726" i="30"/>
  <c r="I727" i="30"/>
  <c r="Q727" i="30"/>
  <c r="P728" i="30"/>
  <c r="O729" i="30"/>
  <c r="N730" i="30"/>
  <c r="M731" i="30"/>
  <c r="L732" i="30"/>
  <c r="K733" i="30"/>
  <c r="J734" i="30"/>
  <c r="I735" i="30"/>
  <c r="Q735" i="30"/>
  <c r="P736" i="30"/>
  <c r="O737" i="30"/>
  <c r="N738" i="30"/>
  <c r="M739" i="30"/>
  <c r="L740" i="30"/>
  <c r="K741" i="30"/>
  <c r="J742" i="30"/>
  <c r="I743" i="30"/>
  <c r="Q743" i="30"/>
  <c r="P744" i="30"/>
  <c r="O745" i="30"/>
  <c r="N746" i="30"/>
  <c r="M747" i="30"/>
  <c r="L748" i="30"/>
  <c r="K749" i="30"/>
  <c r="J750" i="30"/>
  <c r="I751" i="30"/>
  <c r="Q751" i="30"/>
  <c r="P752" i="30"/>
  <c r="O753" i="30"/>
  <c r="N754" i="30"/>
  <c r="M755" i="30"/>
  <c r="L756" i="30"/>
  <c r="K757" i="30"/>
  <c r="J758" i="30"/>
  <c r="P760" i="30"/>
  <c r="P357" i="30"/>
  <c r="P374" i="30"/>
  <c r="N397" i="30"/>
  <c r="I418" i="30"/>
  <c r="P443" i="30"/>
  <c r="M468" i="30"/>
  <c r="O500" i="30"/>
  <c r="I530" i="30"/>
  <c r="Q551" i="30"/>
  <c r="M566" i="30"/>
  <c r="L579" i="30"/>
  <c r="N593" i="30"/>
  <c r="K605" i="30"/>
  <c r="M619" i="30"/>
  <c r="J629" i="30"/>
  <c r="P640" i="30"/>
  <c r="I653" i="30"/>
  <c r="O664" i="30"/>
  <c r="L676" i="30"/>
  <c r="J686" i="30"/>
  <c r="I695" i="30"/>
  <c r="I701" i="30"/>
  <c r="K707" i="30"/>
  <c r="L712" i="30"/>
  <c r="L716" i="30"/>
  <c r="Q720" i="30"/>
  <c r="L725" i="30"/>
  <c r="Q728" i="30"/>
  <c r="M732" i="30"/>
  <c r="P737" i="30"/>
  <c r="K742" i="30"/>
  <c r="O746" i="30"/>
  <c r="J751" i="30"/>
  <c r="N755" i="30"/>
  <c r="I760" i="30"/>
  <c r="P324" i="30"/>
  <c r="O397" i="30"/>
  <c r="J425" i="30"/>
  <c r="K456" i="30"/>
  <c r="I489" i="30"/>
  <c r="J520" i="30"/>
  <c r="M544" i="30"/>
  <c r="M561" i="30"/>
  <c r="P574" i="30"/>
  <c r="N586" i="30"/>
  <c r="K596" i="30"/>
  <c r="Q605" i="30"/>
  <c r="N617" i="30"/>
  <c r="K629" i="30"/>
  <c r="M641" i="30"/>
  <c r="N650" i="30"/>
  <c r="P662" i="30"/>
  <c r="M674" i="30"/>
  <c r="P684" i="30"/>
  <c r="Q692" i="30"/>
  <c r="Q698" i="30"/>
  <c r="L704" i="30"/>
  <c r="M709" i="30"/>
  <c r="M714" i="30"/>
  <c r="L718" i="30"/>
  <c r="P722" i="30"/>
  <c r="K727" i="30"/>
  <c r="O731" i="30"/>
  <c r="J736" i="30"/>
  <c r="O739" i="30"/>
  <c r="L742" i="30"/>
  <c r="Q745" i="30"/>
  <c r="L750" i="30"/>
  <c r="P754" i="30"/>
  <c r="K759" i="30"/>
  <c r="J308" i="30"/>
  <c r="P390" i="30"/>
  <c r="M420" i="30"/>
  <c r="N444" i="30"/>
  <c r="L477" i="30"/>
  <c r="M508" i="30"/>
  <c r="O531" i="30"/>
  <c r="Q552" i="30"/>
  <c r="P566" i="30"/>
  <c r="J580" i="30"/>
  <c r="K589" i="30"/>
  <c r="Q598" i="30"/>
  <c r="N608" i="30"/>
  <c r="O617" i="30"/>
  <c r="Q629" i="30"/>
  <c r="N641" i="30"/>
  <c r="K653" i="30"/>
  <c r="M665" i="30"/>
  <c r="N674" i="30"/>
  <c r="L690" i="30"/>
  <c r="J700" i="30"/>
  <c r="N708" i="30"/>
  <c r="O716" i="30"/>
  <c r="P723" i="30"/>
  <c r="Q730" i="30"/>
  <c r="I738" i="30"/>
  <c r="J745" i="30"/>
  <c r="K752" i="30"/>
  <c r="L759" i="30"/>
  <c r="P731" i="30"/>
  <c r="J753" i="30"/>
  <c r="N725" i="30"/>
  <c r="Q746" i="30"/>
  <c r="N711" i="30"/>
  <c r="O740" i="30"/>
  <c r="K683" i="30"/>
  <c r="L727" i="30"/>
  <c r="P755" i="30"/>
  <c r="N713" i="30"/>
  <c r="K728" i="30"/>
  <c r="O756" i="30"/>
  <c r="M706" i="30"/>
  <c r="J729" i="30"/>
  <c r="N757" i="30"/>
  <c r="J677" i="30"/>
  <c r="Q691" i="30"/>
  <c r="K701" i="30"/>
  <c r="N709" i="30"/>
  <c r="N717" i="30"/>
  <c r="O724" i="30"/>
  <c r="Q738" i="30"/>
  <c r="I746" i="30"/>
  <c r="K760" i="30"/>
  <c r="P739" i="30"/>
  <c r="J761" i="30"/>
  <c r="M726" i="30"/>
  <c r="Q754" i="30"/>
  <c r="M704" i="30"/>
  <c r="N741" i="30"/>
  <c r="I685" i="30"/>
  <c r="M742" i="30"/>
  <c r="N714" i="30"/>
  <c r="I722" i="30"/>
  <c r="M750" i="30"/>
  <c r="O679" i="30"/>
  <c r="I693" i="30"/>
  <c r="M702" i="30"/>
  <c r="N710" i="30"/>
  <c r="M718" i="30"/>
  <c r="O732" i="30"/>
  <c r="I754" i="30"/>
  <c r="L719" i="30"/>
  <c r="P747" i="30"/>
  <c r="M695" i="30"/>
  <c r="K720" i="30"/>
  <c r="O748" i="30"/>
  <c r="M705" i="30"/>
  <c r="J721" i="30"/>
  <c r="N749" i="30"/>
  <c r="O697" i="30"/>
  <c r="L743" i="30"/>
  <c r="L751" i="30"/>
  <c r="M681" i="30"/>
  <c r="J694" i="30"/>
  <c r="M703" i="30"/>
  <c r="N733" i="30"/>
  <c r="N712" i="30"/>
  <c r="M734" i="30"/>
  <c r="N696" i="30"/>
  <c r="L735" i="30"/>
  <c r="P686" i="30"/>
  <c r="K736" i="30"/>
  <c r="K744" i="30"/>
  <c r="N688" i="30"/>
  <c r="I699" i="30"/>
  <c r="M707" i="30"/>
  <c r="O715" i="30"/>
  <c r="Q722" i="30"/>
  <c r="I730" i="30"/>
  <c r="J737" i="30"/>
  <c r="M758" i="30"/>
  <c r="I3" i="30"/>
  <c r="Q3" i="30"/>
  <c r="P4" i="30"/>
  <c r="O5" i="30"/>
  <c r="N6" i="30"/>
  <c r="M7" i="30"/>
  <c r="L8" i="30"/>
  <c r="K9" i="30"/>
  <c r="J10" i="30"/>
  <c r="I11" i="30"/>
  <c r="Q11" i="30"/>
  <c r="P12" i="30"/>
  <c r="O13" i="30"/>
  <c r="N14" i="30"/>
  <c r="M15" i="30"/>
  <c r="L16" i="30"/>
  <c r="K17" i="30"/>
  <c r="J18" i="30"/>
  <c r="I19" i="30"/>
  <c r="Q19" i="30"/>
  <c r="P20" i="30"/>
  <c r="O21" i="30"/>
  <c r="N22" i="30"/>
  <c r="M23" i="30"/>
  <c r="L24" i="30"/>
  <c r="K25" i="30"/>
  <c r="J26" i="30"/>
  <c r="I27" i="30"/>
  <c r="Q27" i="30"/>
  <c r="J5" i="30"/>
  <c r="O8" i="30"/>
  <c r="L11" i="30"/>
  <c r="I14" i="30"/>
  <c r="O16" i="30"/>
  <c r="L19" i="30"/>
  <c r="I22" i="30"/>
  <c r="O24" i="30"/>
  <c r="L27" i="30"/>
  <c r="I15" i="30"/>
  <c r="M19" i="30"/>
  <c r="I23" i="30"/>
  <c r="O25" i="30"/>
  <c r="L5" i="30"/>
  <c r="Q8" i="30"/>
  <c r="N11" i="30"/>
  <c r="I16" i="30"/>
  <c r="M20" i="30"/>
  <c r="J23" i="30"/>
  <c r="O26" i="30"/>
  <c r="O3" i="30"/>
  <c r="M5" i="30"/>
  <c r="J8" i="30"/>
  <c r="Q9" i="30"/>
  <c r="N12" i="30"/>
  <c r="L14" i="30"/>
  <c r="J16" i="30"/>
  <c r="Q17" i="30"/>
  <c r="O19" i="30"/>
  <c r="M21" i="30"/>
  <c r="K23" i="30"/>
  <c r="I25" i="30"/>
  <c r="O27" i="30"/>
  <c r="N5" i="30"/>
  <c r="K8" i="30"/>
  <c r="I10" i="30"/>
  <c r="O12" i="30"/>
  <c r="L15" i="30"/>
  <c r="J17" i="30"/>
  <c r="Q18" i="30"/>
  <c r="N21" i="30"/>
  <c r="K24" i="30"/>
  <c r="I26" i="30"/>
  <c r="P27" i="30"/>
  <c r="J3" i="30"/>
  <c r="I4" i="30"/>
  <c r="Q4" i="30"/>
  <c r="P5" i="30"/>
  <c r="O6" i="30"/>
  <c r="N7" i="30"/>
  <c r="M8" i="30"/>
  <c r="L9" i="30"/>
  <c r="K10" i="30"/>
  <c r="J11" i="30"/>
  <c r="I12" i="30"/>
  <c r="Q12" i="30"/>
  <c r="P13" i="30"/>
  <c r="O14" i="30"/>
  <c r="N15" i="30"/>
  <c r="M16" i="30"/>
  <c r="L17" i="30"/>
  <c r="K18" i="30"/>
  <c r="J19" i="30"/>
  <c r="I20" i="30"/>
  <c r="Q20" i="30"/>
  <c r="P21" i="30"/>
  <c r="O22" i="30"/>
  <c r="N23" i="30"/>
  <c r="M24" i="30"/>
  <c r="L25" i="30"/>
  <c r="K26" i="30"/>
  <c r="J27" i="30"/>
  <c r="K4" i="30"/>
  <c r="Q6" i="30"/>
  <c r="N9" i="30"/>
  <c r="K12" i="30"/>
  <c r="Q14" i="30"/>
  <c r="P15" i="30"/>
  <c r="M18" i="30"/>
  <c r="J21" i="30"/>
  <c r="P23" i="30"/>
  <c r="M26" i="30"/>
  <c r="J14" i="30"/>
  <c r="O17" i="30"/>
  <c r="K21" i="30"/>
  <c r="P24" i="30"/>
  <c r="M27" i="30"/>
  <c r="N3" i="30"/>
  <c r="J7" i="30"/>
  <c r="P9" i="30"/>
  <c r="M12" i="30"/>
  <c r="J15" i="30"/>
  <c r="P17" i="30"/>
  <c r="L21" i="30"/>
  <c r="I24" i="30"/>
  <c r="K3" i="30"/>
  <c r="J4" i="30"/>
  <c r="I5" i="30"/>
  <c r="Q5" i="30"/>
  <c r="P6" i="30"/>
  <c r="O7" i="30"/>
  <c r="N8" i="30"/>
  <c r="M9" i="30"/>
  <c r="L10" i="30"/>
  <c r="K11" i="30"/>
  <c r="J12" i="30"/>
  <c r="I13" i="30"/>
  <c r="Q13" i="30"/>
  <c r="P14" i="30"/>
  <c r="O15" i="30"/>
  <c r="N16" i="30"/>
  <c r="M17" i="30"/>
  <c r="L18" i="30"/>
  <c r="K19" i="30"/>
  <c r="J20" i="30"/>
  <c r="I21" i="30"/>
  <c r="Q21" i="30"/>
  <c r="P22" i="30"/>
  <c r="O23" i="30"/>
  <c r="N24" i="30"/>
  <c r="M25" i="30"/>
  <c r="L26" i="30"/>
  <c r="K27" i="30"/>
  <c r="L3" i="30"/>
  <c r="I6" i="30"/>
  <c r="P7" i="30"/>
  <c r="M10" i="30"/>
  <c r="J13" i="30"/>
  <c r="N17" i="30"/>
  <c r="K20" i="30"/>
  <c r="Q22" i="30"/>
  <c r="N25" i="30"/>
  <c r="K13" i="30"/>
  <c r="P16" i="30"/>
  <c r="L20" i="30"/>
  <c r="Q23" i="30"/>
  <c r="N26" i="30"/>
  <c r="M4" i="30"/>
  <c r="I8" i="30"/>
  <c r="O10" i="30"/>
  <c r="K14" i="30"/>
  <c r="Q16" i="30"/>
  <c r="O18" i="30"/>
  <c r="K22" i="30"/>
  <c r="Q24" i="30"/>
  <c r="N27" i="30"/>
  <c r="N4" i="30"/>
  <c r="K7" i="30"/>
  <c r="I9" i="30"/>
  <c r="O11" i="30"/>
  <c r="M13" i="30"/>
  <c r="K15" i="30"/>
  <c r="I17" i="30"/>
  <c r="N20" i="30"/>
  <c r="L22" i="30"/>
  <c r="J24" i="30"/>
  <c r="P26" i="30"/>
  <c r="P3" i="30"/>
  <c r="M6" i="30"/>
  <c r="L7" i="30"/>
  <c r="J9" i="30"/>
  <c r="P11" i="30"/>
  <c r="N13" i="30"/>
  <c r="K16" i="30"/>
  <c r="I18" i="30"/>
  <c r="O20" i="30"/>
  <c r="M22" i="30"/>
  <c r="J25" i="30"/>
  <c r="Q26" i="30"/>
  <c r="M3" i="30"/>
  <c r="L4" i="30"/>
  <c r="K5" i="30"/>
  <c r="J6" i="30"/>
  <c r="I7" i="30"/>
  <c r="Q7" i="30"/>
  <c r="P8" i="30"/>
  <c r="O9" i="30"/>
  <c r="N10" i="30"/>
  <c r="M11" i="30"/>
  <c r="L12" i="30"/>
  <c r="Q15" i="30"/>
  <c r="N18" i="30"/>
  <c r="J22" i="30"/>
  <c r="K6" i="30"/>
  <c r="L13" i="30"/>
  <c r="N19" i="30"/>
  <c r="P25" i="30"/>
  <c r="L6" i="30"/>
  <c r="P10" i="30"/>
  <c r="P18" i="30"/>
  <c r="Q25" i="30"/>
  <c r="O4" i="30"/>
  <c r="Q10" i="30"/>
  <c r="M14" i="30"/>
  <c r="P19" i="30"/>
  <c r="L23" i="30"/>
  <c r="Q2" i="30"/>
  <c r="P2" i="30"/>
  <c r="O2" i="30"/>
  <c r="N2" i="30"/>
  <c r="M2" i="30"/>
  <c r="L2" i="30"/>
  <c r="K2" i="30"/>
  <c r="J2" i="30"/>
  <c r="I2" i="30"/>
  <c r="B4" i="30" l="1"/>
  <c r="A3" i="30"/>
  <c r="B2" i="29"/>
  <c r="B5" i="30" l="1"/>
  <c r="E3" i="30"/>
  <c r="G3" i="30" s="1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3" i="30" s="1"/>
  <c r="A254" i="30" s="1"/>
  <c r="A255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7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1" i="30" s="1"/>
  <c r="A282" i="30" s="1"/>
  <c r="A283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5" i="30" s="1"/>
  <c r="A296" i="30" s="1"/>
  <c r="A297" i="30" s="1"/>
  <c r="A298" i="30" s="1"/>
  <c r="A299" i="30" s="1"/>
  <c r="A300" i="30" s="1"/>
  <c r="A301" i="30" s="1"/>
  <c r="A302" i="30" s="1"/>
  <c r="A303" i="30" s="1"/>
  <c r="A304" i="30" s="1"/>
  <c r="A305" i="30" s="1"/>
  <c r="A306" i="30" s="1"/>
  <c r="A307" i="30" s="1"/>
  <c r="A308" i="30" s="1"/>
  <c r="A309" i="30" s="1"/>
  <c r="A310" i="30" s="1"/>
  <c r="A311" i="30" s="1"/>
  <c r="A312" i="30" s="1"/>
  <c r="A313" i="30" s="1"/>
  <c r="A314" i="30" s="1"/>
  <c r="A315" i="30" s="1"/>
  <c r="A316" i="30" s="1"/>
  <c r="A317" i="30" s="1"/>
  <c r="A318" i="30" s="1"/>
  <c r="A319" i="30" s="1"/>
  <c r="A320" i="30" s="1"/>
  <c r="A321" i="30" s="1"/>
  <c r="A322" i="30" s="1"/>
  <c r="A323" i="30" s="1"/>
  <c r="A324" i="30" s="1"/>
  <c r="A325" i="30" s="1"/>
  <c r="A326" i="30" s="1"/>
  <c r="A327" i="30" s="1"/>
  <c r="A328" i="30" s="1"/>
  <c r="A329" i="30" s="1"/>
  <c r="A330" i="30" s="1"/>
  <c r="A331" i="30" s="1"/>
  <c r="A332" i="30" s="1"/>
  <c r="A333" i="30" s="1"/>
  <c r="A334" i="30" s="1"/>
  <c r="A335" i="30" s="1"/>
  <c r="A336" i="30" s="1"/>
  <c r="A337" i="30" s="1"/>
  <c r="A338" i="30" s="1"/>
  <c r="A339" i="30" s="1"/>
  <c r="A340" i="30" s="1"/>
  <c r="A341" i="30" s="1"/>
  <c r="A342" i="30" s="1"/>
  <c r="A343" i="30" s="1"/>
  <c r="A344" i="30" s="1"/>
  <c r="A345" i="30" s="1"/>
  <c r="A346" i="30" s="1"/>
  <c r="A347" i="30" s="1"/>
  <c r="A348" i="30" s="1"/>
  <c r="A349" i="30" s="1"/>
  <c r="A350" i="30" s="1"/>
  <c r="A351" i="30" s="1"/>
  <c r="A352" i="30" s="1"/>
  <c r="A353" i="30" s="1"/>
  <c r="A354" i="30" s="1"/>
  <c r="A355" i="30" s="1"/>
  <c r="A356" i="30" s="1"/>
  <c r="A357" i="30" s="1"/>
  <c r="A358" i="30" s="1"/>
  <c r="A359" i="30" s="1"/>
  <c r="A360" i="30" s="1"/>
  <c r="A361" i="30" s="1"/>
  <c r="A362" i="30" s="1"/>
  <c r="A363" i="30" s="1"/>
  <c r="A364" i="30" s="1"/>
  <c r="A365" i="30" s="1"/>
  <c r="A366" i="30" s="1"/>
  <c r="A367" i="30" s="1"/>
  <c r="A368" i="30" s="1"/>
  <c r="A369" i="30" s="1"/>
  <c r="A370" i="30" s="1"/>
  <c r="A371" i="30" s="1"/>
  <c r="A372" i="30" s="1"/>
  <c r="A373" i="30" s="1"/>
  <c r="A374" i="30" s="1"/>
  <c r="A375" i="30" s="1"/>
  <c r="A376" i="30" s="1"/>
  <c r="A377" i="30" s="1"/>
  <c r="A378" i="30" s="1"/>
  <c r="A379" i="30" s="1"/>
  <c r="A380" i="30" s="1"/>
  <c r="A381" i="30" s="1"/>
  <c r="A382" i="30" s="1"/>
  <c r="A383" i="30" s="1"/>
  <c r="D4" i="29"/>
  <c r="D5" i="29" s="1"/>
  <c r="E4" i="29"/>
  <c r="E5" i="29" s="1"/>
  <c r="D6" i="29"/>
  <c r="D7" i="29" s="1"/>
  <c r="E6" i="29"/>
  <c r="E7" i="29" s="1"/>
  <c r="D8" i="29"/>
  <c r="D9" i="29" s="1"/>
  <c r="E8" i="29"/>
  <c r="E9" i="29" s="1"/>
  <c r="D10" i="29"/>
  <c r="D11" i="29" s="1"/>
  <c r="E10" i="29"/>
  <c r="E11" i="29" s="1"/>
  <c r="D12" i="29"/>
  <c r="D13" i="29" s="1"/>
  <c r="E12" i="29"/>
  <c r="E13" i="29" s="1"/>
  <c r="D14" i="29"/>
  <c r="D15" i="29" s="1"/>
  <c r="E14" i="29"/>
  <c r="E15" i="29" s="1"/>
  <c r="D16" i="29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E16" i="29"/>
  <c r="E17" i="29" s="1"/>
  <c r="E18" i="29" s="1"/>
  <c r="E19" i="29" s="1"/>
  <c r="E20" i="29" s="1"/>
  <c r="E21" i="29" s="1"/>
  <c r="E22" i="29" s="1"/>
  <c r="E23" i="29" s="1"/>
  <c r="E24" i="29" s="1"/>
  <c r="E25" i="29" s="1"/>
  <c r="E26" i="29" s="1"/>
  <c r="E27" i="29" s="1"/>
  <c r="E28" i="29" s="1"/>
  <c r="E29" i="29" s="1"/>
  <c r="E30" i="29" s="1"/>
  <c r="E31" i="29" s="1"/>
  <c r="E32" i="29" s="1"/>
  <c r="E33" i="29" s="1"/>
  <c r="E34" i="29" s="1"/>
  <c r="E35" i="29" s="1"/>
  <c r="E36" i="29" s="1"/>
  <c r="E37" i="29" s="1"/>
  <c r="E38" i="29" s="1"/>
  <c r="E39" i="29" s="1"/>
  <c r="E40" i="29" s="1"/>
  <c r="E41" i="29" s="1"/>
  <c r="E42" i="29" s="1"/>
  <c r="E43" i="29" s="1"/>
  <c r="E44" i="29" s="1"/>
  <c r="E45" i="29" s="1"/>
  <c r="E46" i="29" s="1"/>
  <c r="E47" i="29" s="1"/>
  <c r="E48" i="29" s="1"/>
  <c r="E49" i="29" s="1"/>
  <c r="E50" i="29" s="1"/>
  <c r="E51" i="29" s="1"/>
  <c r="E52" i="29" s="1"/>
  <c r="E53" i="29" s="1"/>
  <c r="E54" i="29" s="1"/>
  <c r="E55" i="29" s="1"/>
  <c r="E56" i="29" s="1"/>
  <c r="E57" i="29" s="1"/>
  <c r="E58" i="29" s="1"/>
  <c r="E59" i="29" s="1"/>
  <c r="E60" i="29" s="1"/>
  <c r="E61" i="29" s="1"/>
  <c r="E62" i="29" s="1"/>
  <c r="E63" i="29" s="1"/>
  <c r="E64" i="29" s="1"/>
  <c r="E65" i="29" s="1"/>
  <c r="E66" i="29" s="1"/>
  <c r="E67" i="29" s="1"/>
  <c r="E68" i="29" s="1"/>
  <c r="E69" i="29" s="1"/>
  <c r="E70" i="29" s="1"/>
  <c r="E71" i="29" s="1"/>
  <c r="E72" i="29" s="1"/>
  <c r="E73" i="29" s="1"/>
  <c r="E74" i="29" s="1"/>
  <c r="E75" i="29" s="1"/>
  <c r="E76" i="29" s="1"/>
  <c r="E77" i="29" s="1"/>
  <c r="C3" i="29"/>
  <c r="C4" i="29" s="1"/>
  <c r="C5" i="29" s="1"/>
  <c r="C6" i="29" s="1"/>
  <c r="C7" i="29" s="1"/>
  <c r="C8" i="29" s="1"/>
  <c r="C9" i="29" s="1"/>
  <c r="C10" i="29" s="1"/>
  <c r="C11" i="29" s="1"/>
  <c r="C12" i="29" s="1"/>
  <c r="C13" i="29" s="1"/>
  <c r="C14" i="29" s="1"/>
  <c r="C15" i="29" s="1"/>
  <c r="C16" i="29" s="1"/>
  <c r="C17" i="29" s="1"/>
  <c r="C18" i="29" s="1"/>
  <c r="C19" i="29" s="1"/>
  <c r="C20" i="29" s="1"/>
  <c r="C21" i="29" s="1"/>
  <c r="C22" i="29" s="1"/>
  <c r="B3" i="29"/>
  <c r="B4" i="29" s="1"/>
  <c r="B5" i="29" s="1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E78" i="29"/>
  <c r="D78" i="29"/>
  <c r="F2" i="29"/>
  <c r="E2" i="29"/>
  <c r="E3" i="29" s="1"/>
  <c r="D2" i="29"/>
  <c r="D3" i="29" s="1"/>
  <c r="P2" i="29"/>
  <c r="R2" i="29"/>
  <c r="K2" i="29"/>
  <c r="G2" i="29"/>
  <c r="O2" i="29"/>
  <c r="J2" i="29"/>
  <c r="M2" i="29"/>
  <c r="N2" i="29"/>
  <c r="Y2" i="29"/>
  <c r="Q2" i="29"/>
  <c r="L2" i="29"/>
  <c r="A384" i="30" l="1"/>
  <c r="E5" i="30"/>
  <c r="G5" i="30" s="1"/>
  <c r="B6" i="30"/>
  <c r="E4" i="30"/>
  <c r="G4" i="30" s="1"/>
  <c r="AH2" i="29"/>
  <c r="AI2" i="29"/>
  <c r="AE2" i="29"/>
  <c r="AG2" i="29"/>
  <c r="AJ2" i="29"/>
  <c r="AC2" i="29"/>
  <c r="AD2" i="29"/>
  <c r="AF2" i="29"/>
  <c r="AB2" i="29"/>
  <c r="F18" i="29"/>
  <c r="B19" i="29"/>
  <c r="H2" i="29"/>
  <c r="C23" i="29"/>
  <c r="F17" i="29"/>
  <c r="F16" i="29"/>
  <c r="F15" i="29"/>
  <c r="F3" i="29"/>
  <c r="F5" i="29"/>
  <c r="F4" i="29"/>
  <c r="F10" i="27"/>
  <c r="E10" i="27"/>
  <c r="G10" i="27"/>
  <c r="I10" i="27" s="1"/>
  <c r="F11" i="27"/>
  <c r="E11" i="27"/>
  <c r="F9" i="27"/>
  <c r="E9" i="27"/>
  <c r="E8" i="27"/>
  <c r="F8" i="27"/>
  <c r="G9" i="27"/>
  <c r="I9" i="27" s="1"/>
  <c r="G8" i="27"/>
  <c r="I8" i="27" s="1"/>
  <c r="U2" i="29"/>
  <c r="K10" i="27"/>
  <c r="J8" i="27"/>
  <c r="P8" i="27"/>
  <c r="J9" i="27"/>
  <c r="X2" i="29"/>
  <c r="Q4" i="29"/>
  <c r="R3" i="29"/>
  <c r="G16" i="29"/>
  <c r="P3" i="29"/>
  <c r="L5" i="29"/>
  <c r="K5" i="29"/>
  <c r="G5" i="29"/>
  <c r="M17" i="29"/>
  <c r="N5" i="29"/>
  <c r="L4" i="29"/>
  <c r="Q18" i="29"/>
  <c r="AA2" i="29"/>
  <c r="L3" i="29"/>
  <c r="K8" i="27"/>
  <c r="O9" i="27"/>
  <c r="O8" i="27"/>
  <c r="R10" i="27"/>
  <c r="Q3" i="29"/>
  <c r="Z3" i="29" s="1"/>
  <c r="N16" i="29"/>
  <c r="O4" i="29"/>
  <c r="P15" i="29"/>
  <c r="O16" i="29"/>
  <c r="O18" i="29"/>
  <c r="J15" i="29"/>
  <c r="R5" i="29"/>
  <c r="P18" i="29"/>
  <c r="O3" i="29"/>
  <c r="N10" i="27"/>
  <c r="L17" i="29"/>
  <c r="L8" i="27"/>
  <c r="N17" i="29"/>
  <c r="H10" i="27"/>
  <c r="W2" i="29"/>
  <c r="M9" i="27"/>
  <c r="O10" i="27"/>
  <c r="P9" i="27"/>
  <c r="S2" i="29"/>
  <c r="G3" i="29"/>
  <c r="J3" i="29"/>
  <c r="Q16" i="29"/>
  <c r="O15" i="29"/>
  <c r="M16" i="29"/>
  <c r="Q5" i="29"/>
  <c r="Q17" i="29"/>
  <c r="K15" i="29"/>
  <c r="M5" i="29"/>
  <c r="W17" i="29"/>
  <c r="T5" i="29"/>
  <c r="R8" i="27"/>
  <c r="M8" i="27"/>
  <c r="G15" i="29"/>
  <c r="J4" i="29"/>
  <c r="Z2" i="29"/>
  <c r="N18" i="29"/>
  <c r="Q15" i="29"/>
  <c r="L15" i="29"/>
  <c r="J5" i="29"/>
  <c r="K9" i="27"/>
  <c r="M10" i="27"/>
  <c r="J17" i="29"/>
  <c r="K16" i="29"/>
  <c r="T16" i="29" s="1"/>
  <c r="K18" i="29"/>
  <c r="T18" i="29" s="1"/>
  <c r="O17" i="29"/>
  <c r="K17" i="29"/>
  <c r="N8" i="27"/>
  <c r="U4" i="29"/>
  <c r="M3" i="29"/>
  <c r="P5" i="29"/>
  <c r="M4" i="29"/>
  <c r="N9" i="27"/>
  <c r="R9" i="27"/>
  <c r="R4" i="29"/>
  <c r="AA4" i="29" s="1"/>
  <c r="K3" i="29"/>
  <c r="M15" i="29"/>
  <c r="V15" i="29" s="1"/>
  <c r="P4" i="29"/>
  <c r="Y4" i="29" s="1"/>
  <c r="L16" i="29"/>
  <c r="L10" i="27"/>
  <c r="P10" i="27"/>
  <c r="H8" i="27"/>
  <c r="G18" i="29"/>
  <c r="N4" i="29"/>
  <c r="W4" i="29" s="1"/>
  <c r="R16" i="29"/>
  <c r="Z16" i="29"/>
  <c r="K4" i="29"/>
  <c r="O5" i="29"/>
  <c r="X18" i="29"/>
  <c r="R17" i="29"/>
  <c r="V2" i="29"/>
  <c r="R15" i="29"/>
  <c r="L18" i="29"/>
  <c r="Q9" i="27"/>
  <c r="J10" i="27"/>
  <c r="R18" i="29"/>
  <c r="AA18" i="29" s="1"/>
  <c r="T2" i="29"/>
  <c r="P16" i="29"/>
  <c r="X16" i="29"/>
  <c r="H9" i="27"/>
  <c r="W16" i="29"/>
  <c r="J16" i="29"/>
  <c r="S16" i="29" s="1"/>
  <c r="G17" i="29"/>
  <c r="Z17" i="29"/>
  <c r="Q10" i="27"/>
  <c r="L9" i="27"/>
  <c r="G4" i="29"/>
  <c r="N15" i="29"/>
  <c r="N3" i="29"/>
  <c r="W3" i="29" s="1"/>
  <c r="M18" i="29"/>
  <c r="Q8" i="27"/>
  <c r="J18" i="29"/>
  <c r="P17" i="29"/>
  <c r="Y17" i="29" s="1"/>
  <c r="S3" i="29"/>
  <c r="S15" i="29"/>
  <c r="B4" i="1"/>
  <c r="B2" i="1"/>
  <c r="B6" i="1"/>
  <c r="B3" i="1"/>
  <c r="B5" i="1"/>
  <c r="E6" i="30" l="1"/>
  <c r="G6" i="30" s="1"/>
  <c r="B7" i="30"/>
  <c r="A385" i="30"/>
  <c r="AH4" i="29"/>
  <c r="AI16" i="29"/>
  <c r="AH18" i="29"/>
  <c r="AC3" i="29"/>
  <c r="AF18" i="29"/>
  <c r="AD4" i="29"/>
  <c r="AI4" i="29"/>
  <c r="AH3" i="29"/>
  <c r="AJ15" i="29"/>
  <c r="AJ18" i="29"/>
  <c r="AE3" i="29"/>
  <c r="AG15" i="29"/>
  <c r="AB15" i="29"/>
  <c r="AE18" i="29"/>
  <c r="AG4" i="29"/>
  <c r="AB4" i="29"/>
  <c r="AE16" i="29"/>
  <c r="AG5" i="29"/>
  <c r="AB5" i="29"/>
  <c r="AE17" i="29"/>
  <c r="AJ4" i="29"/>
  <c r="AH17" i="29"/>
  <c r="AI15" i="29"/>
  <c r="AD3" i="29"/>
  <c r="AC15" i="29"/>
  <c r="AF4" i="29"/>
  <c r="AC4" i="29"/>
  <c r="AF5" i="29"/>
  <c r="AC5" i="29"/>
  <c r="AD17" i="29"/>
  <c r="AI5" i="29"/>
  <c r="AJ3" i="29"/>
  <c r="AJ16" i="29"/>
  <c r="AI18" i="29"/>
  <c r="AF15" i="29"/>
  <c r="AD18" i="29"/>
  <c r="AD16" i="29"/>
  <c r="AH5" i="29"/>
  <c r="AJ17" i="29"/>
  <c r="AH16" i="29"/>
  <c r="AG3" i="29"/>
  <c r="AB3" i="29"/>
  <c r="AE15" i="29"/>
  <c r="AG18" i="29"/>
  <c r="AB18" i="29"/>
  <c r="AE4" i="29"/>
  <c r="AG16" i="29"/>
  <c r="AB16" i="29"/>
  <c r="AE5" i="29"/>
  <c r="AG17" i="29"/>
  <c r="AB17" i="29"/>
  <c r="AJ5" i="29"/>
  <c r="AI3" i="29"/>
  <c r="AI17" i="29"/>
  <c r="AH15" i="29"/>
  <c r="AF3" i="29"/>
  <c r="AD15" i="29"/>
  <c r="AC18" i="29"/>
  <c r="AF16" i="29"/>
  <c r="AC16" i="29"/>
  <c r="AD5" i="29"/>
  <c r="AF17" i="29"/>
  <c r="AC17" i="29"/>
  <c r="B20" i="29"/>
  <c r="F19" i="29"/>
  <c r="H18" i="29"/>
  <c r="C24" i="29"/>
  <c r="H17" i="29"/>
  <c r="H16" i="29"/>
  <c r="H15" i="29"/>
  <c r="H3" i="29"/>
  <c r="H5" i="29"/>
  <c r="H4" i="29"/>
  <c r="F6" i="29"/>
  <c r="T10" i="27"/>
  <c r="U10" i="27" s="1"/>
  <c r="V10" i="27" s="1"/>
  <c r="W10" i="27" s="1"/>
  <c r="X10" i="27" s="1"/>
  <c r="S10" i="27"/>
  <c r="T9" i="27"/>
  <c r="U9" i="27" s="1"/>
  <c r="V9" i="27" s="1"/>
  <c r="W9" i="27" s="1"/>
  <c r="X9" i="27" s="1"/>
  <c r="S9" i="27"/>
  <c r="S8" i="27"/>
  <c r="T8" i="27"/>
  <c r="U8" i="27" s="1"/>
  <c r="V8" i="27" s="1"/>
  <c r="W8" i="27" s="1"/>
  <c r="X8" i="27" s="1"/>
  <c r="G7" i="27"/>
  <c r="I7" i="27" s="1"/>
  <c r="V18" i="29"/>
  <c r="S5" i="29"/>
  <c r="U5" i="29"/>
  <c r="O7" i="27"/>
  <c r="N7" i="27"/>
  <c r="Z15" i="29"/>
  <c r="K19" i="29"/>
  <c r="P6" i="29"/>
  <c r="T4" i="29"/>
  <c r="J19" i="29"/>
  <c r="T17" i="29"/>
  <c r="AA3" i="29"/>
  <c r="O6" i="29"/>
  <c r="M19" i="29"/>
  <c r="Q19" i="29"/>
  <c r="N6" i="29"/>
  <c r="R6" i="29"/>
  <c r="W15" i="29"/>
  <c r="U15" i="29"/>
  <c r="Y3" i="29"/>
  <c r="J7" i="27"/>
  <c r="L7" i="27"/>
  <c r="Y16" i="29"/>
  <c r="V19" i="29"/>
  <c r="T15" i="29"/>
  <c r="K7" i="27"/>
  <c r="V16" i="29"/>
  <c r="G6" i="29"/>
  <c r="Q6" i="29"/>
  <c r="X5" i="29"/>
  <c r="W18" i="29"/>
  <c r="Z4" i="29"/>
  <c r="H7" i="27"/>
  <c r="X3" i="29"/>
  <c r="Y15" i="29"/>
  <c r="X4" i="29"/>
  <c r="U18" i="29"/>
  <c r="O19" i="29"/>
  <c r="X19" i="29" s="1"/>
  <c r="X15" i="29"/>
  <c r="T3" i="29"/>
  <c r="Z5" i="29"/>
  <c r="P7" i="27"/>
  <c r="V17" i="29"/>
  <c r="S4" i="29"/>
  <c r="AA16" i="29"/>
  <c r="AA17" i="29"/>
  <c r="R19" i="29"/>
  <c r="K6" i="29"/>
  <c r="V4" i="29"/>
  <c r="U17" i="29"/>
  <c r="V3" i="29"/>
  <c r="N19" i="29"/>
  <c r="Y5" i="29"/>
  <c r="Y18" i="29"/>
  <c r="R7" i="27"/>
  <c r="S18" i="29"/>
  <c r="G19" i="29"/>
  <c r="P19" i="29"/>
  <c r="V5" i="29"/>
  <c r="W19" i="29"/>
  <c r="L19" i="29"/>
  <c r="X17" i="29"/>
  <c r="AA5" i="29"/>
  <c r="M7" i="27"/>
  <c r="W5" i="29"/>
  <c r="M6" i="29"/>
  <c r="Y19" i="29"/>
  <c r="AA15" i="29"/>
  <c r="J6" i="29"/>
  <c r="Z19" i="29"/>
  <c r="S17" i="29"/>
  <c r="Z18" i="29"/>
  <c r="Q7" i="27"/>
  <c r="U16" i="29"/>
  <c r="L6" i="29"/>
  <c r="U3" i="29"/>
  <c r="E7" i="30" l="1"/>
  <c r="G7" i="30" s="1"/>
  <c r="B8" i="30"/>
  <c r="A386" i="30"/>
  <c r="AJ6" i="29"/>
  <c r="AD19" i="29"/>
  <c r="AH6" i="29"/>
  <c r="AI19" i="29"/>
  <c r="AF19" i="29"/>
  <c r="AC19" i="29"/>
  <c r="AD6" i="29"/>
  <c r="AI6" i="29"/>
  <c r="AH19" i="29"/>
  <c r="AE19" i="29"/>
  <c r="AG6" i="29"/>
  <c r="AB6" i="29"/>
  <c r="AC6" i="29"/>
  <c r="AF6" i="29"/>
  <c r="AJ19" i="29"/>
  <c r="AG19" i="29"/>
  <c r="AB19" i="29"/>
  <c r="AE6" i="29"/>
  <c r="B21" i="29"/>
  <c r="F20" i="29"/>
  <c r="H19" i="29"/>
  <c r="C25" i="29"/>
  <c r="H6" i="29"/>
  <c r="F7" i="29"/>
  <c r="S7" i="27"/>
  <c r="T7" i="27"/>
  <c r="U7" i="27" s="1"/>
  <c r="V7" i="27" s="1"/>
  <c r="W7" i="27" s="1"/>
  <c r="X7" i="27" s="1"/>
  <c r="G6" i="27"/>
  <c r="I6" i="27"/>
  <c r="U6" i="29"/>
  <c r="L6" i="27"/>
  <c r="M6" i="27"/>
  <c r="AA6" i="29"/>
  <c r="AA19" i="29"/>
  <c r="R6" i="27"/>
  <c r="K20" i="29"/>
  <c r="N20" i="29"/>
  <c r="S6" i="29"/>
  <c r="J6" i="27"/>
  <c r="H6" i="27"/>
  <c r="Q20" i="29"/>
  <c r="K7" i="29"/>
  <c r="R20" i="29"/>
  <c r="W6" i="29"/>
  <c r="W20" i="29"/>
  <c r="V6" i="29"/>
  <c r="T6" i="29"/>
  <c r="K6" i="27"/>
  <c r="P7" i="29"/>
  <c r="J20" i="29"/>
  <c r="R7" i="29"/>
  <c r="S19" i="29"/>
  <c r="L7" i="29"/>
  <c r="G7" i="29"/>
  <c r="G20" i="29"/>
  <c r="U19" i="29"/>
  <c r="P6" i="27"/>
  <c r="T19" i="29"/>
  <c r="Q7" i="29"/>
  <c r="Z7" i="29" s="1"/>
  <c r="Z6" i="29"/>
  <c r="O6" i="27"/>
  <c r="L20" i="29"/>
  <c r="U20" i="29" s="1"/>
  <c r="M7" i="29"/>
  <c r="M20" i="29"/>
  <c r="V20" i="29" s="1"/>
  <c r="J7" i="29"/>
  <c r="X6" i="29"/>
  <c r="Q6" i="27"/>
  <c r="O20" i="29"/>
  <c r="X20" i="29"/>
  <c r="N7" i="29"/>
  <c r="O7" i="29"/>
  <c r="Y6" i="29"/>
  <c r="N6" i="27"/>
  <c r="P20" i="29"/>
  <c r="A387" i="30" l="1"/>
  <c r="E8" i="30"/>
  <c r="G8" i="30" s="1"/>
  <c r="B9" i="30"/>
  <c r="AJ20" i="29"/>
  <c r="AI7" i="29"/>
  <c r="AI20" i="29"/>
  <c r="AD7" i="29"/>
  <c r="AF20" i="29"/>
  <c r="AC20" i="29"/>
  <c r="AG7" i="29"/>
  <c r="AB7" i="29"/>
  <c r="AE20" i="29"/>
  <c r="AH7" i="29"/>
  <c r="AF7" i="29"/>
  <c r="AC7" i="29"/>
  <c r="AD20" i="29"/>
  <c r="AJ7" i="29"/>
  <c r="AH20" i="29"/>
  <c r="AE7" i="29"/>
  <c r="AG20" i="29"/>
  <c r="AB20" i="29"/>
  <c r="B22" i="29"/>
  <c r="F21" i="29"/>
  <c r="H20" i="29"/>
  <c r="C26" i="29"/>
  <c r="H7" i="29"/>
  <c r="F8" i="29"/>
  <c r="S6" i="27"/>
  <c r="T6" i="27"/>
  <c r="U6" i="27" s="1"/>
  <c r="V6" i="27" s="1"/>
  <c r="W6" i="27" s="1"/>
  <c r="X6" i="27" s="1"/>
  <c r="S7" i="29"/>
  <c r="L8" i="29"/>
  <c r="Y20" i="29"/>
  <c r="O8" i="29"/>
  <c r="T7" i="29"/>
  <c r="Q21" i="29"/>
  <c r="Z21" i="29" s="1"/>
  <c r="AA7" i="29"/>
  <c r="AA20" i="29"/>
  <c r="N8" i="29"/>
  <c r="X8" i="29"/>
  <c r="Q8" i="29"/>
  <c r="K8" i="29"/>
  <c r="P21" i="29"/>
  <c r="S20" i="29"/>
  <c r="U7" i="29"/>
  <c r="Z20" i="29"/>
  <c r="W7" i="29"/>
  <c r="V7" i="29"/>
  <c r="R21" i="29"/>
  <c r="AA21" i="29" s="1"/>
  <c r="G8" i="29"/>
  <c r="X7" i="29"/>
  <c r="R8" i="29"/>
  <c r="T20" i="29"/>
  <c r="O21" i="29"/>
  <c r="P8" i="29"/>
  <c r="N21" i="29"/>
  <c r="K21" i="29"/>
  <c r="Y7" i="29"/>
  <c r="G21" i="29"/>
  <c r="J21" i="29"/>
  <c r="S21" i="29" s="1"/>
  <c r="M21" i="29"/>
  <c r="L21" i="29"/>
  <c r="U21" i="29" s="1"/>
  <c r="Z8" i="29"/>
  <c r="J8" i="29"/>
  <c r="S8" i="29" s="1"/>
  <c r="M8" i="29"/>
  <c r="AA8" i="29"/>
  <c r="E9" i="30" l="1"/>
  <c r="G9" i="30" s="1"/>
  <c r="B10" i="30"/>
  <c r="A388" i="30"/>
  <c r="AJ8" i="29"/>
  <c r="AD8" i="29"/>
  <c r="AC21" i="29"/>
  <c r="AH8" i="29"/>
  <c r="AI21" i="29"/>
  <c r="AF8" i="29"/>
  <c r="AC8" i="29"/>
  <c r="AD21" i="29"/>
  <c r="AI8" i="29"/>
  <c r="AH21" i="29"/>
  <c r="AE8" i="29"/>
  <c r="AG21" i="29"/>
  <c r="AB21" i="29"/>
  <c r="AF21" i="29"/>
  <c r="AJ21" i="29"/>
  <c r="AG8" i="29"/>
  <c r="AB8" i="29"/>
  <c r="AE21" i="29"/>
  <c r="B23" i="29"/>
  <c r="F22" i="29"/>
  <c r="H21" i="29"/>
  <c r="C27" i="29"/>
  <c r="H8" i="29"/>
  <c r="F9" i="29"/>
  <c r="G5" i="27"/>
  <c r="I5" i="27" s="1"/>
  <c r="Y8" i="29"/>
  <c r="R5" i="27"/>
  <c r="H5" i="27"/>
  <c r="P9" i="29"/>
  <c r="M5" i="27"/>
  <c r="R22" i="29"/>
  <c r="P22" i="29"/>
  <c r="Q22" i="29"/>
  <c r="Y9" i="29"/>
  <c r="AA22" i="29"/>
  <c r="L5" i="27"/>
  <c r="V8" i="29"/>
  <c r="U8" i="29"/>
  <c r="W8" i="29"/>
  <c r="M22" i="29"/>
  <c r="J5" i="27"/>
  <c r="X21" i="29"/>
  <c r="Y21" i="29"/>
  <c r="T21" i="29"/>
  <c r="V21" i="29"/>
  <c r="K9" i="29"/>
  <c r="L9" i="29"/>
  <c r="N22" i="29"/>
  <c r="P5" i="27"/>
  <c r="Q9" i="29"/>
  <c r="Z9" i="29" s="1"/>
  <c r="K22" i="29"/>
  <c r="T8" i="29"/>
  <c r="Q5" i="27"/>
  <c r="N5" i="27"/>
  <c r="J22" i="29"/>
  <c r="M9" i="29"/>
  <c r="L22" i="29"/>
  <c r="G22" i="29"/>
  <c r="K5" i="27"/>
  <c r="O5" i="27"/>
  <c r="J9" i="29"/>
  <c r="S9" i="29" s="1"/>
  <c r="S22" i="29"/>
  <c r="O22" i="29"/>
  <c r="R9" i="29"/>
  <c r="O9" i="29"/>
  <c r="X9" i="29" s="1"/>
  <c r="W21" i="29"/>
  <c r="G9" i="29"/>
  <c r="N9" i="29"/>
  <c r="A389" i="30" l="1"/>
  <c r="E10" i="30"/>
  <c r="G10" i="30" s="1"/>
  <c r="B11" i="30"/>
  <c r="AI9" i="29"/>
  <c r="AJ22" i="29"/>
  <c r="AG9" i="29"/>
  <c r="AB9" i="29"/>
  <c r="AE22" i="29"/>
  <c r="AI22" i="29"/>
  <c r="AF9" i="29"/>
  <c r="AC9" i="29"/>
  <c r="AD22" i="29"/>
  <c r="AH9" i="29"/>
  <c r="AH22" i="29"/>
  <c r="AE9" i="29"/>
  <c r="AG22" i="29"/>
  <c r="AB22" i="29"/>
  <c r="AJ9" i="29"/>
  <c r="AD9" i="29"/>
  <c r="AF22" i="29"/>
  <c r="AC22" i="29"/>
  <c r="B24" i="29"/>
  <c r="F23" i="29"/>
  <c r="H22" i="29"/>
  <c r="C28" i="29"/>
  <c r="F10" i="29"/>
  <c r="H9" i="29"/>
  <c r="S5" i="27"/>
  <c r="T5" i="27"/>
  <c r="U5" i="27" s="1"/>
  <c r="V5" i="27" s="1"/>
  <c r="W5" i="27" s="1"/>
  <c r="X5" i="27" s="1"/>
  <c r="AA9" i="29"/>
  <c r="M10" i="29"/>
  <c r="G10" i="29"/>
  <c r="J23" i="29"/>
  <c r="K10" i="29"/>
  <c r="P10" i="29"/>
  <c r="N23" i="29"/>
  <c r="U22" i="29"/>
  <c r="Q23" i="29"/>
  <c r="L10" i="29"/>
  <c r="S23" i="29"/>
  <c r="T22" i="29"/>
  <c r="O10" i="29"/>
  <c r="W23" i="29"/>
  <c r="W9" i="29"/>
  <c r="O23" i="29"/>
  <c r="R23" i="29"/>
  <c r="X23" i="29"/>
  <c r="AA23" i="29"/>
  <c r="J10" i="29"/>
  <c r="W22" i="29"/>
  <c r="X22" i="29"/>
  <c r="Z22" i="29"/>
  <c r="V9" i="29"/>
  <c r="Y22" i="29"/>
  <c r="V10" i="29"/>
  <c r="V22" i="29"/>
  <c r="U9" i="29"/>
  <c r="T9" i="29"/>
  <c r="M23" i="29"/>
  <c r="K23" i="29"/>
  <c r="V23" i="29"/>
  <c r="L23" i="29"/>
  <c r="R10" i="29"/>
  <c r="N10" i="29"/>
  <c r="W10" i="29" s="1"/>
  <c r="G23" i="29"/>
  <c r="P23" i="29"/>
  <c r="Q10" i="29"/>
  <c r="E11" i="30" l="1"/>
  <c r="G11" i="30" s="1"/>
  <c r="B12" i="30"/>
  <c r="A390" i="30"/>
  <c r="AF10" i="29"/>
  <c r="AH10" i="29"/>
  <c r="AI23" i="29"/>
  <c r="AF23" i="29"/>
  <c r="AC23" i="29"/>
  <c r="AD10" i="29"/>
  <c r="AI10" i="29"/>
  <c r="AH23" i="29"/>
  <c r="AE23" i="29"/>
  <c r="AG10" i="29"/>
  <c r="AB10" i="29"/>
  <c r="AJ10" i="29"/>
  <c r="AD23" i="29"/>
  <c r="AC10" i="29"/>
  <c r="AJ23" i="29"/>
  <c r="AG23" i="29"/>
  <c r="AB23" i="29"/>
  <c r="AE10" i="29"/>
  <c r="B25" i="29"/>
  <c r="F24" i="29"/>
  <c r="H23" i="29"/>
  <c r="C29" i="29"/>
  <c r="H10" i="29"/>
  <c r="F11" i="29"/>
  <c r="G4" i="27"/>
  <c r="I4" i="27" s="1"/>
  <c r="AA10" i="29"/>
  <c r="L11" i="29"/>
  <c r="U23" i="29"/>
  <c r="J24" i="29"/>
  <c r="T23" i="29"/>
  <c r="Q24" i="29"/>
  <c r="G24" i="29"/>
  <c r="O24" i="29"/>
  <c r="L24" i="29"/>
  <c r="Z10" i="29"/>
  <c r="R24" i="29"/>
  <c r="U11" i="29"/>
  <c r="X10" i="29"/>
  <c r="Z23" i="29"/>
  <c r="S10" i="29"/>
  <c r="U10" i="29"/>
  <c r="J11" i="29"/>
  <c r="K24" i="29"/>
  <c r="T24" i="29" s="1"/>
  <c r="N11" i="29"/>
  <c r="Y23" i="29"/>
  <c r="K11" i="29"/>
  <c r="M24" i="29"/>
  <c r="M11" i="29"/>
  <c r="P24" i="29"/>
  <c r="Y24" i="29" s="1"/>
  <c r="P11" i="29"/>
  <c r="Y10" i="29"/>
  <c r="N24" i="29"/>
  <c r="W24" i="29" s="1"/>
  <c r="Q11" i="29"/>
  <c r="T10" i="29"/>
  <c r="R11" i="29"/>
  <c r="O11" i="29"/>
  <c r="G11" i="29"/>
  <c r="E12" i="30" l="1"/>
  <c r="G12" i="30" s="1"/>
  <c r="B13" i="30"/>
  <c r="A391" i="30"/>
  <c r="AJ24" i="29"/>
  <c r="AG11" i="29"/>
  <c r="AB11" i="29"/>
  <c r="AE24" i="29"/>
  <c r="AI11" i="29"/>
  <c r="AI24" i="29"/>
  <c r="AF11" i="29"/>
  <c r="AC11" i="29"/>
  <c r="AD24" i="29"/>
  <c r="AH11" i="29"/>
  <c r="AH24" i="29"/>
  <c r="AE11" i="29"/>
  <c r="AG24" i="29"/>
  <c r="AB24" i="29"/>
  <c r="AJ11" i="29"/>
  <c r="AD11" i="29"/>
  <c r="AF24" i="29"/>
  <c r="AC24" i="29"/>
  <c r="B26" i="29"/>
  <c r="F25" i="29"/>
  <c r="H24" i="29"/>
  <c r="C30" i="29"/>
  <c r="H11" i="29"/>
  <c r="F12" i="29"/>
  <c r="F4" i="27"/>
  <c r="E4" i="27"/>
  <c r="AA11" i="29"/>
  <c r="J4" i="27"/>
  <c r="R25" i="29"/>
  <c r="O12" i="29"/>
  <c r="Q25" i="29"/>
  <c r="Z24" i="29"/>
  <c r="AA24" i="29"/>
  <c r="G25" i="29"/>
  <c r="S24" i="29"/>
  <c r="V24" i="29"/>
  <c r="O4" i="27"/>
  <c r="Q12" i="29"/>
  <c r="K25" i="29"/>
  <c r="R12" i="29"/>
  <c r="Z25" i="29"/>
  <c r="W11" i="29"/>
  <c r="T11" i="29"/>
  <c r="N4" i="27"/>
  <c r="H4" i="27"/>
  <c r="L25" i="29"/>
  <c r="P12" i="29"/>
  <c r="J25" i="29"/>
  <c r="K12" i="29"/>
  <c r="T12" i="29" s="1"/>
  <c r="L12" i="29"/>
  <c r="O25" i="29"/>
  <c r="U24" i="29"/>
  <c r="M25" i="29"/>
  <c r="M12" i="29"/>
  <c r="K4" i="27"/>
  <c r="V11" i="29"/>
  <c r="M4" i="27"/>
  <c r="Y11" i="29"/>
  <c r="S11" i="29"/>
  <c r="L4" i="27"/>
  <c r="P4" i="27"/>
  <c r="J12" i="29"/>
  <c r="G12" i="29"/>
  <c r="N25" i="29"/>
  <c r="U25" i="29"/>
  <c r="Q4" i="27"/>
  <c r="AA25" i="29"/>
  <c r="X12" i="29"/>
  <c r="R4" i="27"/>
  <c r="P25" i="29"/>
  <c r="N12" i="29"/>
  <c r="X24" i="29"/>
  <c r="Z11" i="29"/>
  <c r="X11" i="29"/>
  <c r="Z12" i="29"/>
  <c r="A392" i="30" l="1"/>
  <c r="E13" i="30"/>
  <c r="G13" i="30" s="1"/>
  <c r="B14" i="30"/>
  <c r="AH12" i="29"/>
  <c r="AI25" i="29"/>
  <c r="AF12" i="29"/>
  <c r="AC12" i="29"/>
  <c r="AD25" i="29"/>
  <c r="AI12" i="29"/>
  <c r="AH25" i="29"/>
  <c r="AE12" i="29"/>
  <c r="AG25" i="29"/>
  <c r="AB25" i="29"/>
  <c r="AJ12" i="29"/>
  <c r="AD12" i="29"/>
  <c r="AF25" i="29"/>
  <c r="AC25" i="29"/>
  <c r="AJ25" i="29"/>
  <c r="AG12" i="29"/>
  <c r="AB12" i="29"/>
  <c r="AE25" i="29"/>
  <c r="B27" i="29"/>
  <c r="F26" i="29"/>
  <c r="H25" i="29"/>
  <c r="C31" i="29"/>
  <c r="H12" i="29"/>
  <c r="F13" i="29"/>
  <c r="F14" i="29"/>
  <c r="S4" i="27"/>
  <c r="T4" i="27"/>
  <c r="U4" i="27" s="1"/>
  <c r="V4" i="27" s="1"/>
  <c r="W4" i="27" s="1"/>
  <c r="X4" i="27" s="1"/>
  <c r="W12" i="29"/>
  <c r="N14" i="29"/>
  <c r="K26" i="29"/>
  <c r="J26" i="29"/>
  <c r="V12" i="29"/>
  <c r="J13" i="29"/>
  <c r="Y12" i="29"/>
  <c r="L13" i="29"/>
  <c r="V25" i="29"/>
  <c r="R26" i="29"/>
  <c r="N26" i="29"/>
  <c r="Q14" i="29"/>
  <c r="T25" i="29"/>
  <c r="P26" i="29"/>
  <c r="P13" i="29"/>
  <c r="O14" i="29"/>
  <c r="X14" i="29" s="1"/>
  <c r="W26" i="29"/>
  <c r="K14" i="29"/>
  <c r="AA12" i="29"/>
  <c r="AA26" i="29"/>
  <c r="U12" i="29"/>
  <c r="M26" i="29"/>
  <c r="G14" i="29"/>
  <c r="N13" i="29"/>
  <c r="O13" i="29"/>
  <c r="X13" i="29" s="1"/>
  <c r="S25" i="29"/>
  <c r="L26" i="29"/>
  <c r="J14" i="29"/>
  <c r="S14" i="29" s="1"/>
  <c r="U26" i="29"/>
  <c r="T26" i="29"/>
  <c r="M13" i="29"/>
  <c r="G26" i="29"/>
  <c r="V13" i="29"/>
  <c r="X25" i="29"/>
  <c r="W13" i="29"/>
  <c r="M14" i="29"/>
  <c r="S12" i="29"/>
  <c r="Y25" i="29"/>
  <c r="Q13" i="29"/>
  <c r="Q26" i="29"/>
  <c r="K13" i="29"/>
  <c r="Z26" i="29"/>
  <c r="O26" i="29"/>
  <c r="G13" i="29"/>
  <c r="W25" i="29"/>
  <c r="L14" i="29"/>
  <c r="R14" i="29"/>
  <c r="P14" i="29"/>
  <c r="AA14" i="29"/>
  <c r="R13" i="29"/>
  <c r="V26" i="29"/>
  <c r="E14" i="30" l="1"/>
  <c r="G14" i="30" s="1"/>
  <c r="B15" i="30"/>
  <c r="A393" i="30"/>
  <c r="AE13" i="29"/>
  <c r="AB26" i="29"/>
  <c r="AE14" i="29"/>
  <c r="AH13" i="29"/>
  <c r="AI26" i="29"/>
  <c r="AG13" i="29"/>
  <c r="AB13" i="29"/>
  <c r="AE26" i="29"/>
  <c r="AG14" i="29"/>
  <c r="AB14" i="29"/>
  <c r="AH14" i="29"/>
  <c r="AJ13" i="29"/>
  <c r="AJ26" i="29"/>
  <c r="AF13" i="29"/>
  <c r="AC13" i="29"/>
  <c r="AD26" i="29"/>
  <c r="AF14" i="29"/>
  <c r="AC14" i="29"/>
  <c r="AI14" i="29"/>
  <c r="AH26" i="29"/>
  <c r="AG26" i="29"/>
  <c r="AJ14" i="29"/>
  <c r="AI13" i="29"/>
  <c r="AD13" i="29"/>
  <c r="AF26" i="29"/>
  <c r="AC26" i="29"/>
  <c r="AD14" i="29"/>
  <c r="B28" i="29"/>
  <c r="F27" i="29"/>
  <c r="H26" i="29"/>
  <c r="C32" i="29"/>
  <c r="H14" i="29"/>
  <c r="H13" i="29"/>
  <c r="G3" i="27"/>
  <c r="F3" i="27"/>
  <c r="E3" i="27"/>
  <c r="G2" i="27"/>
  <c r="B7" i="1"/>
  <c r="X26" i="29"/>
  <c r="K2" i="27"/>
  <c r="L2" i="27"/>
  <c r="Y26" i="29"/>
  <c r="Y14" i="29"/>
  <c r="K27" i="29"/>
  <c r="Z13" i="29"/>
  <c r="J2" i="27"/>
  <c r="T13" i="29"/>
  <c r="O2" i="27"/>
  <c r="L3" i="27"/>
  <c r="U14" i="29"/>
  <c r="H3" i="27"/>
  <c r="AA13" i="29"/>
  <c r="V14" i="29"/>
  <c r="Q3" i="27"/>
  <c r="J3" i="27"/>
  <c r="N3" i="27"/>
  <c r="J27" i="29"/>
  <c r="S27" i="29" s="1"/>
  <c r="M27" i="29"/>
  <c r="N2" i="27"/>
  <c r="W14" i="29"/>
  <c r="Q27" i="29"/>
  <c r="T14" i="29"/>
  <c r="H2" i="27"/>
  <c r="R2" i="27"/>
  <c r="M3" i="27"/>
  <c r="L27" i="29"/>
  <c r="G27" i="29"/>
  <c r="P3" i="27"/>
  <c r="Z14" i="29"/>
  <c r="Q2" i="27"/>
  <c r="N27" i="29"/>
  <c r="W27" i="29"/>
  <c r="U13" i="29"/>
  <c r="P27" i="29"/>
  <c r="Y13" i="29"/>
  <c r="K3" i="27"/>
  <c r="S13" i="29"/>
  <c r="R3" i="27"/>
  <c r="P2" i="27"/>
  <c r="M2" i="27"/>
  <c r="R27" i="29"/>
  <c r="O27" i="29"/>
  <c r="X27" i="29" s="1"/>
  <c r="S26" i="29"/>
  <c r="O3" i="27"/>
  <c r="B9" i="1"/>
  <c r="F19" i="1"/>
  <c r="F17" i="1"/>
  <c r="F16" i="1"/>
  <c r="F14" i="1"/>
  <c r="F15" i="1"/>
  <c r="F20" i="1"/>
  <c r="F13" i="1"/>
  <c r="B8" i="1"/>
  <c r="F18" i="1"/>
  <c r="F21" i="1"/>
  <c r="A394" i="30" l="1"/>
  <c r="E15" i="30"/>
  <c r="G15" i="30" s="1"/>
  <c r="B16" i="30"/>
  <c r="AD27" i="29"/>
  <c r="AJ27" i="29"/>
  <c r="AG27" i="29"/>
  <c r="AB27" i="29"/>
  <c r="AI27" i="29"/>
  <c r="AF27" i="29"/>
  <c r="AC27" i="29"/>
  <c r="AH27" i="29"/>
  <c r="AE27" i="29"/>
  <c r="B29" i="29"/>
  <c r="F28" i="29"/>
  <c r="H27" i="29"/>
  <c r="C33" i="29"/>
  <c r="F29" i="1"/>
  <c r="F28" i="1"/>
  <c r="F30" i="1"/>
  <c r="B10" i="1"/>
  <c r="S3" i="27"/>
  <c r="I3" i="27"/>
  <c r="I2" i="27"/>
  <c r="H16" i="1"/>
  <c r="H17" i="1"/>
  <c r="H14" i="1"/>
  <c r="H15" i="1"/>
  <c r="H18" i="1"/>
  <c r="H20" i="1"/>
  <c r="H21" i="1"/>
  <c r="H13" i="1"/>
  <c r="H19" i="1"/>
  <c r="F22" i="1"/>
  <c r="H22" i="1" s="1"/>
  <c r="H52" i="26"/>
  <c r="H4" i="26"/>
  <c r="M28" i="26"/>
  <c r="M16" i="26"/>
  <c r="O28" i="29"/>
  <c r="P28" i="29"/>
  <c r="C22" i="26"/>
  <c r="H40" i="26"/>
  <c r="C58" i="26"/>
  <c r="H46" i="26"/>
  <c r="T27" i="29"/>
  <c r="R28" i="29"/>
  <c r="C4" i="26"/>
  <c r="M52" i="26"/>
  <c r="H4" i="24"/>
  <c r="M34" i="26"/>
  <c r="Y27" i="29"/>
  <c r="Z27" i="29"/>
  <c r="J28" i="29"/>
  <c r="H10" i="26"/>
  <c r="C40" i="26"/>
  <c r="M46" i="26"/>
  <c r="K28" i="29"/>
  <c r="T28" i="29" s="1"/>
  <c r="H58" i="26"/>
  <c r="Q28" i="29"/>
  <c r="C4" i="24"/>
  <c r="N28" i="29"/>
  <c r="C10" i="26"/>
  <c r="H28" i="26"/>
  <c r="C52" i="26"/>
  <c r="C28" i="26"/>
  <c r="M4" i="26"/>
  <c r="G28" i="29"/>
  <c r="M28" i="29"/>
  <c r="M10" i="26"/>
  <c r="M58" i="26"/>
  <c r="M40" i="26"/>
  <c r="H16" i="26"/>
  <c r="V27" i="29"/>
  <c r="X28" i="29"/>
  <c r="M22" i="26"/>
  <c r="C16" i="26"/>
  <c r="H22" i="26"/>
  <c r="H34" i="26"/>
  <c r="U27" i="29"/>
  <c r="AA27" i="29"/>
  <c r="C34" i="26"/>
  <c r="C46" i="26"/>
  <c r="L28" i="29"/>
  <c r="B29" i="1"/>
  <c r="B30" i="1"/>
  <c r="D29" i="1"/>
  <c r="C30" i="1"/>
  <c r="C28" i="1"/>
  <c r="C29" i="1"/>
  <c r="E30" i="1"/>
  <c r="E28" i="1"/>
  <c r="D28" i="1"/>
  <c r="E29" i="1"/>
  <c r="D30" i="1"/>
  <c r="B28" i="1"/>
  <c r="E16" i="30" l="1"/>
  <c r="G16" i="30" s="1"/>
  <c r="B17" i="30"/>
  <c r="A395" i="30"/>
  <c r="AH28" i="29"/>
  <c r="AG28" i="29"/>
  <c r="AB28" i="29"/>
  <c r="AI28" i="29"/>
  <c r="AF28" i="29"/>
  <c r="AC28" i="29"/>
  <c r="AJ28" i="29"/>
  <c r="AE28" i="29"/>
  <c r="AD28" i="29"/>
  <c r="B30" i="29"/>
  <c r="F29" i="29"/>
  <c r="H28" i="29"/>
  <c r="C34" i="29"/>
  <c r="F9" i="23"/>
  <c r="K9" i="23" s="1"/>
  <c r="S2" i="27"/>
  <c r="T3" i="27"/>
  <c r="U3" i="27" s="1"/>
  <c r="V3" i="27" s="1"/>
  <c r="W3" i="27" s="1"/>
  <c r="X3" i="27" s="1"/>
  <c r="F6" i="23"/>
  <c r="K6" i="23" s="1"/>
  <c r="F5" i="23"/>
  <c r="K5" i="23" s="1"/>
  <c r="F23" i="1"/>
  <c r="H23" i="1" s="1"/>
  <c r="F7" i="23"/>
  <c r="K7" i="23" s="1"/>
  <c r="F11" i="23"/>
  <c r="K11" i="23" s="1"/>
  <c r="T2" i="27"/>
  <c r="U2" i="27" s="1"/>
  <c r="V2" i="27" s="1"/>
  <c r="W2" i="27" s="1"/>
  <c r="X2" i="27" s="1"/>
  <c r="F10" i="23"/>
  <c r="K10" i="23" s="1"/>
  <c r="F4" i="23"/>
  <c r="K4" i="23" s="1"/>
  <c r="F12" i="23"/>
  <c r="K12" i="23" s="1"/>
  <c r="F8" i="23"/>
  <c r="K8" i="23" s="1"/>
  <c r="W28" i="29"/>
  <c r="S28" i="29"/>
  <c r="N29" i="29"/>
  <c r="P29" i="29"/>
  <c r="O29" i="29"/>
  <c r="V28" i="29"/>
  <c r="Z28" i="29"/>
  <c r="Y28" i="29"/>
  <c r="G29" i="29"/>
  <c r="AA28" i="29"/>
  <c r="K29" i="29"/>
  <c r="T29" i="29" s="1"/>
  <c r="L29" i="29"/>
  <c r="U29" i="29" s="1"/>
  <c r="J29" i="29"/>
  <c r="Y29" i="29"/>
  <c r="Q29" i="29"/>
  <c r="M29" i="29"/>
  <c r="U28" i="29"/>
  <c r="R29" i="29"/>
  <c r="M7" i="23"/>
  <c r="M5" i="23"/>
  <c r="M9" i="23"/>
  <c r="M12" i="23"/>
  <c r="M4" i="23"/>
  <c r="M8" i="23"/>
  <c r="M10" i="23"/>
  <c r="M6" i="23"/>
  <c r="M11" i="23"/>
  <c r="J7" i="23"/>
  <c r="J10" i="23"/>
  <c r="J9" i="23"/>
  <c r="J4" i="23"/>
  <c r="J5" i="23"/>
  <c r="J8" i="23"/>
  <c r="J6" i="23"/>
  <c r="J12" i="23"/>
  <c r="J11" i="23"/>
  <c r="A396" i="30" l="1"/>
  <c r="E17" i="30"/>
  <c r="G17" i="30" s="1"/>
  <c r="B18" i="30"/>
  <c r="AG29" i="29"/>
  <c r="AB29" i="29"/>
  <c r="AH29" i="29"/>
  <c r="AJ29" i="29"/>
  <c r="AI29" i="29"/>
  <c r="AF29" i="29"/>
  <c r="AC29" i="29"/>
  <c r="AE29" i="29"/>
  <c r="AD29" i="29"/>
  <c r="H29" i="29"/>
  <c r="B31" i="29"/>
  <c r="F30" i="29"/>
  <c r="C35" i="29"/>
  <c r="L4" i="23"/>
  <c r="L5" i="23"/>
  <c r="L7" i="23"/>
  <c r="L8" i="23"/>
  <c r="L9" i="23"/>
  <c r="L12" i="23"/>
  <c r="L11" i="23"/>
  <c r="L6" i="23"/>
  <c r="L10" i="23"/>
  <c r="F13" i="23"/>
  <c r="K13" i="23" s="1"/>
  <c r="F24" i="1"/>
  <c r="H24" i="1" s="1"/>
  <c r="Z29" i="29"/>
  <c r="P30" i="29"/>
  <c r="X29" i="29"/>
  <c r="W29" i="29"/>
  <c r="O30" i="29"/>
  <c r="M30" i="29"/>
  <c r="Y30" i="29"/>
  <c r="Q30" i="29"/>
  <c r="L30" i="29"/>
  <c r="N30" i="29"/>
  <c r="K30" i="29"/>
  <c r="S29" i="29"/>
  <c r="J30" i="29"/>
  <c r="R30" i="29"/>
  <c r="G30" i="29"/>
  <c r="S30" i="29"/>
  <c r="AA29" i="29"/>
  <c r="V29" i="29"/>
  <c r="M16" i="23"/>
  <c r="M20" i="23"/>
  <c r="M18" i="23"/>
  <c r="M15" i="23"/>
  <c r="N5" i="23"/>
  <c r="M14" i="23"/>
  <c r="M17" i="23"/>
  <c r="N4" i="23"/>
  <c r="N10" i="23"/>
  <c r="N7" i="23"/>
  <c r="N9" i="23"/>
  <c r="M13" i="23"/>
  <c r="N8" i="23"/>
  <c r="M22" i="23"/>
  <c r="N6" i="23"/>
  <c r="N12" i="23"/>
  <c r="M21" i="23"/>
  <c r="N11" i="23"/>
  <c r="M19" i="23"/>
  <c r="E18" i="30" l="1"/>
  <c r="G18" i="30" s="1"/>
  <c r="B19" i="30"/>
  <c r="A397" i="30"/>
  <c r="AG30" i="29"/>
  <c r="AC30" i="29"/>
  <c r="AI30" i="29"/>
  <c r="AE30" i="29"/>
  <c r="AH30" i="29"/>
  <c r="AJ30" i="29"/>
  <c r="AD30" i="29"/>
  <c r="AB30" i="29"/>
  <c r="AF30" i="29"/>
  <c r="H30" i="29"/>
  <c r="B32" i="29"/>
  <c r="F31" i="29"/>
  <c r="C36" i="29"/>
  <c r="F25" i="1"/>
  <c r="H25" i="1" s="1"/>
  <c r="U30" i="29"/>
  <c r="T30" i="29"/>
  <c r="N31" i="29"/>
  <c r="X30" i="29"/>
  <c r="O31" i="29"/>
  <c r="J31" i="29"/>
  <c r="K31" i="29"/>
  <c r="S31" i="29"/>
  <c r="M31" i="29"/>
  <c r="Z30" i="29"/>
  <c r="V30" i="29"/>
  <c r="G31" i="29"/>
  <c r="AA30" i="29"/>
  <c r="W30" i="29"/>
  <c r="P31" i="29"/>
  <c r="L31" i="29"/>
  <c r="Q31" i="29"/>
  <c r="R31" i="29"/>
  <c r="J13" i="23"/>
  <c r="A398" i="30" l="1"/>
  <c r="E19" i="30"/>
  <c r="G19" i="30" s="1"/>
  <c r="B20" i="30"/>
  <c r="AI31" i="29"/>
  <c r="AD31" i="29"/>
  <c r="AJ31" i="29"/>
  <c r="AG31" i="29"/>
  <c r="AB31" i="29"/>
  <c r="AF31" i="29"/>
  <c r="AC31" i="29"/>
  <c r="AH31" i="29"/>
  <c r="AE31" i="29"/>
  <c r="H31" i="29"/>
  <c r="B33" i="29"/>
  <c r="F32" i="29"/>
  <c r="C37" i="29"/>
  <c r="L13" i="23"/>
  <c r="F26" i="1"/>
  <c r="H26" i="1" s="1"/>
  <c r="AA31" i="29"/>
  <c r="J32" i="29"/>
  <c r="M32" i="29"/>
  <c r="Z31" i="29"/>
  <c r="U31" i="29"/>
  <c r="O32" i="29"/>
  <c r="Q32" i="29"/>
  <c r="V31" i="29"/>
  <c r="P32" i="29"/>
  <c r="Y31" i="29"/>
  <c r="G32" i="29"/>
  <c r="L32" i="29"/>
  <c r="R32" i="29"/>
  <c r="AA32" i="29" s="1"/>
  <c r="W31" i="29"/>
  <c r="K32" i="29"/>
  <c r="X31" i="29"/>
  <c r="N32" i="29"/>
  <c r="W32" i="29"/>
  <c r="T31" i="29"/>
  <c r="S32" i="29"/>
  <c r="N13" i="23"/>
  <c r="M23" i="23"/>
  <c r="E20" i="30" l="1"/>
  <c r="G20" i="30" s="1"/>
  <c r="B21" i="30"/>
  <c r="A399" i="30"/>
  <c r="F16" i="23"/>
  <c r="AE32" i="29"/>
  <c r="AJ32" i="29"/>
  <c r="AG32" i="29"/>
  <c r="AB32" i="29"/>
  <c r="AI32" i="29"/>
  <c r="AF32" i="29"/>
  <c r="AC32" i="29"/>
  <c r="AH32" i="29"/>
  <c r="AD32" i="29"/>
  <c r="H32" i="29"/>
  <c r="B34" i="29"/>
  <c r="F33" i="29"/>
  <c r="C38" i="29"/>
  <c r="F27" i="1"/>
  <c r="H27" i="1" s="1"/>
  <c r="Y32" i="29"/>
  <c r="Q33" i="29"/>
  <c r="G33" i="29"/>
  <c r="J33" i="29"/>
  <c r="O33" i="29"/>
  <c r="Z32" i="29"/>
  <c r="X32" i="29"/>
  <c r="L33" i="29"/>
  <c r="K33" i="29"/>
  <c r="V32" i="29"/>
  <c r="M33" i="29"/>
  <c r="V33" i="29" s="1"/>
  <c r="R33" i="29"/>
  <c r="U32" i="29"/>
  <c r="U33" i="29"/>
  <c r="N33" i="29"/>
  <c r="W33" i="29" s="1"/>
  <c r="P33" i="29"/>
  <c r="T32" i="29"/>
  <c r="A400" i="30" l="1"/>
  <c r="E21" i="30"/>
  <c r="G21" i="30" s="1"/>
  <c r="B22" i="30"/>
  <c r="AD33" i="29"/>
  <c r="AJ33" i="29"/>
  <c r="AG33" i="29"/>
  <c r="AB33" i="29"/>
  <c r="AI33" i="29"/>
  <c r="AF33" i="29"/>
  <c r="AC33" i="29"/>
  <c r="AH33" i="29"/>
  <c r="AE33" i="29"/>
  <c r="H33" i="29"/>
  <c r="B35" i="29"/>
  <c r="F34" i="29"/>
  <c r="C39" i="29"/>
  <c r="AA33" i="29"/>
  <c r="L34" i="29"/>
  <c r="R34" i="29"/>
  <c r="T33" i="29"/>
  <c r="Z33" i="29"/>
  <c r="Y33" i="29"/>
  <c r="AA34" i="29"/>
  <c r="O34" i="29"/>
  <c r="X34" i="29" s="1"/>
  <c r="Q34" i="29"/>
  <c r="J34" i="29"/>
  <c r="N34" i="29"/>
  <c r="K34" i="29"/>
  <c r="W34" i="29"/>
  <c r="S33" i="29"/>
  <c r="P34" i="29"/>
  <c r="G34" i="29"/>
  <c r="T34" i="29"/>
  <c r="X33" i="29"/>
  <c r="M34" i="29"/>
  <c r="E22" i="30" l="1"/>
  <c r="G22" i="30" s="1"/>
  <c r="B23" i="30"/>
  <c r="A401" i="30"/>
  <c r="AI34" i="29"/>
  <c r="AE34" i="29"/>
  <c r="AD34" i="29"/>
  <c r="AJ34" i="29"/>
  <c r="AG34" i="29"/>
  <c r="AB34" i="29"/>
  <c r="AH34" i="29"/>
  <c r="AF34" i="29"/>
  <c r="AC34" i="29"/>
  <c r="H34" i="29"/>
  <c r="B36" i="29"/>
  <c r="F35" i="29"/>
  <c r="C40" i="29"/>
  <c r="V34" i="29"/>
  <c r="O35" i="29"/>
  <c r="M35" i="29"/>
  <c r="U34" i="29"/>
  <c r="J35" i="29"/>
  <c r="S34" i="29"/>
  <c r="Y34" i="29"/>
  <c r="G35" i="29"/>
  <c r="K35" i="29"/>
  <c r="T35" i="29" s="1"/>
  <c r="Q35" i="29"/>
  <c r="S35" i="29"/>
  <c r="R35" i="29"/>
  <c r="N35" i="29"/>
  <c r="W35" i="29" s="1"/>
  <c r="Z34" i="29"/>
  <c r="P35" i="29"/>
  <c r="L35" i="29"/>
  <c r="A402" i="30" l="1"/>
  <c r="E23" i="30"/>
  <c r="G23" i="30" s="1"/>
  <c r="B24" i="30"/>
  <c r="AF35" i="29"/>
  <c r="AH35" i="29"/>
  <c r="AD35" i="29"/>
  <c r="AI35" i="29"/>
  <c r="AC35" i="29"/>
  <c r="AE35" i="29"/>
  <c r="AJ35" i="29"/>
  <c r="AG35" i="29"/>
  <c r="AB35" i="29"/>
  <c r="H35" i="29"/>
  <c r="B37" i="29"/>
  <c r="F36" i="29"/>
  <c r="C41" i="29"/>
  <c r="Y35" i="29"/>
  <c r="P36" i="29"/>
  <c r="AA35" i="29"/>
  <c r="Z35" i="29"/>
  <c r="L36" i="29"/>
  <c r="Y36" i="29"/>
  <c r="X35" i="29"/>
  <c r="Q36" i="29"/>
  <c r="M36" i="29"/>
  <c r="O36" i="29"/>
  <c r="J36" i="29"/>
  <c r="V35" i="29"/>
  <c r="X36" i="29"/>
  <c r="K36" i="29"/>
  <c r="T36" i="29"/>
  <c r="S36" i="29"/>
  <c r="U35" i="29"/>
  <c r="G36" i="29"/>
  <c r="R36" i="29"/>
  <c r="AA36" i="29" s="1"/>
  <c r="N36" i="29"/>
  <c r="O33" i="26"/>
  <c r="G15" i="1"/>
  <c r="D30" i="26"/>
  <c r="J3" i="26"/>
  <c r="B5" i="24"/>
  <c r="L18" i="1"/>
  <c r="L29" i="26"/>
  <c r="D42" i="26"/>
  <c r="D16" i="1"/>
  <c r="E9" i="26"/>
  <c r="D24" i="1"/>
  <c r="E15" i="1"/>
  <c r="B6" i="24"/>
  <c r="D25" i="1"/>
  <c r="G47" i="26"/>
  <c r="G20" i="1"/>
  <c r="C13" i="1"/>
  <c r="E52" i="26"/>
  <c r="D33" i="26"/>
  <c r="B57" i="26"/>
  <c r="I16" i="1"/>
  <c r="J57" i="26"/>
  <c r="H33" i="26"/>
  <c r="J41" i="26"/>
  <c r="O17" i="26"/>
  <c r="B14" i="1"/>
  <c r="E60" i="26"/>
  <c r="E36" i="26"/>
  <c r="E19" i="1"/>
  <c r="G27" i="1"/>
  <c r="O15" i="26"/>
  <c r="E45" i="26"/>
  <c r="I19" i="1"/>
  <c r="B48" i="26"/>
  <c r="G21" i="1"/>
  <c r="J34" i="26"/>
  <c r="J40" i="26"/>
  <c r="L53" i="26"/>
  <c r="L59" i="26"/>
  <c r="B36" i="26"/>
  <c r="E10" i="26"/>
  <c r="I20" i="1"/>
  <c r="B40" i="26"/>
  <c r="J46" i="26"/>
  <c r="D22" i="1"/>
  <c r="K23" i="1"/>
  <c r="C36" i="26"/>
  <c r="B26" i="1"/>
  <c r="O23" i="26"/>
  <c r="B33" i="26"/>
  <c r="H60" i="26"/>
  <c r="K18" i="1"/>
  <c r="D51" i="26"/>
  <c r="L58" i="26"/>
  <c r="H21" i="26"/>
  <c r="N18" i="26"/>
  <c r="G17" i="26"/>
  <c r="E6" i="26"/>
  <c r="I48" i="26"/>
  <c r="J59" i="26"/>
  <c r="L35" i="26"/>
  <c r="H30" i="26"/>
  <c r="I15" i="26"/>
  <c r="H48" i="26"/>
  <c r="L22" i="26"/>
  <c r="G30" i="26"/>
  <c r="M36" i="26"/>
  <c r="G41" i="26"/>
  <c r="H36" i="26"/>
  <c r="G39" i="26"/>
  <c r="O6" i="26"/>
  <c r="G22" i="1"/>
  <c r="L45" i="26"/>
  <c r="I39" i="26"/>
  <c r="N6" i="26"/>
  <c r="E42" i="26"/>
  <c r="B52" i="26"/>
  <c r="C6" i="24"/>
  <c r="H54" i="26"/>
  <c r="E16" i="26"/>
  <c r="G19" i="1"/>
  <c r="L60" i="26"/>
  <c r="E27" i="1"/>
  <c r="I3" i="26"/>
  <c r="K13" i="1"/>
  <c r="I36" i="26"/>
  <c r="O40" i="26"/>
  <c r="I21" i="1"/>
  <c r="E21" i="1"/>
  <c r="G5" i="24"/>
  <c r="G24" i="26"/>
  <c r="O34" i="26"/>
  <c r="C21" i="26"/>
  <c r="J5" i="26"/>
  <c r="L42" i="26"/>
  <c r="C3" i="24"/>
  <c r="L48" i="26"/>
  <c r="C39" i="26"/>
  <c r="L10" i="26"/>
  <c r="B10" i="26"/>
  <c r="J5" i="24"/>
  <c r="E23" i="26"/>
  <c r="M21" i="26"/>
  <c r="I33" i="26"/>
  <c r="J13" i="1"/>
  <c r="G23" i="1"/>
  <c r="D13" i="1"/>
  <c r="E5" i="24"/>
  <c r="G16" i="1"/>
  <c r="E48" i="26"/>
  <c r="B15" i="26"/>
  <c r="E54" i="26"/>
  <c r="I6" i="26"/>
  <c r="G21" i="26"/>
  <c r="E47" i="26"/>
  <c r="J16" i="26"/>
  <c r="O11" i="26"/>
  <c r="E58" i="26"/>
  <c r="L46" i="26"/>
  <c r="B19" i="1"/>
  <c r="E13" i="1"/>
  <c r="E27" i="26"/>
  <c r="G57" i="26"/>
  <c r="L39" i="26"/>
  <c r="N45" i="26"/>
  <c r="C27" i="1"/>
  <c r="L9" i="26"/>
  <c r="N51" i="26"/>
  <c r="B6" i="26"/>
  <c r="B46" i="26"/>
  <c r="K14" i="1"/>
  <c r="O47" i="26"/>
  <c r="C20" i="1"/>
  <c r="N12" i="26"/>
  <c r="C24" i="26"/>
  <c r="E18" i="1"/>
  <c r="E4" i="26"/>
  <c r="G36" i="26"/>
  <c r="I30" i="26"/>
  <c r="I27" i="26"/>
  <c r="G22" i="26"/>
  <c r="N21" i="26"/>
  <c r="B24" i="1"/>
  <c r="L51" i="26"/>
  <c r="C54" i="26"/>
  <c r="O39" i="26"/>
  <c r="C25" i="1"/>
  <c r="N24" i="26"/>
  <c r="E14" i="1"/>
  <c r="J25" i="1"/>
  <c r="B24" i="26"/>
  <c r="E33" i="26"/>
  <c r="E22" i="26"/>
  <c r="G17" i="1"/>
  <c r="B39" i="26"/>
  <c r="B3" i="24"/>
  <c r="J17" i="1"/>
  <c r="I24" i="1"/>
  <c r="D21" i="1"/>
  <c r="G40" i="26"/>
  <c r="G52" i="26"/>
  <c r="E29" i="26"/>
  <c r="C6" i="26"/>
  <c r="E41" i="26"/>
  <c r="J18" i="26"/>
  <c r="C27" i="26"/>
  <c r="B17" i="26"/>
  <c r="B59" i="26"/>
  <c r="D20" i="1"/>
  <c r="B23" i="1"/>
  <c r="G26" i="1"/>
  <c r="J18" i="1"/>
  <c r="H51" i="26"/>
  <c r="O57" i="26"/>
  <c r="N60" i="26"/>
  <c r="N42" i="26"/>
  <c r="D6" i="26"/>
  <c r="C17" i="1"/>
  <c r="N39" i="26"/>
  <c r="O29" i="26"/>
  <c r="J12" i="26"/>
  <c r="J47" i="26"/>
  <c r="J23" i="26"/>
  <c r="E16" i="1"/>
  <c r="D60" i="26"/>
  <c r="L21" i="1"/>
  <c r="J30" i="26"/>
  <c r="B27" i="26"/>
  <c r="L23" i="26"/>
  <c r="E12" i="26"/>
  <c r="B22" i="1"/>
  <c r="J23" i="1"/>
  <c r="C45" i="26"/>
  <c r="E11" i="26"/>
  <c r="D18" i="1"/>
  <c r="G14" i="1"/>
  <c r="E34" i="26"/>
  <c r="I26" i="1"/>
  <c r="J15" i="26"/>
  <c r="M9" i="26"/>
  <c r="G51" i="26"/>
  <c r="M30" i="26"/>
  <c r="H12" i="26"/>
  <c r="B16" i="26"/>
  <c r="N3" i="26"/>
  <c r="D26" i="1"/>
  <c r="B9" i="26"/>
  <c r="O9" i="26"/>
  <c r="G23" i="26"/>
  <c r="E6" i="24"/>
  <c r="M48" i="26"/>
  <c r="O53" i="26"/>
  <c r="K19" i="1"/>
  <c r="L15" i="1"/>
  <c r="I3" i="24"/>
  <c r="I60" i="26"/>
  <c r="M54" i="26"/>
  <c r="J16" i="1"/>
  <c r="J19" i="1"/>
  <c r="L25" i="1"/>
  <c r="O41" i="26"/>
  <c r="J27" i="1"/>
  <c r="B28" i="26"/>
  <c r="M45" i="26"/>
  <c r="O21" i="26"/>
  <c r="B54" i="26"/>
  <c r="L21" i="26"/>
  <c r="C24" i="1"/>
  <c r="E24" i="26"/>
  <c r="N48" i="26"/>
  <c r="D36" i="26"/>
  <c r="L36" i="26"/>
  <c r="G6" i="24"/>
  <c r="D9" i="26"/>
  <c r="B3" i="26"/>
  <c r="G60" i="26"/>
  <c r="L5" i="26"/>
  <c r="J20" i="1"/>
  <c r="J3" i="24"/>
  <c r="G3" i="24"/>
  <c r="J15" i="1"/>
  <c r="C16" i="1"/>
  <c r="K25" i="1"/>
  <c r="J22" i="1"/>
  <c r="E17" i="26"/>
  <c r="L12" i="26"/>
  <c r="L23" i="1"/>
  <c r="E51" i="26"/>
  <c r="I22" i="1"/>
  <c r="E46" i="26"/>
  <c r="M57" i="26"/>
  <c r="J27" i="26"/>
  <c r="B41" i="26"/>
  <c r="O35" i="26"/>
  <c r="O16" i="26"/>
  <c r="M24" i="26"/>
  <c r="I45" i="26"/>
  <c r="D17" i="1"/>
  <c r="D27" i="1"/>
  <c r="I57" i="26"/>
  <c r="G27" i="26"/>
  <c r="G25" i="1"/>
  <c r="I14" i="1"/>
  <c r="L15" i="26"/>
  <c r="H24" i="26"/>
  <c r="O18" i="26"/>
  <c r="J39" i="26"/>
  <c r="C18" i="1"/>
  <c r="L24" i="26"/>
  <c r="L28" i="26"/>
  <c r="G28" i="26"/>
  <c r="M42" i="26"/>
  <c r="B29" i="26"/>
  <c r="N9" i="26"/>
  <c r="H3" i="26"/>
  <c r="B18" i="26"/>
  <c r="J29" i="26"/>
  <c r="G58" i="26"/>
  <c r="B4" i="26"/>
  <c r="E23" i="1"/>
  <c r="C48" i="26"/>
  <c r="O51" i="26"/>
  <c r="L52" i="26"/>
  <c r="B53" i="26"/>
  <c r="O3" i="26"/>
  <c r="H18" i="26"/>
  <c r="M33" i="26"/>
  <c r="N27" i="26"/>
  <c r="G18" i="26"/>
  <c r="N36" i="26"/>
  <c r="J10" i="26"/>
  <c r="I21" i="26"/>
  <c r="E17" i="1"/>
  <c r="G6" i="26"/>
  <c r="E40" i="26"/>
  <c r="I6" i="24"/>
  <c r="H6" i="24"/>
  <c r="G15" i="26"/>
  <c r="H6" i="26"/>
  <c r="O27" i="26"/>
  <c r="B21" i="1"/>
  <c r="I24" i="26"/>
  <c r="H15" i="26"/>
  <c r="C15" i="1"/>
  <c r="G18" i="1"/>
  <c r="H57" i="26"/>
  <c r="G53" i="26"/>
  <c r="L18" i="26"/>
  <c r="C42" i="26"/>
  <c r="H42" i="26"/>
  <c r="J54" i="26"/>
  <c r="K24" i="1"/>
  <c r="L27" i="1"/>
  <c r="B16" i="1"/>
  <c r="J4" i="26"/>
  <c r="I17" i="1"/>
  <c r="B13" i="1"/>
  <c r="O59" i="26"/>
  <c r="L3" i="26"/>
  <c r="L16" i="26"/>
  <c r="M6" i="26"/>
  <c r="J9" i="26"/>
  <c r="L30" i="26"/>
  <c r="M27" i="26"/>
  <c r="E21" i="26"/>
  <c r="O24" i="26"/>
  <c r="B47" i="26"/>
  <c r="C3" i="26"/>
  <c r="D23" i="1"/>
  <c r="E25" i="1"/>
  <c r="J24" i="26"/>
  <c r="J6" i="26"/>
  <c r="B17" i="1"/>
  <c r="D21" i="26"/>
  <c r="J21" i="26"/>
  <c r="I15" i="1"/>
  <c r="L17" i="26"/>
  <c r="E22" i="1"/>
  <c r="I54" i="26"/>
  <c r="M3" i="26"/>
  <c r="J4" i="24"/>
  <c r="K20" i="1"/>
  <c r="D14" i="1"/>
  <c r="J45" i="26"/>
  <c r="I12" i="26"/>
  <c r="I18" i="1"/>
  <c r="G54" i="26"/>
  <c r="L54" i="26"/>
  <c r="C12" i="26"/>
  <c r="B58" i="26"/>
  <c r="D27" i="26"/>
  <c r="B60" i="26"/>
  <c r="L41" i="26"/>
  <c r="G5" i="26"/>
  <c r="D54" i="26"/>
  <c r="E39" i="26"/>
  <c r="E3" i="26"/>
  <c r="O48" i="26"/>
  <c r="E18" i="26"/>
  <c r="I23" i="1"/>
  <c r="D15" i="1"/>
  <c r="H3" i="24"/>
  <c r="L47" i="26"/>
  <c r="D18" i="26"/>
  <c r="L26" i="1"/>
  <c r="G33" i="26"/>
  <c r="I27" i="1"/>
  <c r="E30" i="26"/>
  <c r="I9" i="26"/>
  <c r="N15" i="26"/>
  <c r="H9" i="26"/>
  <c r="G34" i="26"/>
  <c r="N57" i="26"/>
  <c r="I18" i="26"/>
  <c r="J11" i="26"/>
  <c r="B15" i="1"/>
  <c r="B22" i="26"/>
  <c r="J14" i="1"/>
  <c r="D48" i="26"/>
  <c r="H45" i="26"/>
  <c r="G9" i="26"/>
  <c r="O22" i="26"/>
  <c r="C57" i="26"/>
  <c r="J6" i="24"/>
  <c r="O52" i="26"/>
  <c r="L13" i="1"/>
  <c r="B18" i="1"/>
  <c r="E59" i="26"/>
  <c r="C21" i="1"/>
  <c r="N54" i="26"/>
  <c r="L57" i="26"/>
  <c r="E20" i="1"/>
  <c r="O60" i="26"/>
  <c r="C14" i="1"/>
  <c r="K26" i="1"/>
  <c r="K22" i="1"/>
  <c r="E15" i="26"/>
  <c r="B21" i="26"/>
  <c r="O10" i="26"/>
  <c r="D6" i="24"/>
  <c r="J52" i="26"/>
  <c r="B11" i="26"/>
  <c r="L27" i="26"/>
  <c r="C22" i="1"/>
  <c r="J60" i="26"/>
  <c r="M39" i="26"/>
  <c r="K27" i="1"/>
  <c r="O12" i="26"/>
  <c r="B34" i="26"/>
  <c r="H39" i="26"/>
  <c r="L24" i="1"/>
  <c r="B5" i="26"/>
  <c r="J53" i="26"/>
  <c r="G45" i="26"/>
  <c r="E5" i="26"/>
  <c r="J35" i="26"/>
  <c r="O5" i="26"/>
  <c r="B25" i="1"/>
  <c r="E57" i="26"/>
  <c r="L14" i="1"/>
  <c r="B4" i="24"/>
  <c r="I25" i="1"/>
  <c r="G11" i="26"/>
  <c r="G3" i="26"/>
  <c r="B45" i="26"/>
  <c r="I42" i="26"/>
  <c r="C60" i="26"/>
  <c r="J21" i="1"/>
  <c r="C23" i="1"/>
  <c r="B20" i="1"/>
  <c r="C9" i="26"/>
  <c r="C18" i="26"/>
  <c r="C33" i="26"/>
  <c r="J36" i="26"/>
  <c r="J22" i="26"/>
  <c r="J51" i="26"/>
  <c r="D57" i="26"/>
  <c r="G59" i="26"/>
  <c r="G29" i="26"/>
  <c r="B23" i="26"/>
  <c r="J42" i="26"/>
  <c r="G46" i="26"/>
  <c r="D12" i="26"/>
  <c r="O30" i="26"/>
  <c r="J58" i="26"/>
  <c r="L11" i="26"/>
  <c r="N33" i="26"/>
  <c r="J28" i="26"/>
  <c r="G42" i="26"/>
  <c r="G4" i="24"/>
  <c r="L33" i="26"/>
  <c r="G13" i="1"/>
  <c r="L34" i="26"/>
  <c r="L20" i="1"/>
  <c r="C15" i="26"/>
  <c r="G48" i="26"/>
  <c r="G12" i="26"/>
  <c r="G4" i="26"/>
  <c r="K16" i="1"/>
  <c r="L17" i="1"/>
  <c r="O58" i="26"/>
  <c r="B27" i="1"/>
  <c r="L16" i="1"/>
  <c r="M60" i="26"/>
  <c r="O36" i="26"/>
  <c r="L6" i="26"/>
  <c r="E53" i="26"/>
  <c r="L22" i="1"/>
  <c r="B12" i="26"/>
  <c r="I51" i="26"/>
  <c r="E35" i="26"/>
  <c r="C26" i="1"/>
  <c r="D15" i="26"/>
  <c r="L19" i="1"/>
  <c r="J33" i="26"/>
  <c r="G16" i="26"/>
  <c r="C19" i="1"/>
  <c r="D24" i="26"/>
  <c r="E3" i="24"/>
  <c r="C51" i="26"/>
  <c r="M15" i="26"/>
  <c r="O46" i="26"/>
  <c r="B30" i="26"/>
  <c r="G10" i="26"/>
  <c r="E28" i="26"/>
  <c r="B42" i="26"/>
  <c r="D39" i="26"/>
  <c r="J26" i="1"/>
  <c r="D3" i="26"/>
  <c r="K15" i="1"/>
  <c r="E4" i="24"/>
  <c r="M12" i="26"/>
  <c r="D19" i="1"/>
  <c r="O54" i="26"/>
  <c r="J17" i="26"/>
  <c r="G35" i="26"/>
  <c r="G24" i="1"/>
  <c r="D3" i="24"/>
  <c r="K17" i="1"/>
  <c r="M18" i="26"/>
  <c r="O42" i="26"/>
  <c r="J24" i="1"/>
  <c r="J48" i="26"/>
  <c r="H27" i="26"/>
  <c r="D45" i="26"/>
  <c r="E26" i="1"/>
  <c r="B51" i="26"/>
  <c r="L4" i="26"/>
  <c r="K21" i="1"/>
  <c r="C30" i="26"/>
  <c r="M51" i="26"/>
  <c r="O4" i="26"/>
  <c r="I13" i="1"/>
  <c r="L40" i="26"/>
  <c r="O45" i="26"/>
  <c r="B35" i="26"/>
  <c r="E24" i="1"/>
  <c r="N30" i="26"/>
  <c r="O28" i="26"/>
  <c r="G4" i="23"/>
  <c r="G6" i="23"/>
  <c r="G7" i="23"/>
  <c r="G5" i="23"/>
  <c r="G8" i="23"/>
  <c r="G11" i="23"/>
  <c r="G13" i="23"/>
  <c r="G12" i="23"/>
  <c r="G9" i="23"/>
  <c r="G10" i="23"/>
  <c r="D4" i="23"/>
  <c r="E4" i="23"/>
  <c r="I9" i="23"/>
  <c r="B4" i="23"/>
  <c r="I13" i="23"/>
  <c r="I8" i="23"/>
  <c r="I7" i="23"/>
  <c r="I11" i="23"/>
  <c r="I4" i="23"/>
  <c r="I6" i="23"/>
  <c r="H4" i="23"/>
  <c r="C4" i="23"/>
  <c r="I5" i="23"/>
  <c r="I12" i="23"/>
  <c r="B6" i="23"/>
  <c r="E6" i="23"/>
  <c r="H6" i="23"/>
  <c r="D6" i="23"/>
  <c r="D7" i="23"/>
  <c r="B7" i="23"/>
  <c r="H7" i="23"/>
  <c r="C7" i="23"/>
  <c r="E7" i="23"/>
  <c r="D5" i="23"/>
  <c r="H5" i="23"/>
  <c r="C5" i="23"/>
  <c r="B5" i="23"/>
  <c r="E8" i="23"/>
  <c r="H8" i="23"/>
  <c r="B8" i="23"/>
  <c r="D8" i="23"/>
  <c r="C8" i="23"/>
  <c r="E11" i="23"/>
  <c r="H11" i="23"/>
  <c r="B11" i="23"/>
  <c r="D11" i="23"/>
  <c r="H13" i="23"/>
  <c r="D13" i="23"/>
  <c r="E13" i="23"/>
  <c r="C13" i="23"/>
  <c r="E12" i="23"/>
  <c r="C12" i="23"/>
  <c r="H12" i="23"/>
  <c r="D12" i="23"/>
  <c r="B12" i="23"/>
  <c r="B9" i="23"/>
  <c r="D9" i="23"/>
  <c r="C9" i="23"/>
  <c r="H9" i="23"/>
  <c r="E9" i="23"/>
  <c r="B10" i="23"/>
  <c r="H10" i="23"/>
  <c r="D10" i="23"/>
  <c r="C10" i="23"/>
  <c r="E10" i="23"/>
  <c r="E24" i="30" l="1"/>
  <c r="G24" i="30" s="1"/>
  <c r="B25" i="30"/>
  <c r="A403" i="30"/>
  <c r="D32" i="24"/>
  <c r="D34" i="24"/>
  <c r="D31" i="24"/>
  <c r="D33" i="24"/>
  <c r="D35" i="24"/>
  <c r="D29" i="24"/>
  <c r="D25" i="24"/>
  <c r="D27" i="24"/>
  <c r="D30" i="24"/>
  <c r="D36" i="24"/>
  <c r="D28" i="24"/>
  <c r="D26" i="24"/>
  <c r="F25" i="24"/>
  <c r="F27" i="24"/>
  <c r="F26" i="24"/>
  <c r="F33" i="24"/>
  <c r="F32" i="24"/>
  <c r="F28" i="24"/>
  <c r="F31" i="24"/>
  <c r="F30" i="24"/>
  <c r="F35" i="24"/>
  <c r="F29" i="24"/>
  <c r="F34" i="24"/>
  <c r="F36" i="24"/>
  <c r="F18" i="24"/>
  <c r="F21" i="24"/>
  <c r="F19" i="24"/>
  <c r="F16" i="24"/>
  <c r="F12" i="24"/>
  <c r="F11" i="24"/>
  <c r="F13" i="24"/>
  <c r="F14" i="24"/>
  <c r="F15" i="24"/>
  <c r="F22" i="24"/>
  <c r="F17" i="24"/>
  <c r="F20" i="24"/>
  <c r="K28" i="24"/>
  <c r="K29" i="24"/>
  <c r="K30" i="24"/>
  <c r="K25" i="24"/>
  <c r="K27" i="24"/>
  <c r="K31" i="24"/>
  <c r="K36" i="24"/>
  <c r="K26" i="24"/>
  <c r="K35" i="24"/>
  <c r="K34" i="24"/>
  <c r="K32" i="24"/>
  <c r="K33" i="24"/>
  <c r="G27" i="24"/>
  <c r="G31" i="24"/>
  <c r="G25" i="24"/>
  <c r="G26" i="24"/>
  <c r="G35" i="24"/>
  <c r="G30" i="24"/>
  <c r="G36" i="24"/>
  <c r="G29" i="24"/>
  <c r="G28" i="24"/>
  <c r="G32" i="24"/>
  <c r="G34" i="24"/>
  <c r="G33" i="24"/>
  <c r="H28" i="24"/>
  <c r="H31" i="24"/>
  <c r="H36" i="24"/>
  <c r="H35" i="24"/>
  <c r="H33" i="24"/>
  <c r="H27" i="24"/>
  <c r="H30" i="24"/>
  <c r="H25" i="24"/>
  <c r="H26" i="24"/>
  <c r="H29" i="24"/>
  <c r="H34" i="24"/>
  <c r="H32" i="24"/>
  <c r="L31" i="24"/>
  <c r="L33" i="24"/>
  <c r="L32" i="24"/>
  <c r="L34" i="24"/>
  <c r="L27" i="24"/>
  <c r="L30" i="24"/>
  <c r="L26" i="24"/>
  <c r="L35" i="24"/>
  <c r="L36" i="24"/>
  <c r="L29" i="24"/>
  <c r="L25" i="24"/>
  <c r="L28" i="24"/>
  <c r="L20" i="24"/>
  <c r="L12" i="24"/>
  <c r="L11" i="24"/>
  <c r="L21" i="24"/>
  <c r="L14" i="24"/>
  <c r="L22" i="24"/>
  <c r="L17" i="24"/>
  <c r="L13" i="24"/>
  <c r="L16" i="24"/>
  <c r="L19" i="24"/>
  <c r="L15" i="24"/>
  <c r="L18" i="24"/>
  <c r="H15" i="24"/>
  <c r="H12" i="24"/>
  <c r="H11" i="24"/>
  <c r="H13" i="24"/>
  <c r="H14" i="24"/>
  <c r="H22" i="24"/>
  <c r="H16" i="24"/>
  <c r="H20" i="24"/>
  <c r="H19" i="24"/>
  <c r="H21" i="24"/>
  <c r="H18" i="24"/>
  <c r="H17" i="24"/>
  <c r="K12" i="24"/>
  <c r="K21" i="24"/>
  <c r="K20" i="24"/>
  <c r="K22" i="24"/>
  <c r="K19" i="24"/>
  <c r="K16" i="24"/>
  <c r="K17" i="24"/>
  <c r="K13" i="24"/>
  <c r="K11" i="24"/>
  <c r="M11" i="24" s="1"/>
  <c r="K18" i="24"/>
  <c r="K15" i="24"/>
  <c r="K14" i="24"/>
  <c r="I32" i="24"/>
  <c r="I31" i="24"/>
  <c r="I25" i="24"/>
  <c r="I28" i="24"/>
  <c r="I34" i="24"/>
  <c r="I33" i="24"/>
  <c r="I29" i="24"/>
  <c r="I26" i="24"/>
  <c r="I35" i="24"/>
  <c r="I27" i="24"/>
  <c r="I30" i="24"/>
  <c r="I36" i="24"/>
  <c r="C35" i="24"/>
  <c r="C33" i="24"/>
  <c r="C32" i="24"/>
  <c r="C30" i="24"/>
  <c r="C36" i="24"/>
  <c r="C26" i="24"/>
  <c r="C29" i="24"/>
  <c r="C28" i="24"/>
  <c r="C31" i="24"/>
  <c r="C34" i="24"/>
  <c r="C25" i="24"/>
  <c r="C27" i="24"/>
  <c r="E15" i="24"/>
  <c r="E17" i="24"/>
  <c r="E18" i="24"/>
  <c r="E22" i="24"/>
  <c r="E14" i="24"/>
  <c r="E20" i="24"/>
  <c r="E21" i="24"/>
  <c r="E13" i="24"/>
  <c r="E11" i="24"/>
  <c r="E12" i="24"/>
  <c r="E16" i="24"/>
  <c r="E19" i="24"/>
  <c r="D21" i="24"/>
  <c r="D12" i="24"/>
  <c r="D17" i="24"/>
  <c r="D15" i="24"/>
  <c r="D18" i="24"/>
  <c r="D14" i="24"/>
  <c r="D19" i="24"/>
  <c r="D13" i="24"/>
  <c r="D11" i="24"/>
  <c r="D20" i="24"/>
  <c r="D16" i="24"/>
  <c r="D22" i="24"/>
  <c r="C15" i="24"/>
  <c r="C19" i="24"/>
  <c r="C14" i="24"/>
  <c r="C12" i="24"/>
  <c r="C16" i="24"/>
  <c r="C21" i="24"/>
  <c r="C22" i="24"/>
  <c r="C18" i="24"/>
  <c r="C13" i="24"/>
  <c r="C17" i="24"/>
  <c r="C20" i="24"/>
  <c r="C11" i="24"/>
  <c r="J11" i="24"/>
  <c r="J18" i="24"/>
  <c r="J19" i="24"/>
  <c r="J20" i="24"/>
  <c r="J14" i="24"/>
  <c r="J13" i="24"/>
  <c r="J21" i="24"/>
  <c r="J17" i="24"/>
  <c r="J22" i="24"/>
  <c r="J15" i="24"/>
  <c r="J16" i="24"/>
  <c r="J12" i="24"/>
  <c r="G19" i="24"/>
  <c r="G16" i="24"/>
  <c r="G13" i="24"/>
  <c r="G18" i="24"/>
  <c r="G22" i="24"/>
  <c r="G20" i="24"/>
  <c r="G21" i="24"/>
  <c r="G17" i="24"/>
  <c r="G15" i="24"/>
  <c r="G11" i="24"/>
  <c r="G14" i="24"/>
  <c r="G12" i="24"/>
  <c r="I17" i="24"/>
  <c r="I15" i="24"/>
  <c r="I16" i="24"/>
  <c r="I11" i="24"/>
  <c r="I18" i="24"/>
  <c r="I21" i="24"/>
  <c r="I22" i="24"/>
  <c r="I14" i="24"/>
  <c r="I13" i="24"/>
  <c r="I12" i="24"/>
  <c r="I19" i="24"/>
  <c r="I20" i="24"/>
  <c r="AH36" i="29"/>
  <c r="AE36" i="29"/>
  <c r="AD36" i="29"/>
  <c r="AB36" i="29"/>
  <c r="AG36" i="29"/>
  <c r="AI36" i="29"/>
  <c r="AF36" i="29"/>
  <c r="AC36" i="29"/>
  <c r="AJ36" i="29"/>
  <c r="H36" i="29"/>
  <c r="B38" i="29"/>
  <c r="F37" i="29"/>
  <c r="C42" i="29"/>
  <c r="K37" i="29"/>
  <c r="P37" i="29"/>
  <c r="V36" i="29"/>
  <c r="Z36" i="29"/>
  <c r="Q37" i="29"/>
  <c r="U36" i="29"/>
  <c r="Z37" i="29"/>
  <c r="W36" i="29"/>
  <c r="O37" i="29"/>
  <c r="L37" i="29"/>
  <c r="J37" i="29"/>
  <c r="M37" i="29"/>
  <c r="R37" i="29"/>
  <c r="N37" i="29"/>
  <c r="W37" i="29" s="1"/>
  <c r="G37" i="29"/>
  <c r="U37" i="29"/>
  <c r="B13" i="23"/>
  <c r="I10" i="23"/>
  <c r="E5" i="23"/>
  <c r="C6" i="23"/>
  <c r="C11" i="23"/>
  <c r="E35" i="24" l="1"/>
  <c r="E26" i="24"/>
  <c r="E25" i="24"/>
  <c r="E30" i="24"/>
  <c r="E28" i="24"/>
  <c r="E32" i="24"/>
  <c r="E29" i="24"/>
  <c r="E27" i="24"/>
  <c r="E31" i="24"/>
  <c r="E34" i="24"/>
  <c r="E36" i="24"/>
  <c r="E33" i="24"/>
  <c r="A404" i="30"/>
  <c r="E25" i="30"/>
  <c r="G25" i="30" s="1"/>
  <c r="B26" i="30"/>
  <c r="M14" i="24"/>
  <c r="M19" i="24"/>
  <c r="M12" i="24"/>
  <c r="M22" i="24"/>
  <c r="M18" i="24"/>
  <c r="M13" i="24"/>
  <c r="M17" i="24"/>
  <c r="M15" i="24"/>
  <c r="M16" i="24"/>
  <c r="M21" i="24"/>
  <c r="M20" i="24"/>
  <c r="J26" i="24"/>
  <c r="J29" i="24"/>
  <c r="J32" i="24"/>
  <c r="J25" i="24"/>
  <c r="J30" i="24"/>
  <c r="J34" i="24"/>
  <c r="J33" i="24"/>
  <c r="J31" i="24"/>
  <c r="J28" i="24"/>
  <c r="J27" i="24"/>
  <c r="J35" i="24"/>
  <c r="J36" i="24"/>
  <c r="AI37" i="29"/>
  <c r="AF37" i="29"/>
  <c r="AC37" i="29"/>
  <c r="AH37" i="29"/>
  <c r="AE37" i="29"/>
  <c r="AD37" i="29"/>
  <c r="AJ37" i="29"/>
  <c r="AG37" i="29"/>
  <c r="AB37" i="29"/>
  <c r="H37" i="29"/>
  <c r="B39" i="29"/>
  <c r="F38" i="29"/>
  <c r="C43" i="29"/>
  <c r="V37" i="29"/>
  <c r="AA37" i="29"/>
  <c r="K38" i="29"/>
  <c r="P38" i="29"/>
  <c r="L38" i="29"/>
  <c r="J38" i="29"/>
  <c r="O38" i="29"/>
  <c r="T38" i="29"/>
  <c r="Y37" i="29"/>
  <c r="Y38" i="29"/>
  <c r="S37" i="29"/>
  <c r="R38" i="29"/>
  <c r="AA38" i="29" s="1"/>
  <c r="X37" i="29"/>
  <c r="G38" i="29"/>
  <c r="T37" i="29"/>
  <c r="M38" i="29"/>
  <c r="V38" i="29"/>
  <c r="N38" i="29"/>
  <c r="Q38" i="29"/>
  <c r="M34" i="24" l="1"/>
  <c r="M26" i="24"/>
  <c r="M32" i="24"/>
  <c r="M28" i="24"/>
  <c r="M31" i="24"/>
  <c r="M33" i="24"/>
  <c r="M30" i="24"/>
  <c r="M36" i="24"/>
  <c r="M35" i="24"/>
  <c r="M25" i="24"/>
  <c r="M27" i="24"/>
  <c r="M29" i="24"/>
  <c r="E26" i="30"/>
  <c r="G26" i="30" s="1"/>
  <c r="B27" i="30"/>
  <c r="A405" i="30"/>
  <c r="AJ38" i="29"/>
  <c r="AE38" i="29"/>
  <c r="AD38" i="29"/>
  <c r="AH38" i="29"/>
  <c r="AG38" i="29"/>
  <c r="AB38" i="29"/>
  <c r="AI38" i="29"/>
  <c r="AF38" i="29"/>
  <c r="AC38" i="29"/>
  <c r="H38" i="29"/>
  <c r="B40" i="29"/>
  <c r="F39" i="29"/>
  <c r="C44" i="29"/>
  <c r="W38" i="29"/>
  <c r="O39" i="29"/>
  <c r="G39" i="29"/>
  <c r="X38" i="29"/>
  <c r="P39" i="29"/>
  <c r="N39" i="29"/>
  <c r="Q39" i="29"/>
  <c r="K39" i="29"/>
  <c r="M39" i="29"/>
  <c r="L39" i="29"/>
  <c r="S38" i="29"/>
  <c r="U38" i="29"/>
  <c r="T39" i="29"/>
  <c r="Y39" i="29"/>
  <c r="R39" i="29"/>
  <c r="AA39" i="29" s="1"/>
  <c r="V39" i="29"/>
  <c r="X39" i="29"/>
  <c r="J39" i="29"/>
  <c r="Z38" i="29"/>
  <c r="A406" i="30" l="1"/>
  <c r="E27" i="30"/>
  <c r="G27" i="30" s="1"/>
  <c r="B28" i="30"/>
  <c r="AH39" i="29"/>
  <c r="AE39" i="29"/>
  <c r="AD39" i="29"/>
  <c r="AJ39" i="29"/>
  <c r="AG39" i="29"/>
  <c r="AB39" i="29"/>
  <c r="AI39" i="29"/>
  <c r="AF39" i="29"/>
  <c r="AC39" i="29"/>
  <c r="H39" i="29"/>
  <c r="B41" i="29"/>
  <c r="F40" i="29"/>
  <c r="C45" i="29"/>
  <c r="W39" i="29"/>
  <c r="J40" i="29"/>
  <c r="S39" i="29"/>
  <c r="K40" i="29"/>
  <c r="O40" i="29"/>
  <c r="X40" i="29" s="1"/>
  <c r="L40" i="29"/>
  <c r="P40" i="29"/>
  <c r="G40" i="29"/>
  <c r="U39" i="29"/>
  <c r="Y40" i="29"/>
  <c r="M40" i="29"/>
  <c r="R40" i="29"/>
  <c r="N40" i="29"/>
  <c r="Q40" i="29"/>
  <c r="Z39" i="29"/>
  <c r="V40" i="29"/>
  <c r="E28" i="30" l="1"/>
  <c r="G28" i="30" s="1"/>
  <c r="B29" i="30"/>
  <c r="A407" i="30"/>
  <c r="AH40" i="29"/>
  <c r="AE40" i="29"/>
  <c r="AD40" i="29"/>
  <c r="AJ40" i="29"/>
  <c r="AG40" i="29"/>
  <c r="AB40" i="29"/>
  <c r="AI40" i="29"/>
  <c r="AF40" i="29"/>
  <c r="AC40" i="29"/>
  <c r="H40" i="29"/>
  <c r="B42" i="29"/>
  <c r="F41" i="29"/>
  <c r="C46" i="29"/>
  <c r="W40" i="29"/>
  <c r="AA40" i="29"/>
  <c r="G41" i="29"/>
  <c r="K41" i="29"/>
  <c r="Q41" i="29"/>
  <c r="R41" i="29"/>
  <c r="T41" i="29"/>
  <c r="L41" i="29"/>
  <c r="T40" i="29"/>
  <c r="Z40" i="29"/>
  <c r="O41" i="29"/>
  <c r="N41" i="29"/>
  <c r="M41" i="29"/>
  <c r="V41" i="29" s="1"/>
  <c r="P41" i="29"/>
  <c r="X41" i="29"/>
  <c r="J41" i="29"/>
  <c r="U40" i="29"/>
  <c r="S40" i="29"/>
  <c r="A408" i="30" l="1"/>
  <c r="E29" i="30"/>
  <c r="G29" i="30" s="1"/>
  <c r="B30" i="30"/>
  <c r="AE41" i="29"/>
  <c r="AD41" i="29"/>
  <c r="AH41" i="29"/>
  <c r="AJ41" i="29"/>
  <c r="AG41" i="29"/>
  <c r="AB41" i="29"/>
  <c r="AI41" i="29"/>
  <c r="AF41" i="29"/>
  <c r="AC41" i="29"/>
  <c r="H41" i="29"/>
  <c r="B43" i="29"/>
  <c r="F42" i="29"/>
  <c r="C47" i="29"/>
  <c r="W41" i="29"/>
  <c r="AA41" i="29"/>
  <c r="P42" i="29"/>
  <c r="N42" i="29"/>
  <c r="R42" i="29"/>
  <c r="O42" i="29"/>
  <c r="Y42" i="29"/>
  <c r="G42" i="29"/>
  <c r="L42" i="29"/>
  <c r="X42" i="29"/>
  <c r="U41" i="29"/>
  <c r="Y41" i="29"/>
  <c r="K42" i="29"/>
  <c r="T42" i="29" s="1"/>
  <c r="Z41" i="29"/>
  <c r="Q42" i="29"/>
  <c r="M42" i="29"/>
  <c r="V42" i="29"/>
  <c r="J42" i="29"/>
  <c r="S41" i="29"/>
  <c r="E30" i="30" l="1"/>
  <c r="G30" i="30" s="1"/>
  <c r="B31" i="30"/>
  <c r="A409" i="30"/>
  <c r="AH42" i="29"/>
  <c r="AE42" i="29"/>
  <c r="AD42" i="29"/>
  <c r="AI42" i="29"/>
  <c r="AG42" i="29"/>
  <c r="AB42" i="29"/>
  <c r="AJ42" i="29"/>
  <c r="AF42" i="29"/>
  <c r="AC42" i="29"/>
  <c r="H42" i="29"/>
  <c r="B44" i="29"/>
  <c r="F43" i="29"/>
  <c r="C48" i="29"/>
  <c r="Z42" i="29"/>
  <c r="W42" i="29"/>
  <c r="U42" i="29"/>
  <c r="Q43" i="29"/>
  <c r="M43" i="29"/>
  <c r="V43" i="29"/>
  <c r="S42" i="29"/>
  <c r="AA42" i="29"/>
  <c r="O43" i="29"/>
  <c r="P43" i="29"/>
  <c r="Y43" i="29" s="1"/>
  <c r="J43" i="29"/>
  <c r="G43" i="29"/>
  <c r="K43" i="29"/>
  <c r="X43" i="29"/>
  <c r="R43" i="29"/>
  <c r="AA43" i="29" s="1"/>
  <c r="L43" i="29"/>
  <c r="T43" i="29"/>
  <c r="N43" i="29"/>
  <c r="A410" i="30" l="1"/>
  <c r="E31" i="30"/>
  <c r="G31" i="30" s="1"/>
  <c r="B32" i="30"/>
  <c r="AH43" i="29"/>
  <c r="AE43" i="29"/>
  <c r="AD43" i="29"/>
  <c r="AJ43" i="29"/>
  <c r="AG43" i="29"/>
  <c r="AB43" i="29"/>
  <c r="AI43" i="29"/>
  <c r="AF43" i="29"/>
  <c r="AC43" i="29"/>
  <c r="H43" i="29"/>
  <c r="B45" i="29"/>
  <c r="F44" i="29"/>
  <c r="C49" i="29"/>
  <c r="W43" i="29"/>
  <c r="O44" i="29"/>
  <c r="Z43" i="29"/>
  <c r="U43" i="29"/>
  <c r="G44" i="29"/>
  <c r="K44" i="29"/>
  <c r="T44" i="29" s="1"/>
  <c r="S43" i="29"/>
  <c r="N44" i="29"/>
  <c r="Q44" i="29"/>
  <c r="R44" i="29"/>
  <c r="AA44" i="29" s="1"/>
  <c r="M44" i="29"/>
  <c r="P44" i="29"/>
  <c r="J44" i="29"/>
  <c r="Y44" i="29"/>
  <c r="L44" i="29"/>
  <c r="X44" i="29"/>
  <c r="E32" i="30" l="1"/>
  <c r="G32" i="30" s="1"/>
  <c r="B33" i="30"/>
  <c r="A411" i="30"/>
  <c r="AJ44" i="29"/>
  <c r="AE44" i="29"/>
  <c r="AD44" i="29"/>
  <c r="AH44" i="29"/>
  <c r="AG44" i="29"/>
  <c r="AB44" i="29"/>
  <c r="AI44" i="29"/>
  <c r="AF44" i="29"/>
  <c r="AC44" i="29"/>
  <c r="H44" i="29"/>
  <c r="B46" i="29"/>
  <c r="F45" i="29"/>
  <c r="C50" i="29"/>
  <c r="W44" i="29"/>
  <c r="J45" i="29"/>
  <c r="Z44" i="29"/>
  <c r="K45" i="29"/>
  <c r="S44" i="29"/>
  <c r="G45" i="29"/>
  <c r="T45" i="29"/>
  <c r="N45" i="29"/>
  <c r="M45" i="29"/>
  <c r="P45" i="29"/>
  <c r="U44" i="29"/>
  <c r="L45" i="29"/>
  <c r="R45" i="29"/>
  <c r="W45" i="29"/>
  <c r="V44" i="29"/>
  <c r="Q45" i="29"/>
  <c r="Z45" i="29" s="1"/>
  <c r="U45" i="29"/>
  <c r="O45" i="29"/>
  <c r="A412" i="30" l="1"/>
  <c r="E33" i="30"/>
  <c r="G33" i="30" s="1"/>
  <c r="B34" i="30"/>
  <c r="AH45" i="29"/>
  <c r="AE45" i="29"/>
  <c r="AD45" i="29"/>
  <c r="AJ45" i="29"/>
  <c r="AG45" i="29"/>
  <c r="AB45" i="29"/>
  <c r="AI45" i="29"/>
  <c r="AF45" i="29"/>
  <c r="AC45" i="29"/>
  <c r="H45" i="29"/>
  <c r="B47" i="29"/>
  <c r="F46" i="29"/>
  <c r="C51" i="29"/>
  <c r="AA45" i="29"/>
  <c r="P46" i="29"/>
  <c r="X45" i="29"/>
  <c r="Y45" i="29"/>
  <c r="M46" i="29"/>
  <c r="L46" i="29"/>
  <c r="S45" i="29"/>
  <c r="Y46" i="29"/>
  <c r="Q46" i="29"/>
  <c r="R46" i="29"/>
  <c r="V45" i="29"/>
  <c r="G46" i="29"/>
  <c r="J46" i="29"/>
  <c r="K46" i="29"/>
  <c r="T46" i="29" s="1"/>
  <c r="O46" i="29"/>
  <c r="N46" i="29"/>
  <c r="E34" i="30" l="1"/>
  <c r="G34" i="30" s="1"/>
  <c r="B35" i="30"/>
  <c r="A413" i="30"/>
  <c r="AE46" i="29"/>
  <c r="AD46" i="29"/>
  <c r="AI46" i="29"/>
  <c r="AH46" i="29"/>
  <c r="AG46" i="29"/>
  <c r="AB46" i="29"/>
  <c r="AJ46" i="29"/>
  <c r="AF46" i="29"/>
  <c r="AC46" i="29"/>
  <c r="H46" i="29"/>
  <c r="B48" i="29"/>
  <c r="F47" i="29"/>
  <c r="C52" i="29"/>
  <c r="X46" i="29"/>
  <c r="R47" i="29"/>
  <c r="S46" i="29"/>
  <c r="L47" i="29"/>
  <c r="V46" i="29"/>
  <c r="J47" i="29"/>
  <c r="AA46" i="29"/>
  <c r="W46" i="29"/>
  <c r="P47" i="29"/>
  <c r="G47" i="29"/>
  <c r="O47" i="29"/>
  <c r="X47" i="29" s="1"/>
  <c r="M47" i="29"/>
  <c r="V47" i="29" s="1"/>
  <c r="N47" i="29"/>
  <c r="W47" i="29" s="1"/>
  <c r="Q47" i="29"/>
  <c r="AA47" i="29"/>
  <c r="U46" i="29"/>
  <c r="K47" i="29"/>
  <c r="T47" i="29" s="1"/>
  <c r="Z46" i="29"/>
  <c r="Y47" i="29"/>
  <c r="E35" i="30" l="1"/>
  <c r="G35" i="30" s="1"/>
  <c r="B36" i="30"/>
  <c r="A414" i="30"/>
  <c r="AH47" i="29"/>
  <c r="AE47" i="29"/>
  <c r="AD47" i="29"/>
  <c r="AJ47" i="29"/>
  <c r="AG47" i="29"/>
  <c r="AB47" i="29"/>
  <c r="AI47" i="29"/>
  <c r="AF47" i="29"/>
  <c r="AC47" i="29"/>
  <c r="H47" i="29"/>
  <c r="B49" i="29"/>
  <c r="F48" i="29"/>
  <c r="C53" i="29"/>
  <c r="N48" i="29"/>
  <c r="K48" i="29"/>
  <c r="T48" i="29"/>
  <c r="S47" i="29"/>
  <c r="R48" i="29"/>
  <c r="Z47" i="29"/>
  <c r="L48" i="29"/>
  <c r="M48" i="29"/>
  <c r="Q48" i="29"/>
  <c r="P48" i="29"/>
  <c r="U47" i="29"/>
  <c r="J48" i="29"/>
  <c r="V48" i="29"/>
  <c r="O48" i="29"/>
  <c r="G48" i="29"/>
  <c r="A415" i="30" l="1"/>
  <c r="E36" i="30"/>
  <c r="G36" i="30" s="1"/>
  <c r="B37" i="30"/>
  <c r="AI48" i="29"/>
  <c r="AE48" i="29"/>
  <c r="AD48" i="29"/>
  <c r="AJ48" i="29"/>
  <c r="AG48" i="29"/>
  <c r="AB48" i="29"/>
  <c r="AH48" i="29"/>
  <c r="AF48" i="29"/>
  <c r="AC48" i="29"/>
  <c r="H48" i="29"/>
  <c r="B50" i="29"/>
  <c r="F49" i="29"/>
  <c r="C54" i="29"/>
  <c r="X48" i="29"/>
  <c r="O49" i="29"/>
  <c r="Z48" i="29"/>
  <c r="G49" i="29"/>
  <c r="K49" i="29"/>
  <c r="N49" i="29"/>
  <c r="M49" i="29"/>
  <c r="U48" i="29"/>
  <c r="AA48" i="29"/>
  <c r="Y48" i="29"/>
  <c r="Q49" i="29"/>
  <c r="W48" i="29"/>
  <c r="L49" i="29"/>
  <c r="J49" i="29"/>
  <c r="P49" i="29"/>
  <c r="Z49" i="29"/>
  <c r="X49" i="29"/>
  <c r="S48" i="29"/>
  <c r="R49" i="29"/>
  <c r="E37" i="30" l="1"/>
  <c r="G37" i="30" s="1"/>
  <c r="B38" i="30"/>
  <c r="A416" i="30"/>
  <c r="AD49" i="29"/>
  <c r="AJ49" i="29"/>
  <c r="AB49" i="29"/>
  <c r="AG49" i="29"/>
  <c r="AI49" i="29"/>
  <c r="AF49" i="29"/>
  <c r="AC49" i="29"/>
  <c r="AH49" i="29"/>
  <c r="AE49" i="29"/>
  <c r="H49" i="29"/>
  <c r="B51" i="29"/>
  <c r="F50" i="29"/>
  <c r="C55" i="29"/>
  <c r="AA49" i="29"/>
  <c r="Q50" i="29"/>
  <c r="Y49" i="29"/>
  <c r="J50" i="29"/>
  <c r="P50" i="29"/>
  <c r="T49" i="29"/>
  <c r="K50" i="29"/>
  <c r="T50" i="29" s="1"/>
  <c r="R50" i="29"/>
  <c r="U49" i="29"/>
  <c r="V49" i="29"/>
  <c r="M50" i="29"/>
  <c r="S49" i="29"/>
  <c r="L50" i="29"/>
  <c r="G50" i="29"/>
  <c r="AA50" i="29"/>
  <c r="N50" i="29"/>
  <c r="W50" i="29" s="1"/>
  <c r="W49" i="29"/>
  <c r="O50" i="29"/>
  <c r="X50" i="29" s="1"/>
  <c r="E38" i="30" l="1"/>
  <c r="G38" i="30" s="1"/>
  <c r="B39" i="30"/>
  <c r="A417" i="30"/>
  <c r="AH50" i="29"/>
  <c r="AE50" i="29"/>
  <c r="AD50" i="29"/>
  <c r="AJ50" i="29"/>
  <c r="AG50" i="29"/>
  <c r="AB50" i="29"/>
  <c r="AI50" i="29"/>
  <c r="AF50" i="29"/>
  <c r="AC50" i="29"/>
  <c r="H50" i="29"/>
  <c r="B52" i="29"/>
  <c r="F51" i="29"/>
  <c r="C56" i="29"/>
  <c r="V50" i="29"/>
  <c r="M51" i="29"/>
  <c r="L51" i="29"/>
  <c r="R51" i="29"/>
  <c r="Y50" i="29"/>
  <c r="Q51" i="29"/>
  <c r="J51" i="29"/>
  <c r="N51" i="29"/>
  <c r="U50" i="29"/>
  <c r="V51" i="29"/>
  <c r="G51" i="29"/>
  <c r="Z50" i="29"/>
  <c r="S50" i="29"/>
  <c r="O51" i="29"/>
  <c r="K51" i="29"/>
  <c r="T51" i="29" s="1"/>
  <c r="P51" i="29"/>
  <c r="Y51" i="29" s="1"/>
  <c r="X51" i="29"/>
  <c r="E39" i="30" l="1"/>
  <c r="G39" i="30" s="1"/>
  <c r="B40" i="30"/>
  <c r="A418" i="30"/>
  <c r="AH51" i="29"/>
  <c r="AE51" i="29"/>
  <c r="AD51" i="29"/>
  <c r="AJ51" i="29"/>
  <c r="AG51" i="29"/>
  <c r="AB51" i="29"/>
  <c r="AI51" i="29"/>
  <c r="AF51" i="29"/>
  <c r="AC51" i="29"/>
  <c r="H51" i="29"/>
  <c r="B53" i="29"/>
  <c r="F52" i="29"/>
  <c r="C57" i="29"/>
  <c r="AA51" i="29"/>
  <c r="J52" i="29"/>
  <c r="O52" i="29"/>
  <c r="X52" i="29" s="1"/>
  <c r="R52" i="29"/>
  <c r="AA52" i="29" s="1"/>
  <c r="K52" i="29"/>
  <c r="G52" i="29"/>
  <c r="Q52" i="29"/>
  <c r="T52" i="29"/>
  <c r="U51" i="29"/>
  <c r="M52" i="29"/>
  <c r="V52" i="29" s="1"/>
  <c r="S51" i="29"/>
  <c r="W51" i="29"/>
  <c r="N52" i="29"/>
  <c r="P52" i="29"/>
  <c r="Z51" i="29"/>
  <c r="L52" i="29"/>
  <c r="E40" i="30" l="1"/>
  <c r="G40" i="30" s="1"/>
  <c r="B41" i="30"/>
  <c r="A419" i="30"/>
  <c r="AJ52" i="29"/>
  <c r="AE52" i="29"/>
  <c r="AD52" i="29"/>
  <c r="AI52" i="29"/>
  <c r="AG52" i="29"/>
  <c r="AB52" i="29"/>
  <c r="AH52" i="29"/>
  <c r="AF52" i="29"/>
  <c r="AC52" i="29"/>
  <c r="H52" i="29"/>
  <c r="B54" i="29"/>
  <c r="F53" i="29"/>
  <c r="C58" i="29"/>
  <c r="W52" i="29"/>
  <c r="M53" i="29"/>
  <c r="P53" i="29"/>
  <c r="G53" i="29"/>
  <c r="Y53" i="29"/>
  <c r="Z52" i="29"/>
  <c r="V53" i="29"/>
  <c r="S52" i="29"/>
  <c r="K53" i="29"/>
  <c r="L53" i="29"/>
  <c r="J53" i="29"/>
  <c r="R53" i="29"/>
  <c r="AA53" i="29" s="1"/>
  <c r="N53" i="29"/>
  <c r="U52" i="29"/>
  <c r="O53" i="29"/>
  <c r="X53" i="29" s="1"/>
  <c r="Q53" i="29"/>
  <c r="Y52" i="29"/>
  <c r="A420" i="30" l="1"/>
  <c r="E41" i="30"/>
  <c r="G41" i="30" s="1"/>
  <c r="B42" i="30"/>
  <c r="AH53" i="29"/>
  <c r="AE53" i="29"/>
  <c r="AD53" i="29"/>
  <c r="AJ53" i="29"/>
  <c r="AG53" i="29"/>
  <c r="AB53" i="29"/>
  <c r="AI53" i="29"/>
  <c r="AF53" i="29"/>
  <c r="AC53" i="29"/>
  <c r="H53" i="29"/>
  <c r="B55" i="29"/>
  <c r="F54" i="29"/>
  <c r="C59" i="29"/>
  <c r="W53" i="29"/>
  <c r="T53" i="29"/>
  <c r="Q54" i="29"/>
  <c r="U53" i="29"/>
  <c r="S53" i="29"/>
  <c r="P54" i="29"/>
  <c r="Z53" i="29"/>
  <c r="N54" i="29"/>
  <c r="O54" i="29"/>
  <c r="X54" i="29" s="1"/>
  <c r="R54" i="29"/>
  <c r="Z54" i="29"/>
  <c r="M54" i="29"/>
  <c r="V54" i="29" s="1"/>
  <c r="E42" i="30" l="1"/>
  <c r="G42" i="30" s="1"/>
  <c r="B43" i="30"/>
  <c r="A421" i="30"/>
  <c r="AI54" i="29"/>
  <c r="AE54" i="29"/>
  <c r="AD54" i="29"/>
  <c r="AH54" i="29"/>
  <c r="AG54" i="29"/>
  <c r="AB54" i="29"/>
  <c r="AJ54" i="29"/>
  <c r="AF54" i="29"/>
  <c r="AC54" i="29"/>
  <c r="H54" i="29"/>
  <c r="B56" i="29"/>
  <c r="F55" i="29"/>
  <c r="C60" i="29"/>
  <c r="W54" i="29"/>
  <c r="P55" i="29"/>
  <c r="L55" i="29"/>
  <c r="Y54" i="29"/>
  <c r="J55" i="29"/>
  <c r="O55" i="29"/>
  <c r="X55" i="29" s="1"/>
  <c r="K55" i="29"/>
  <c r="R55" i="29"/>
  <c r="N55" i="29"/>
  <c r="Q55" i="29"/>
  <c r="Y55" i="29"/>
  <c r="AA54" i="29"/>
  <c r="M55" i="29"/>
  <c r="U54" i="29"/>
  <c r="T54" i="29"/>
  <c r="S54" i="29"/>
  <c r="A422" i="30" l="1"/>
  <c r="E43" i="30"/>
  <c r="G43" i="30" s="1"/>
  <c r="B44" i="30"/>
  <c r="AH55" i="29"/>
  <c r="AE55" i="29"/>
  <c r="AD55" i="29"/>
  <c r="AJ55" i="29"/>
  <c r="AG55" i="29"/>
  <c r="AB55" i="29"/>
  <c r="AI55" i="29"/>
  <c r="AF55" i="29"/>
  <c r="AC55" i="29"/>
  <c r="H55" i="29"/>
  <c r="B57" i="29"/>
  <c r="F56" i="29"/>
  <c r="C61" i="29"/>
  <c r="V55" i="29"/>
  <c r="P56" i="29"/>
  <c r="U55" i="29"/>
  <c r="O56" i="29"/>
  <c r="X56" i="29" s="1"/>
  <c r="W55" i="29"/>
  <c r="Z55" i="29"/>
  <c r="L56" i="29"/>
  <c r="J56" i="29"/>
  <c r="N56" i="29"/>
  <c r="AA55" i="29"/>
  <c r="M56" i="29"/>
  <c r="V56" i="29" s="1"/>
  <c r="T55" i="29"/>
  <c r="S55" i="29"/>
  <c r="K56" i="29"/>
  <c r="Q56" i="29"/>
  <c r="Z56" i="29" s="1"/>
  <c r="R56" i="29"/>
  <c r="AA56" i="29" s="1"/>
  <c r="E44" i="30" l="1"/>
  <c r="G44" i="30" s="1"/>
  <c r="B45" i="30"/>
  <c r="A423" i="30"/>
  <c r="AI56" i="29"/>
  <c r="AE56" i="29"/>
  <c r="AD56" i="29"/>
  <c r="AJ56" i="29"/>
  <c r="AG56" i="29"/>
  <c r="AB56" i="29"/>
  <c r="AH56" i="29"/>
  <c r="AF56" i="29"/>
  <c r="AC56" i="29"/>
  <c r="H56" i="29"/>
  <c r="B58" i="29"/>
  <c r="F57" i="29"/>
  <c r="C62" i="29"/>
  <c r="T56" i="29"/>
  <c r="W56" i="29"/>
  <c r="N57" i="29"/>
  <c r="Q57" i="29"/>
  <c r="O57" i="29"/>
  <c r="P57" i="29"/>
  <c r="J57" i="29"/>
  <c r="R57" i="29"/>
  <c r="S56" i="29"/>
  <c r="M57" i="29"/>
  <c r="V57" i="29"/>
  <c r="L57" i="29"/>
  <c r="U57" i="29" s="1"/>
  <c r="Y56" i="29"/>
  <c r="K57" i="29"/>
  <c r="T57" i="29"/>
  <c r="U56" i="29"/>
  <c r="A424" i="30" l="1"/>
  <c r="E45" i="30"/>
  <c r="G45" i="30" s="1"/>
  <c r="B46" i="30"/>
  <c r="AD57" i="29"/>
  <c r="AG57" i="29"/>
  <c r="AB57" i="29"/>
  <c r="AI57" i="29"/>
  <c r="AC57" i="29"/>
  <c r="AJ57" i="29"/>
  <c r="AF57" i="29"/>
  <c r="AH57" i="29"/>
  <c r="AE57" i="29"/>
  <c r="H57" i="29"/>
  <c r="B59" i="29"/>
  <c r="F58" i="29"/>
  <c r="C63" i="29"/>
  <c r="Y57" i="29"/>
  <c r="Z57" i="29"/>
  <c r="O58" i="29"/>
  <c r="AA57" i="29"/>
  <c r="P58" i="29"/>
  <c r="N58" i="29"/>
  <c r="S57" i="29"/>
  <c r="Q58" i="29"/>
  <c r="Y58" i="29"/>
  <c r="W57" i="29"/>
  <c r="M58" i="29"/>
  <c r="J58" i="29"/>
  <c r="X57" i="29"/>
  <c r="R58" i="29"/>
  <c r="AA58" i="29" s="1"/>
  <c r="K58" i="29"/>
  <c r="T58" i="29" s="1"/>
  <c r="L58" i="29"/>
  <c r="V58" i="29"/>
  <c r="X58" i="29"/>
  <c r="E46" i="30" l="1"/>
  <c r="G46" i="30" s="1"/>
  <c r="B47" i="30"/>
  <c r="A425" i="30"/>
  <c r="AH58" i="29"/>
  <c r="AE58" i="29"/>
  <c r="AD58" i="29"/>
  <c r="AJ58" i="29"/>
  <c r="AG58" i="29"/>
  <c r="AB58" i="29"/>
  <c r="AI58" i="29"/>
  <c r="AF58" i="29"/>
  <c r="AC58" i="29"/>
  <c r="H58" i="29"/>
  <c r="B60" i="29"/>
  <c r="F59" i="29"/>
  <c r="C64" i="29"/>
  <c r="J59" i="29"/>
  <c r="K59" i="29"/>
  <c r="N59" i="29"/>
  <c r="S58" i="29"/>
  <c r="L59" i="29"/>
  <c r="Q59" i="29"/>
  <c r="Z59" i="29" s="1"/>
  <c r="O59" i="29"/>
  <c r="M59" i="29"/>
  <c r="R59" i="29"/>
  <c r="U58" i="29"/>
  <c r="W59" i="29"/>
  <c r="P59" i="29"/>
  <c r="Y59" i="29" s="1"/>
  <c r="U59" i="29"/>
  <c r="W58" i="29"/>
  <c r="Z58" i="29"/>
  <c r="E47" i="30" l="1"/>
  <c r="G47" i="30" s="1"/>
  <c r="B48" i="30"/>
  <c r="A426" i="30"/>
  <c r="AF59" i="29"/>
  <c r="AH59" i="29"/>
  <c r="AE59" i="29"/>
  <c r="AD59" i="29"/>
  <c r="AI59" i="29"/>
  <c r="AC59" i="29"/>
  <c r="AJ59" i="29"/>
  <c r="AG59" i="29"/>
  <c r="AB59" i="29"/>
  <c r="H59" i="29"/>
  <c r="B61" i="29"/>
  <c r="F60" i="29"/>
  <c r="C65" i="29"/>
  <c r="X59" i="29"/>
  <c r="V59" i="29"/>
  <c r="L60" i="29"/>
  <c r="Q60" i="29"/>
  <c r="O60" i="29"/>
  <c r="S59" i="29"/>
  <c r="R60" i="29"/>
  <c r="AA60" i="29" s="1"/>
  <c r="J60" i="29"/>
  <c r="N60" i="29"/>
  <c r="P60" i="29"/>
  <c r="Z60" i="29"/>
  <c r="T59" i="29"/>
  <c r="AA59" i="29"/>
  <c r="Y60" i="29"/>
  <c r="M60" i="29"/>
  <c r="V60" i="29" s="1"/>
  <c r="K60" i="29"/>
  <c r="W60" i="29"/>
  <c r="A427" i="30" l="1"/>
  <c r="E48" i="30"/>
  <c r="G48" i="30" s="1"/>
  <c r="B49" i="30"/>
  <c r="AH60" i="29"/>
  <c r="AC60" i="29"/>
  <c r="AD60" i="29"/>
  <c r="AF60" i="29"/>
  <c r="AJ60" i="29"/>
  <c r="AE60" i="29"/>
  <c r="AI60" i="29"/>
  <c r="AG60" i="29"/>
  <c r="AB60" i="29"/>
  <c r="H60" i="29"/>
  <c r="B62" i="29"/>
  <c r="F61" i="29"/>
  <c r="C66" i="29"/>
  <c r="T60" i="29"/>
  <c r="U60" i="29"/>
  <c r="X60" i="29"/>
  <c r="M61" i="29"/>
  <c r="R61" i="29"/>
  <c r="K61" i="29"/>
  <c r="L61" i="29"/>
  <c r="S60" i="29"/>
  <c r="P61" i="29"/>
  <c r="N61" i="29"/>
  <c r="T61" i="29"/>
  <c r="Y61" i="29"/>
  <c r="O61" i="29"/>
  <c r="X61" i="29" s="1"/>
  <c r="J61" i="29"/>
  <c r="V61" i="29"/>
  <c r="Q61" i="29"/>
  <c r="E49" i="30" l="1"/>
  <c r="G49" i="30" s="1"/>
  <c r="B50" i="30"/>
  <c r="A428" i="30"/>
  <c r="AH61" i="29"/>
  <c r="AE61" i="29"/>
  <c r="AD61" i="29"/>
  <c r="AJ61" i="29"/>
  <c r="AG61" i="29"/>
  <c r="AB61" i="29"/>
  <c r="AI61" i="29"/>
  <c r="AF61" i="29"/>
  <c r="AC61" i="29"/>
  <c r="H61" i="29"/>
  <c r="B63" i="29"/>
  <c r="F62" i="29"/>
  <c r="C67" i="29"/>
  <c r="W61" i="29"/>
  <c r="R62" i="29"/>
  <c r="J62" i="29"/>
  <c r="AA61" i="29"/>
  <c r="M62" i="29"/>
  <c r="Q62" i="29"/>
  <c r="Z61" i="29"/>
  <c r="O62" i="29"/>
  <c r="P62" i="29"/>
  <c r="S61" i="29"/>
  <c r="L62" i="29"/>
  <c r="K62" i="29"/>
  <c r="T62" i="29" s="1"/>
  <c r="Y62" i="29"/>
  <c r="N62" i="29"/>
  <c r="U61" i="29"/>
  <c r="A429" i="30" l="1"/>
  <c r="B51" i="30"/>
  <c r="E50" i="30"/>
  <c r="G50" i="30" s="1"/>
  <c r="AI62" i="29"/>
  <c r="AE62" i="29"/>
  <c r="AD62" i="29"/>
  <c r="AH62" i="29"/>
  <c r="AG62" i="29"/>
  <c r="AB62" i="29"/>
  <c r="AJ62" i="29"/>
  <c r="AF62" i="29"/>
  <c r="AC62" i="29"/>
  <c r="H62" i="29"/>
  <c r="B64" i="29"/>
  <c r="F63" i="29"/>
  <c r="C68" i="29"/>
  <c r="X62" i="29"/>
  <c r="N63" i="29"/>
  <c r="L63" i="29"/>
  <c r="K63" i="29"/>
  <c r="S62" i="29"/>
  <c r="J63" i="29"/>
  <c r="O63" i="29"/>
  <c r="Z62" i="29"/>
  <c r="W62" i="29"/>
  <c r="U62" i="29"/>
  <c r="M63" i="29"/>
  <c r="R63" i="29"/>
  <c r="Q63" i="29"/>
  <c r="S63" i="29"/>
  <c r="V62" i="29"/>
  <c r="T63" i="29"/>
  <c r="AA62" i="29"/>
  <c r="P63" i="29"/>
  <c r="E51" i="30" l="1"/>
  <c r="G51" i="30" s="1"/>
  <c r="B52" i="30"/>
  <c r="A430" i="30"/>
  <c r="AH63" i="29"/>
  <c r="AE63" i="29"/>
  <c r="AD63" i="29"/>
  <c r="AJ63" i="29"/>
  <c r="AG63" i="29"/>
  <c r="AB63" i="29"/>
  <c r="AI63" i="29"/>
  <c r="AF63" i="29"/>
  <c r="AC63" i="29"/>
  <c r="H63" i="29"/>
  <c r="B65" i="29"/>
  <c r="F64" i="29"/>
  <c r="C69" i="29"/>
  <c r="Y63" i="29"/>
  <c r="J64" i="29"/>
  <c r="U63" i="29"/>
  <c r="N64" i="29"/>
  <c r="Z63" i="29"/>
  <c r="K64" i="29"/>
  <c r="T64" i="29" s="1"/>
  <c r="R64" i="29"/>
  <c r="AA64" i="29"/>
  <c r="L64" i="29"/>
  <c r="V63" i="29"/>
  <c r="AA63" i="29"/>
  <c r="X63" i="29"/>
  <c r="O64" i="29"/>
  <c r="X64" i="29" s="1"/>
  <c r="Q64" i="29"/>
  <c r="Z64" i="29" s="1"/>
  <c r="P64" i="29"/>
  <c r="W63" i="29"/>
  <c r="M64" i="29"/>
  <c r="V64" i="29" s="1"/>
  <c r="A431" i="30" l="1"/>
  <c r="E52" i="30"/>
  <c r="G52" i="30" s="1"/>
  <c r="B53" i="30"/>
  <c r="AI64" i="29"/>
  <c r="AE64" i="29"/>
  <c r="AD64" i="29"/>
  <c r="AJ64" i="29"/>
  <c r="AG64" i="29"/>
  <c r="AB64" i="29"/>
  <c r="AH64" i="29"/>
  <c r="AF64" i="29"/>
  <c r="AC64" i="29"/>
  <c r="H64" i="29"/>
  <c r="B66" i="29"/>
  <c r="F65" i="29"/>
  <c r="C70" i="29"/>
  <c r="W64" i="29"/>
  <c r="Q65" i="29"/>
  <c r="L65" i="29"/>
  <c r="O65" i="29"/>
  <c r="J65" i="29"/>
  <c r="X65" i="29"/>
  <c r="U64" i="29"/>
  <c r="P65" i="29"/>
  <c r="M65" i="29"/>
  <c r="V65" i="29" s="1"/>
  <c r="Y64" i="29"/>
  <c r="K65" i="29"/>
  <c r="T65" i="29" s="1"/>
  <c r="R65" i="29"/>
  <c r="S64" i="29"/>
  <c r="N65" i="29"/>
  <c r="E53" i="30" l="1"/>
  <c r="G53" i="30" s="1"/>
  <c r="B54" i="30"/>
  <c r="A432" i="30"/>
  <c r="AE65" i="29"/>
  <c r="AD65" i="29"/>
  <c r="AH65" i="29"/>
  <c r="AJ65" i="29"/>
  <c r="AG65" i="29"/>
  <c r="AB65" i="29"/>
  <c r="AI65" i="29"/>
  <c r="AF65" i="29"/>
  <c r="AC65" i="29"/>
  <c r="H65" i="29"/>
  <c r="B67" i="29"/>
  <c r="F66" i="29"/>
  <c r="C71" i="29"/>
  <c r="W65" i="29"/>
  <c r="Y65" i="29"/>
  <c r="U65" i="29"/>
  <c r="Q66" i="29"/>
  <c r="AA65" i="29"/>
  <c r="O66" i="29"/>
  <c r="M66" i="29"/>
  <c r="V66" i="29" s="1"/>
  <c r="K66" i="29"/>
  <c r="T66" i="29" s="1"/>
  <c r="J66" i="29"/>
  <c r="P66" i="29"/>
  <c r="Z65" i="29"/>
  <c r="S65" i="29"/>
  <c r="X66" i="29"/>
  <c r="R66" i="29"/>
  <c r="AA66" i="29" s="1"/>
  <c r="Y66" i="29"/>
  <c r="N66" i="29"/>
  <c r="L66" i="29"/>
  <c r="A433" i="30" l="1"/>
  <c r="E54" i="30"/>
  <c r="G54" i="30" s="1"/>
  <c r="B55" i="30"/>
  <c r="AE66" i="29"/>
  <c r="AD66" i="29"/>
  <c r="AB66" i="29"/>
  <c r="AJ66" i="29"/>
  <c r="AG66" i="29"/>
  <c r="AI66" i="29"/>
  <c r="AF66" i="29"/>
  <c r="AC66" i="29"/>
  <c r="AH66" i="29"/>
  <c r="H66" i="29"/>
  <c r="B68" i="29"/>
  <c r="F67" i="29"/>
  <c r="C72" i="29"/>
  <c r="P67" i="29"/>
  <c r="N67" i="29"/>
  <c r="M67" i="29"/>
  <c r="S66" i="29"/>
  <c r="Q67" i="29"/>
  <c r="W66" i="29"/>
  <c r="K67" i="29"/>
  <c r="T67" i="29" s="1"/>
  <c r="Y67" i="29"/>
  <c r="U66" i="29"/>
  <c r="V67" i="29"/>
  <c r="O67" i="29"/>
  <c r="R67" i="29"/>
  <c r="AA67" i="29" s="1"/>
  <c r="L67" i="29"/>
  <c r="X67" i="29"/>
  <c r="J67" i="29"/>
  <c r="Z66" i="29"/>
  <c r="E55" i="30" l="1"/>
  <c r="G55" i="30" s="1"/>
  <c r="B56" i="30"/>
  <c r="A434" i="30"/>
  <c r="AH67" i="29"/>
  <c r="AE67" i="29"/>
  <c r="AD67" i="29"/>
  <c r="AJ67" i="29"/>
  <c r="AG67" i="29"/>
  <c r="AB67" i="29"/>
  <c r="AI67" i="29"/>
  <c r="AF67" i="29"/>
  <c r="AC67" i="29"/>
  <c r="H67" i="29"/>
  <c r="B69" i="29"/>
  <c r="F68" i="29"/>
  <c r="C73" i="29"/>
  <c r="W67" i="29"/>
  <c r="L68" i="29"/>
  <c r="J68" i="29"/>
  <c r="U67" i="29"/>
  <c r="M68" i="29"/>
  <c r="V68" i="29" s="1"/>
  <c r="S67" i="29"/>
  <c r="N68" i="29"/>
  <c r="W68" i="29"/>
  <c r="K68" i="29"/>
  <c r="Q68" i="29"/>
  <c r="O68" i="29"/>
  <c r="X68" i="29" s="1"/>
  <c r="P68" i="29"/>
  <c r="Z67" i="29"/>
  <c r="R68" i="29"/>
  <c r="AA68" i="29"/>
  <c r="A435" i="30" l="1"/>
  <c r="E56" i="30"/>
  <c r="G56" i="30" s="1"/>
  <c r="B57" i="30"/>
  <c r="AJ68" i="29"/>
  <c r="AE68" i="29"/>
  <c r="AD68" i="29"/>
  <c r="AI68" i="29"/>
  <c r="AG68" i="29"/>
  <c r="AB68" i="29"/>
  <c r="AH68" i="29"/>
  <c r="AF68" i="29"/>
  <c r="AC68" i="29"/>
  <c r="H68" i="29"/>
  <c r="B70" i="29"/>
  <c r="F69" i="29"/>
  <c r="C74" i="29"/>
  <c r="Z68" i="29"/>
  <c r="M69" i="29"/>
  <c r="K69" i="29"/>
  <c r="T68" i="29"/>
  <c r="V69" i="29"/>
  <c r="U68" i="29"/>
  <c r="J69" i="29"/>
  <c r="Y68" i="29"/>
  <c r="R69" i="29"/>
  <c r="O69" i="29"/>
  <c r="X69" i="29" s="1"/>
  <c r="N69" i="29"/>
  <c r="P69" i="29"/>
  <c r="Q69" i="29"/>
  <c r="Y69" i="29"/>
  <c r="S68" i="29"/>
  <c r="L69" i="29"/>
  <c r="E57" i="30" l="1"/>
  <c r="G57" i="30" s="1"/>
  <c r="B58" i="30"/>
  <c r="A436" i="30"/>
  <c r="AH69" i="29"/>
  <c r="AE69" i="29"/>
  <c r="AD69" i="29"/>
  <c r="AJ69" i="29"/>
  <c r="AG69" i="29"/>
  <c r="AB69" i="29"/>
  <c r="AI69" i="29"/>
  <c r="AF69" i="29"/>
  <c r="AC69" i="29"/>
  <c r="H69" i="29"/>
  <c r="B71" i="29"/>
  <c r="F70" i="29"/>
  <c r="C75" i="29"/>
  <c r="W69" i="29"/>
  <c r="U69" i="29"/>
  <c r="T69" i="29"/>
  <c r="L70" i="29"/>
  <c r="Z69" i="29"/>
  <c r="M70" i="29"/>
  <c r="J70" i="29"/>
  <c r="P70" i="29"/>
  <c r="S69" i="29"/>
  <c r="N70" i="29"/>
  <c r="Q70" i="29"/>
  <c r="K70" i="29"/>
  <c r="T70" i="29" s="1"/>
  <c r="R70" i="29"/>
  <c r="Y70" i="29"/>
  <c r="V70" i="29"/>
  <c r="AA69" i="29"/>
  <c r="O70" i="29"/>
  <c r="X70" i="29" s="1"/>
  <c r="A437" i="30" l="1"/>
  <c r="E58" i="30"/>
  <c r="G58" i="30" s="1"/>
  <c r="B59" i="30"/>
  <c r="AH70" i="29"/>
  <c r="AE70" i="29"/>
  <c r="AD70" i="29"/>
  <c r="AI70" i="29"/>
  <c r="AG70" i="29"/>
  <c r="AB70" i="29"/>
  <c r="AJ70" i="29"/>
  <c r="AF70" i="29"/>
  <c r="AC70" i="29"/>
  <c r="H70" i="29"/>
  <c r="B72" i="29"/>
  <c r="F71" i="29"/>
  <c r="C76" i="29"/>
  <c r="Z70" i="29"/>
  <c r="O71" i="29"/>
  <c r="S70" i="29"/>
  <c r="W70" i="29"/>
  <c r="N71" i="29"/>
  <c r="X71" i="29"/>
  <c r="U70" i="29"/>
  <c r="L71" i="29"/>
  <c r="Q71" i="29"/>
  <c r="R71" i="29"/>
  <c r="J71" i="29"/>
  <c r="K71" i="29"/>
  <c r="T71" i="29" s="1"/>
  <c r="M71" i="29"/>
  <c r="P71" i="29"/>
  <c r="Y71" i="29"/>
  <c r="V71" i="29"/>
  <c r="AA70" i="29"/>
  <c r="E59" i="30" l="1"/>
  <c r="G59" i="30" s="1"/>
  <c r="B60" i="30"/>
  <c r="A438" i="30"/>
  <c r="AH71" i="29"/>
  <c r="AE71" i="29"/>
  <c r="AD71" i="29"/>
  <c r="AJ71" i="29"/>
  <c r="AG71" i="29"/>
  <c r="AB71" i="29"/>
  <c r="AI71" i="29"/>
  <c r="AF71" i="29"/>
  <c r="AC71" i="29"/>
  <c r="H71" i="29"/>
  <c r="B73" i="29"/>
  <c r="F72" i="29"/>
  <c r="C77" i="29"/>
  <c r="AA71" i="29"/>
  <c r="U71" i="29"/>
  <c r="W71" i="29"/>
  <c r="O72" i="29"/>
  <c r="X72" i="29"/>
  <c r="M72" i="29"/>
  <c r="Z71" i="29"/>
  <c r="S71" i="29"/>
  <c r="V72" i="29"/>
  <c r="P72" i="29"/>
  <c r="K72" i="29"/>
  <c r="T72" i="29" s="1"/>
  <c r="L72" i="29"/>
  <c r="U72" i="29" s="1"/>
  <c r="N72" i="29"/>
  <c r="R72" i="29"/>
  <c r="AA72" i="29" s="1"/>
  <c r="Q72" i="29"/>
  <c r="J72" i="29"/>
  <c r="E60" i="30" l="1"/>
  <c r="G60" i="30" s="1"/>
  <c r="B61" i="30"/>
  <c r="A439" i="30"/>
  <c r="AE72" i="29"/>
  <c r="AD72" i="29"/>
  <c r="AI72" i="29"/>
  <c r="AJ72" i="29"/>
  <c r="AG72" i="29"/>
  <c r="AB72" i="29"/>
  <c r="AH72" i="29"/>
  <c r="AF72" i="29"/>
  <c r="AC72" i="29"/>
  <c r="H72" i="29"/>
  <c r="B74" i="29"/>
  <c r="F73" i="29"/>
  <c r="W72" i="29"/>
  <c r="P73" i="29"/>
  <c r="S72" i="29"/>
  <c r="L73" i="29"/>
  <c r="M73" i="29"/>
  <c r="V73" i="29" s="1"/>
  <c r="N73" i="29"/>
  <c r="K73" i="29"/>
  <c r="T73" i="29" s="1"/>
  <c r="J73" i="29"/>
  <c r="R73" i="29"/>
  <c r="Z72" i="29"/>
  <c r="Q73" i="29"/>
  <c r="Z73" i="29" s="1"/>
  <c r="Y73" i="29"/>
  <c r="O73" i="29"/>
  <c r="X73" i="29" s="1"/>
  <c r="Y72" i="29"/>
  <c r="E61" i="30" l="1"/>
  <c r="G61" i="30" s="1"/>
  <c r="B62" i="30"/>
  <c r="A440" i="30"/>
  <c r="AI73" i="29"/>
  <c r="AF73" i="29"/>
  <c r="AC73" i="29"/>
  <c r="AH73" i="29"/>
  <c r="AE73" i="29"/>
  <c r="AD73" i="29"/>
  <c r="AJ73" i="29"/>
  <c r="AG73" i="29"/>
  <c r="AB73" i="29"/>
  <c r="B75" i="29"/>
  <c r="F74" i="29"/>
  <c r="H73" i="29"/>
  <c r="AA73" i="29"/>
  <c r="S73" i="29"/>
  <c r="W73" i="29"/>
  <c r="K74" i="29"/>
  <c r="M74" i="29"/>
  <c r="U73" i="29"/>
  <c r="N74" i="29"/>
  <c r="P74" i="29"/>
  <c r="L74" i="29"/>
  <c r="J74" i="29"/>
  <c r="R74" i="29"/>
  <c r="O74" i="29"/>
  <c r="V74" i="29"/>
  <c r="Q74" i="29"/>
  <c r="X74" i="29"/>
  <c r="A441" i="30" l="1"/>
  <c r="E62" i="30"/>
  <c r="G62" i="30" s="1"/>
  <c r="B63" i="30"/>
  <c r="AF74" i="29"/>
  <c r="AC74" i="29"/>
  <c r="AI74" i="29"/>
  <c r="AE74" i="29"/>
  <c r="AH74" i="29"/>
  <c r="AD74" i="29"/>
  <c r="AJ74" i="29"/>
  <c r="AG74" i="29"/>
  <c r="AB74" i="29"/>
  <c r="B76" i="29"/>
  <c r="F75" i="29"/>
  <c r="H74" i="29"/>
  <c r="AA74" i="29"/>
  <c r="R75" i="29"/>
  <c r="Y74" i="29"/>
  <c r="AA75" i="29"/>
  <c r="Z74" i="29"/>
  <c r="W74" i="29"/>
  <c r="P75" i="29"/>
  <c r="S74" i="29"/>
  <c r="T74" i="29"/>
  <c r="U74" i="29"/>
  <c r="Q75" i="29"/>
  <c r="Z75" i="29" s="1"/>
  <c r="M75" i="29"/>
  <c r="K75" i="29"/>
  <c r="L75" i="29"/>
  <c r="N75" i="29"/>
  <c r="J75" i="29"/>
  <c r="O75" i="29"/>
  <c r="E63" i="30" l="1"/>
  <c r="G63" i="30" s="1"/>
  <c r="B64" i="30"/>
  <c r="A442" i="30"/>
  <c r="AF75" i="29"/>
  <c r="AC75" i="29"/>
  <c r="AH75" i="29"/>
  <c r="AE75" i="29"/>
  <c r="AI75" i="29"/>
  <c r="AD75" i="29"/>
  <c r="AJ75" i="29"/>
  <c r="AG75" i="29"/>
  <c r="AB75" i="29"/>
  <c r="B77" i="29"/>
  <c r="F76" i="29"/>
  <c r="H75" i="29"/>
  <c r="X75" i="29"/>
  <c r="Q76" i="29"/>
  <c r="W75" i="29"/>
  <c r="O76" i="29"/>
  <c r="T75" i="29"/>
  <c r="J76" i="29"/>
  <c r="Y75" i="29"/>
  <c r="R76" i="29"/>
  <c r="S75" i="29"/>
  <c r="M76" i="29"/>
  <c r="U75" i="29"/>
  <c r="P76" i="29"/>
  <c r="Y76" i="29" s="1"/>
  <c r="N76" i="29"/>
  <c r="W76" i="29" s="1"/>
  <c r="K76" i="29"/>
  <c r="V76" i="29"/>
  <c r="V75" i="29"/>
  <c r="L76" i="29"/>
  <c r="A443" i="30" l="1"/>
  <c r="E64" i="30"/>
  <c r="G64" i="30" s="1"/>
  <c r="B65" i="30"/>
  <c r="F77" i="29"/>
  <c r="H77" i="29" s="1"/>
  <c r="AD76" i="29"/>
  <c r="AI76" i="29"/>
  <c r="AG76" i="29"/>
  <c r="AB76" i="29"/>
  <c r="AH76" i="29"/>
  <c r="AF76" i="29"/>
  <c r="AC76" i="29"/>
  <c r="AJ76" i="29"/>
  <c r="AE76" i="29"/>
  <c r="H76" i="29"/>
  <c r="T76" i="29"/>
  <c r="N77" i="29"/>
  <c r="P77" i="29"/>
  <c r="M77" i="29"/>
  <c r="Y77" i="29"/>
  <c r="AA76" i="29"/>
  <c r="O77" i="29"/>
  <c r="X77" i="29"/>
  <c r="R77" i="29"/>
  <c r="J77" i="29"/>
  <c r="S76" i="29"/>
  <c r="X76" i="29"/>
  <c r="U76" i="29"/>
  <c r="S77" i="29"/>
  <c r="K77" i="29"/>
  <c r="Z76" i="29"/>
  <c r="L77" i="29"/>
  <c r="U77" i="29" s="1"/>
  <c r="Q77" i="29"/>
  <c r="Z77" i="29" s="1"/>
  <c r="B66" i="30" l="1"/>
  <c r="E65" i="30"/>
  <c r="G65" i="30" s="1"/>
  <c r="A444" i="30"/>
  <c r="AB77" i="29"/>
  <c r="AC77" i="29"/>
  <c r="AJ77" i="29"/>
  <c r="AG77" i="29"/>
  <c r="AF77" i="29"/>
  <c r="AI77" i="29"/>
  <c r="AD77" i="29"/>
  <c r="AE77" i="29"/>
  <c r="AH77" i="29"/>
  <c r="AA77" i="29"/>
  <c r="V77" i="29"/>
  <c r="T77" i="29"/>
  <c r="W77" i="29"/>
  <c r="A445" i="30" l="1"/>
  <c r="B67" i="30"/>
  <c r="E66" i="30"/>
  <c r="G66" i="30" s="1"/>
  <c r="B68" i="30" l="1"/>
  <c r="E67" i="30"/>
  <c r="G67" i="30" s="1"/>
  <c r="A446" i="30"/>
  <c r="A447" i="30" l="1"/>
  <c r="B69" i="30"/>
  <c r="E68" i="30"/>
  <c r="G68" i="30" s="1"/>
  <c r="E69" i="30" l="1"/>
  <c r="G69" i="30" s="1"/>
  <c r="B70" i="30"/>
  <c r="A448" i="30"/>
  <c r="A449" i="30" l="1"/>
  <c r="B71" i="30"/>
  <c r="E70" i="30"/>
  <c r="G70" i="30" s="1"/>
  <c r="B72" i="30" l="1"/>
  <c r="E71" i="30"/>
  <c r="G71" i="30" s="1"/>
  <c r="A450" i="30"/>
  <c r="A451" i="30" l="1"/>
  <c r="E72" i="30"/>
  <c r="G72" i="30" s="1"/>
  <c r="B73" i="30"/>
  <c r="B74" i="30" l="1"/>
  <c r="E73" i="30"/>
  <c r="G73" i="30" s="1"/>
  <c r="A452" i="30"/>
  <c r="A453" i="30" l="1"/>
  <c r="E74" i="30"/>
  <c r="G74" i="30" s="1"/>
  <c r="B75" i="30"/>
  <c r="B76" i="30" l="1"/>
  <c r="E75" i="30"/>
  <c r="G75" i="30" s="1"/>
  <c r="A454" i="30"/>
  <c r="A455" i="30" l="1"/>
  <c r="B77" i="30"/>
  <c r="E76" i="30"/>
  <c r="G76" i="30" s="1"/>
  <c r="B78" i="30" l="1"/>
  <c r="E77" i="30"/>
  <c r="G77" i="30" s="1"/>
  <c r="A456" i="30"/>
  <c r="A457" i="30" l="1"/>
  <c r="B79" i="30"/>
  <c r="E78" i="30"/>
  <c r="G78" i="30" s="1"/>
  <c r="E79" i="30" l="1"/>
  <c r="G79" i="30" s="1"/>
  <c r="B80" i="30"/>
  <c r="A458" i="30"/>
  <c r="A459" i="30" l="1"/>
  <c r="E80" i="30"/>
  <c r="G80" i="30" s="1"/>
  <c r="B81" i="30"/>
  <c r="E81" i="30" l="1"/>
  <c r="G81" i="30" s="1"/>
  <c r="B82" i="30"/>
  <c r="A460" i="30"/>
  <c r="A461" i="30" l="1"/>
  <c r="E82" i="30"/>
  <c r="G82" i="30" s="1"/>
  <c r="B83" i="30"/>
  <c r="E83" i="30" l="1"/>
  <c r="G83" i="30" s="1"/>
  <c r="B84" i="30"/>
  <c r="A462" i="30"/>
  <c r="A463" i="30" l="1"/>
  <c r="E84" i="30"/>
  <c r="G84" i="30" s="1"/>
  <c r="B85" i="30"/>
  <c r="B86" i="30" l="1"/>
  <c r="E85" i="30"/>
  <c r="G85" i="30" s="1"/>
  <c r="A464" i="30"/>
  <c r="A465" i="30" l="1"/>
  <c r="E86" i="30"/>
  <c r="G86" i="30" s="1"/>
  <c r="B87" i="30"/>
  <c r="B88" i="30" l="1"/>
  <c r="E87" i="30"/>
  <c r="G87" i="30" s="1"/>
  <c r="A466" i="30"/>
  <c r="A467" i="30" l="1"/>
  <c r="B89" i="30"/>
  <c r="E88" i="30"/>
  <c r="G88" i="30" s="1"/>
  <c r="B90" i="30" l="1"/>
  <c r="E89" i="30"/>
  <c r="G89" i="30" s="1"/>
  <c r="A468" i="30"/>
  <c r="A469" i="30" l="1"/>
  <c r="B91" i="30"/>
  <c r="E90" i="30"/>
  <c r="G90" i="30" s="1"/>
  <c r="B92" i="30" l="1"/>
  <c r="E91" i="30"/>
  <c r="G91" i="30" s="1"/>
  <c r="A470" i="30"/>
  <c r="A471" i="30" l="1"/>
  <c r="B93" i="30"/>
  <c r="E92" i="30"/>
  <c r="G92" i="30" s="1"/>
  <c r="B94" i="30" l="1"/>
  <c r="E93" i="30"/>
  <c r="G93" i="30" s="1"/>
  <c r="A472" i="30"/>
  <c r="A473" i="30" l="1"/>
  <c r="B95" i="30"/>
  <c r="E94" i="30"/>
  <c r="G94" i="30" s="1"/>
  <c r="B96" i="30" l="1"/>
  <c r="E95" i="30"/>
  <c r="G95" i="30" s="1"/>
  <c r="A474" i="30"/>
  <c r="A475" i="30" l="1"/>
  <c r="B97" i="30"/>
  <c r="E96" i="30"/>
  <c r="G96" i="30" s="1"/>
  <c r="B98" i="30" l="1"/>
  <c r="E97" i="30"/>
  <c r="G97" i="30" s="1"/>
  <c r="A476" i="30"/>
  <c r="A477" i="30" l="1"/>
  <c r="B99" i="30"/>
  <c r="E98" i="30"/>
  <c r="G98" i="30" s="1"/>
  <c r="B100" i="30" l="1"/>
  <c r="E99" i="30"/>
  <c r="G99" i="30" s="1"/>
  <c r="A478" i="30"/>
  <c r="A479" i="30" l="1"/>
  <c r="B101" i="30"/>
  <c r="E100" i="30"/>
  <c r="G100" i="30" s="1"/>
  <c r="B102" i="30" l="1"/>
  <c r="E101" i="30"/>
  <c r="G101" i="30" s="1"/>
  <c r="A480" i="30"/>
  <c r="A481" i="30" l="1"/>
  <c r="B103" i="30"/>
  <c r="E102" i="30"/>
  <c r="G102" i="30" s="1"/>
  <c r="B104" i="30" l="1"/>
  <c r="E103" i="30"/>
  <c r="G103" i="30" s="1"/>
  <c r="A482" i="30"/>
  <c r="A483" i="30" l="1"/>
  <c r="B105" i="30"/>
  <c r="E104" i="30"/>
  <c r="G104" i="30" s="1"/>
  <c r="B106" i="30" l="1"/>
  <c r="E105" i="30"/>
  <c r="G105" i="30" s="1"/>
  <c r="A484" i="30"/>
  <c r="A485" i="30" l="1"/>
  <c r="B107" i="30"/>
  <c r="E106" i="30"/>
  <c r="G106" i="30" s="1"/>
  <c r="B108" i="30" l="1"/>
  <c r="E107" i="30"/>
  <c r="G107" i="30" s="1"/>
  <c r="A486" i="30"/>
  <c r="A487" i="30" l="1"/>
  <c r="B109" i="30"/>
  <c r="E108" i="30"/>
  <c r="G108" i="30" s="1"/>
  <c r="B110" i="30" l="1"/>
  <c r="E109" i="30"/>
  <c r="G109" i="30" s="1"/>
  <c r="A488" i="30"/>
  <c r="A489" i="30" l="1"/>
  <c r="B111" i="30"/>
  <c r="E110" i="30"/>
  <c r="G110" i="30" s="1"/>
  <c r="B112" i="30" l="1"/>
  <c r="E111" i="30"/>
  <c r="G111" i="30" s="1"/>
  <c r="A490" i="30"/>
  <c r="A491" i="30" l="1"/>
  <c r="B113" i="30"/>
  <c r="E112" i="30"/>
  <c r="G112" i="30" s="1"/>
  <c r="B114" i="30" l="1"/>
  <c r="E113" i="30"/>
  <c r="G113" i="30" s="1"/>
  <c r="A492" i="30"/>
  <c r="A493" i="30" l="1"/>
  <c r="B115" i="30"/>
  <c r="E114" i="30"/>
  <c r="G114" i="30" s="1"/>
  <c r="B116" i="30" l="1"/>
  <c r="E115" i="30"/>
  <c r="G115" i="30" s="1"/>
  <c r="A494" i="30"/>
  <c r="A495" i="30" l="1"/>
  <c r="B117" i="30"/>
  <c r="E116" i="30"/>
  <c r="G116" i="30" s="1"/>
  <c r="B118" i="30" l="1"/>
  <c r="E117" i="30"/>
  <c r="G117" i="30" s="1"/>
  <c r="A496" i="30"/>
  <c r="A497" i="30" l="1"/>
  <c r="B119" i="30"/>
  <c r="E118" i="30"/>
  <c r="G118" i="30" s="1"/>
  <c r="B120" i="30" l="1"/>
  <c r="E119" i="30"/>
  <c r="G119" i="30" s="1"/>
  <c r="A498" i="30"/>
  <c r="A499" i="30" l="1"/>
  <c r="B121" i="30"/>
  <c r="E120" i="30"/>
  <c r="G120" i="30" s="1"/>
  <c r="B122" i="30" l="1"/>
  <c r="E121" i="30"/>
  <c r="G121" i="30" s="1"/>
  <c r="A500" i="30"/>
  <c r="A501" i="30" l="1"/>
  <c r="B123" i="30"/>
  <c r="E122" i="30"/>
  <c r="G122" i="30" s="1"/>
  <c r="B124" i="30" l="1"/>
  <c r="E123" i="30"/>
  <c r="G123" i="30" s="1"/>
  <c r="A502" i="30"/>
  <c r="A503" i="30" l="1"/>
  <c r="B125" i="30"/>
  <c r="E124" i="30"/>
  <c r="G124" i="30" s="1"/>
  <c r="B126" i="30" l="1"/>
  <c r="E125" i="30"/>
  <c r="G125" i="30" s="1"/>
  <c r="A504" i="30"/>
  <c r="A505" i="30" l="1"/>
  <c r="B127" i="30"/>
  <c r="E126" i="30"/>
  <c r="G126" i="30" s="1"/>
  <c r="B128" i="30" l="1"/>
  <c r="E127" i="30"/>
  <c r="G127" i="30" s="1"/>
  <c r="A506" i="30"/>
  <c r="A507" i="30" l="1"/>
  <c r="E128" i="30"/>
  <c r="G128" i="30" s="1"/>
  <c r="B129" i="30"/>
  <c r="B130" i="30" l="1"/>
  <c r="E129" i="30"/>
  <c r="G129" i="30" s="1"/>
  <c r="A508" i="30"/>
  <c r="A509" i="30" l="1"/>
  <c r="E130" i="30"/>
  <c r="G130" i="30" s="1"/>
  <c r="B131" i="30"/>
  <c r="B132" i="30" l="1"/>
  <c r="E131" i="30"/>
  <c r="G131" i="30" s="1"/>
  <c r="A510" i="30"/>
  <c r="A511" i="30" l="1"/>
  <c r="B133" i="30"/>
  <c r="E132" i="30"/>
  <c r="G132" i="30" s="1"/>
  <c r="B134" i="30" l="1"/>
  <c r="E133" i="30"/>
  <c r="G133" i="30" s="1"/>
  <c r="A512" i="30"/>
  <c r="A513" i="30" l="1"/>
  <c r="B135" i="30"/>
  <c r="E134" i="30"/>
  <c r="G134" i="30" s="1"/>
  <c r="B136" i="30" l="1"/>
  <c r="E135" i="30"/>
  <c r="G135" i="30" s="1"/>
  <c r="A514" i="30"/>
  <c r="A515" i="30" l="1"/>
  <c r="E136" i="30"/>
  <c r="G136" i="30" s="1"/>
  <c r="B137" i="30"/>
  <c r="B138" i="30" l="1"/>
  <c r="E137" i="30"/>
  <c r="G137" i="30" s="1"/>
  <c r="A516" i="30"/>
  <c r="A517" i="30" l="1"/>
  <c r="E138" i="30"/>
  <c r="G138" i="30" s="1"/>
  <c r="B139" i="30"/>
  <c r="B140" i="30" l="1"/>
  <c r="E139" i="30"/>
  <c r="G139" i="30" s="1"/>
  <c r="A518" i="30"/>
  <c r="A519" i="30" l="1"/>
  <c r="B141" i="30"/>
  <c r="E140" i="30"/>
  <c r="G140" i="30" s="1"/>
  <c r="B142" i="30" l="1"/>
  <c r="E141" i="30"/>
  <c r="G141" i="30" s="1"/>
  <c r="A520" i="30"/>
  <c r="A521" i="30" l="1"/>
  <c r="B143" i="30"/>
  <c r="E142" i="30"/>
  <c r="G142" i="30" s="1"/>
  <c r="B144" i="30" l="1"/>
  <c r="E143" i="30"/>
  <c r="G143" i="30" s="1"/>
  <c r="A522" i="30"/>
  <c r="A523" i="30" l="1"/>
  <c r="E144" i="30"/>
  <c r="G144" i="30" s="1"/>
  <c r="B145" i="30"/>
  <c r="B146" i="30" l="1"/>
  <c r="E145" i="30"/>
  <c r="G145" i="30" s="1"/>
  <c r="A524" i="30"/>
  <c r="A525" i="30" l="1"/>
  <c r="E146" i="30"/>
  <c r="G146" i="30" s="1"/>
  <c r="B147" i="30"/>
  <c r="B148" i="30" l="1"/>
  <c r="E147" i="30"/>
  <c r="G147" i="30" s="1"/>
  <c r="A526" i="30"/>
  <c r="A527" i="30" l="1"/>
  <c r="B149" i="30"/>
  <c r="E148" i="30"/>
  <c r="G148" i="30" s="1"/>
  <c r="B150" i="30" l="1"/>
  <c r="E149" i="30"/>
  <c r="G149" i="30" s="1"/>
  <c r="A528" i="30"/>
  <c r="A529" i="30" l="1"/>
  <c r="B151" i="30"/>
  <c r="E150" i="30"/>
  <c r="G150" i="30" s="1"/>
  <c r="B152" i="30" l="1"/>
  <c r="E151" i="30"/>
  <c r="G151" i="30" s="1"/>
  <c r="A530" i="30"/>
  <c r="A531" i="30" l="1"/>
  <c r="E152" i="30"/>
  <c r="G152" i="30" s="1"/>
  <c r="B153" i="30"/>
  <c r="E153" i="30" l="1"/>
  <c r="G153" i="30" s="1"/>
  <c r="B154" i="30"/>
  <c r="A532" i="30"/>
  <c r="A533" i="30" l="1"/>
  <c r="E154" i="30"/>
  <c r="G154" i="30" s="1"/>
  <c r="B155" i="30"/>
  <c r="E155" i="30" l="1"/>
  <c r="G155" i="30" s="1"/>
  <c r="B156" i="30"/>
  <c r="A534" i="30"/>
  <c r="A535" i="30" l="1"/>
  <c r="E156" i="30"/>
  <c r="G156" i="30" s="1"/>
  <c r="B157" i="30"/>
  <c r="E157" i="30" l="1"/>
  <c r="G157" i="30" s="1"/>
  <c r="B158" i="30"/>
  <c r="A536" i="30"/>
  <c r="A537" i="30" l="1"/>
  <c r="E158" i="30"/>
  <c r="G158" i="30" s="1"/>
  <c r="B159" i="30"/>
  <c r="E159" i="30" l="1"/>
  <c r="G159" i="30" s="1"/>
  <c r="B160" i="30"/>
  <c r="A538" i="30"/>
  <c r="A539" i="30" l="1"/>
  <c r="E160" i="30"/>
  <c r="G160" i="30" s="1"/>
  <c r="B161" i="30"/>
  <c r="B162" i="30" l="1"/>
  <c r="E161" i="30"/>
  <c r="G161" i="30" s="1"/>
  <c r="A540" i="30"/>
  <c r="A541" i="30" l="1"/>
  <c r="E162" i="30"/>
  <c r="G162" i="30" s="1"/>
  <c r="B163" i="30"/>
  <c r="E163" i="30" l="1"/>
  <c r="G163" i="30" s="1"/>
  <c r="B164" i="30"/>
  <c r="A542" i="30"/>
  <c r="A543" i="30" l="1"/>
  <c r="B165" i="30"/>
  <c r="E164" i="30"/>
  <c r="G164" i="30" s="1"/>
  <c r="A544" i="30" l="1"/>
  <c r="B166" i="30"/>
  <c r="E165" i="30"/>
  <c r="G165" i="30" s="1"/>
  <c r="E166" i="30" l="1"/>
  <c r="G166" i="30" s="1"/>
  <c r="B167" i="30"/>
  <c r="A545" i="30"/>
  <c r="A546" i="30" l="1"/>
  <c r="B168" i="30"/>
  <c r="E167" i="30"/>
  <c r="G167" i="30" s="1"/>
  <c r="E168" i="30" l="1"/>
  <c r="G168" i="30" s="1"/>
  <c r="B169" i="30"/>
  <c r="A547" i="30"/>
  <c r="A548" i="30" l="1"/>
  <c r="B170" i="30"/>
  <c r="E169" i="30"/>
  <c r="G169" i="30" s="1"/>
  <c r="B171" i="30" l="1"/>
  <c r="E170" i="30"/>
  <c r="G170" i="30" s="1"/>
  <c r="A549" i="30"/>
  <c r="A550" i="30" l="1"/>
  <c r="B172" i="30"/>
  <c r="E171" i="30"/>
  <c r="G171" i="30" s="1"/>
  <c r="B173" i="30" l="1"/>
  <c r="E172" i="30"/>
  <c r="G172" i="30" s="1"/>
  <c r="A551" i="30"/>
  <c r="A552" i="30" l="1"/>
  <c r="E173" i="30"/>
  <c r="G173" i="30" s="1"/>
  <c r="B174" i="30"/>
  <c r="E174" i="30" l="1"/>
  <c r="G174" i="30" s="1"/>
  <c r="B175" i="30"/>
  <c r="A553" i="30"/>
  <c r="A554" i="30" l="1"/>
  <c r="B176" i="30"/>
  <c r="E175" i="30"/>
  <c r="G175" i="30" s="1"/>
  <c r="E176" i="30" l="1"/>
  <c r="G176" i="30" s="1"/>
  <c r="B177" i="30"/>
  <c r="A555" i="30"/>
  <c r="A556" i="30" l="1"/>
  <c r="B178" i="30"/>
  <c r="E177" i="30"/>
  <c r="G177" i="30" s="1"/>
  <c r="B179" i="30" l="1"/>
  <c r="E178" i="30"/>
  <c r="G178" i="30" s="1"/>
  <c r="A557" i="30"/>
  <c r="A558" i="30" l="1"/>
  <c r="B180" i="30"/>
  <c r="E179" i="30"/>
  <c r="G179" i="30" s="1"/>
  <c r="B181" i="30" l="1"/>
  <c r="E180" i="30"/>
  <c r="G180" i="30" s="1"/>
  <c r="A559" i="30"/>
  <c r="A560" i="30" l="1"/>
  <c r="B182" i="30"/>
  <c r="E181" i="30"/>
  <c r="G181" i="30" s="1"/>
  <c r="A561" i="30" l="1"/>
  <c r="E182" i="30"/>
  <c r="G182" i="30" s="1"/>
  <c r="B183" i="30"/>
  <c r="B184" i="30" l="1"/>
  <c r="E183" i="30"/>
  <c r="G183" i="30" s="1"/>
  <c r="A562" i="30"/>
  <c r="A563" i="30" l="1"/>
  <c r="E184" i="30"/>
  <c r="G184" i="30" s="1"/>
  <c r="B185" i="30"/>
  <c r="B186" i="30" l="1"/>
  <c r="E185" i="30"/>
  <c r="G185" i="30" s="1"/>
  <c r="A564" i="30"/>
  <c r="E186" i="30" l="1"/>
  <c r="G186" i="30" s="1"/>
  <c r="B187" i="30"/>
  <c r="A565" i="30"/>
  <c r="A566" i="30" l="1"/>
  <c r="E187" i="30"/>
  <c r="G187" i="30" s="1"/>
  <c r="B188" i="30"/>
  <c r="E188" i="30" l="1"/>
  <c r="G188" i="30" s="1"/>
  <c r="B189" i="30"/>
  <c r="A567" i="30"/>
  <c r="E189" i="30" l="1"/>
  <c r="G189" i="30" s="1"/>
  <c r="B190" i="30"/>
  <c r="A568" i="30"/>
  <c r="A569" i="30" l="1"/>
  <c r="B191" i="30"/>
  <c r="E190" i="30"/>
  <c r="G190" i="30" s="1"/>
  <c r="B192" i="30" l="1"/>
  <c r="E191" i="30"/>
  <c r="G191" i="30" s="1"/>
  <c r="A570" i="30"/>
  <c r="A571" i="30" l="1"/>
  <c r="B193" i="30"/>
  <c r="E192" i="30"/>
  <c r="G192" i="30" s="1"/>
  <c r="E193" i="30" l="1"/>
  <c r="G193" i="30" s="1"/>
  <c r="B194" i="30"/>
  <c r="A572" i="30"/>
  <c r="A573" i="30" l="1"/>
  <c r="B195" i="30"/>
  <c r="E194" i="30"/>
  <c r="G194" i="30" s="1"/>
  <c r="B196" i="30" l="1"/>
  <c r="E195" i="30"/>
  <c r="G195" i="30" s="1"/>
  <c r="A574" i="30"/>
  <c r="A575" i="30" l="1"/>
  <c r="B197" i="30"/>
  <c r="E196" i="30"/>
  <c r="G196" i="30" s="1"/>
  <c r="B198" i="30" l="1"/>
  <c r="E197" i="30"/>
  <c r="G197" i="30" s="1"/>
  <c r="A576" i="30"/>
  <c r="A577" i="30" l="1"/>
  <c r="B199" i="30"/>
  <c r="E198" i="30"/>
  <c r="G198" i="30" s="1"/>
  <c r="E199" i="30" l="1"/>
  <c r="G199" i="30" s="1"/>
  <c r="B200" i="30"/>
  <c r="A578" i="30"/>
  <c r="A579" i="30" l="1"/>
  <c r="B201" i="30"/>
  <c r="E200" i="30"/>
  <c r="G200" i="30" s="1"/>
  <c r="B202" i="30" l="1"/>
  <c r="E201" i="30"/>
  <c r="G201" i="30" s="1"/>
  <c r="A580" i="30"/>
  <c r="A581" i="30" l="1"/>
  <c r="B203" i="30"/>
  <c r="E202" i="30"/>
  <c r="G202" i="30" s="1"/>
  <c r="B204" i="30" l="1"/>
  <c r="E203" i="30"/>
  <c r="G203" i="30" s="1"/>
  <c r="A582" i="30"/>
  <c r="A583" i="30" l="1"/>
  <c r="B205" i="30"/>
  <c r="E204" i="30"/>
  <c r="G204" i="30" s="1"/>
  <c r="B206" i="30" l="1"/>
  <c r="E205" i="30"/>
  <c r="G205" i="30" s="1"/>
  <c r="A584" i="30"/>
  <c r="A585" i="30" l="1"/>
  <c r="B207" i="30"/>
  <c r="E206" i="30"/>
  <c r="G206" i="30" s="1"/>
  <c r="B208" i="30" l="1"/>
  <c r="E207" i="30"/>
  <c r="G207" i="30" s="1"/>
  <c r="A586" i="30"/>
  <c r="A587" i="30" l="1"/>
  <c r="B209" i="30"/>
  <c r="E208" i="30"/>
  <c r="G208" i="30" s="1"/>
  <c r="B210" i="30" l="1"/>
  <c r="E209" i="30"/>
  <c r="G209" i="30" s="1"/>
  <c r="A588" i="30"/>
  <c r="A589" i="30" l="1"/>
  <c r="B211" i="30"/>
  <c r="E210" i="30"/>
  <c r="G210" i="30" s="1"/>
  <c r="B212" i="30" l="1"/>
  <c r="E211" i="30"/>
  <c r="G211" i="30" s="1"/>
  <c r="A590" i="30"/>
  <c r="A591" i="30" l="1"/>
  <c r="B213" i="30"/>
  <c r="E212" i="30"/>
  <c r="G212" i="30" s="1"/>
  <c r="B214" i="30" l="1"/>
  <c r="E213" i="30"/>
  <c r="G213" i="30" s="1"/>
  <c r="A592" i="30"/>
  <c r="A593" i="30" l="1"/>
  <c r="B215" i="30"/>
  <c r="E214" i="30"/>
  <c r="G214" i="30" s="1"/>
  <c r="B216" i="30" l="1"/>
  <c r="E215" i="30"/>
  <c r="G215" i="30" s="1"/>
  <c r="A594" i="30"/>
  <c r="A595" i="30" l="1"/>
  <c r="B217" i="30"/>
  <c r="E216" i="30"/>
  <c r="G216" i="30" s="1"/>
  <c r="B218" i="30" l="1"/>
  <c r="E217" i="30"/>
  <c r="G217" i="30" s="1"/>
  <c r="A596" i="30"/>
  <c r="A597" i="30" l="1"/>
  <c r="B219" i="30"/>
  <c r="E218" i="30"/>
  <c r="G218" i="30" s="1"/>
  <c r="B220" i="30" l="1"/>
  <c r="E219" i="30"/>
  <c r="G219" i="30" s="1"/>
  <c r="A598" i="30"/>
  <c r="A599" i="30" l="1"/>
  <c r="B221" i="30"/>
  <c r="E220" i="30"/>
  <c r="G220" i="30" s="1"/>
  <c r="B222" i="30" l="1"/>
  <c r="E221" i="30"/>
  <c r="G221" i="30" s="1"/>
  <c r="A600" i="30"/>
  <c r="A601" i="30" l="1"/>
  <c r="B223" i="30"/>
  <c r="E222" i="30"/>
  <c r="G222" i="30" s="1"/>
  <c r="B224" i="30" l="1"/>
  <c r="E223" i="30"/>
  <c r="G223" i="30" s="1"/>
  <c r="A602" i="30"/>
  <c r="A603" i="30" l="1"/>
  <c r="B225" i="30"/>
  <c r="E224" i="30"/>
  <c r="G224" i="30" s="1"/>
  <c r="B226" i="30" l="1"/>
  <c r="E225" i="30"/>
  <c r="G225" i="30" s="1"/>
  <c r="A604" i="30"/>
  <c r="A605" i="30" l="1"/>
  <c r="B227" i="30"/>
  <c r="E226" i="30"/>
  <c r="G226" i="30" s="1"/>
  <c r="B228" i="30" l="1"/>
  <c r="E227" i="30"/>
  <c r="G227" i="30" s="1"/>
  <c r="A606" i="30"/>
  <c r="A607" i="30" l="1"/>
  <c r="B229" i="30"/>
  <c r="E228" i="30"/>
  <c r="G228" i="30" s="1"/>
  <c r="B230" i="30" l="1"/>
  <c r="E229" i="30"/>
  <c r="G229" i="30" s="1"/>
  <c r="A608" i="30"/>
  <c r="A609" i="30" l="1"/>
  <c r="B231" i="30"/>
  <c r="E230" i="30"/>
  <c r="G230" i="30" s="1"/>
  <c r="B232" i="30" l="1"/>
  <c r="E231" i="30"/>
  <c r="G231" i="30" s="1"/>
  <c r="A610" i="30"/>
  <c r="A611" i="30" l="1"/>
  <c r="B233" i="30"/>
  <c r="E232" i="30"/>
  <c r="G232" i="30" s="1"/>
  <c r="B234" i="30" l="1"/>
  <c r="E233" i="30"/>
  <c r="G233" i="30" s="1"/>
  <c r="A612" i="30"/>
  <c r="A613" i="30" l="1"/>
  <c r="B235" i="30"/>
  <c r="E234" i="30"/>
  <c r="G234" i="30" s="1"/>
  <c r="B236" i="30" l="1"/>
  <c r="E235" i="30"/>
  <c r="G235" i="30" s="1"/>
  <c r="A614" i="30"/>
  <c r="A615" i="30" l="1"/>
  <c r="B237" i="30"/>
  <c r="E236" i="30"/>
  <c r="G236" i="30" s="1"/>
  <c r="A616" i="30" l="1"/>
  <c r="B238" i="30"/>
  <c r="E237" i="30"/>
  <c r="G237" i="30" s="1"/>
  <c r="B239" i="30" l="1"/>
  <c r="E238" i="30"/>
  <c r="G238" i="30" s="1"/>
  <c r="A617" i="30"/>
  <c r="A618" i="30" l="1"/>
  <c r="B240" i="30"/>
  <c r="E239" i="30"/>
  <c r="G239" i="30" s="1"/>
  <c r="B241" i="30" l="1"/>
  <c r="E240" i="30"/>
  <c r="G240" i="30" s="1"/>
  <c r="A619" i="30"/>
  <c r="A620" i="30" l="1"/>
  <c r="B242" i="30"/>
  <c r="E241" i="30"/>
  <c r="G241" i="30" s="1"/>
  <c r="B243" i="30" l="1"/>
  <c r="E242" i="30"/>
  <c r="G242" i="30" s="1"/>
  <c r="A621" i="30"/>
  <c r="A622" i="30" l="1"/>
  <c r="B244" i="30"/>
  <c r="E243" i="30"/>
  <c r="G243" i="30" s="1"/>
  <c r="B245" i="30" l="1"/>
  <c r="E244" i="30"/>
  <c r="G244" i="30" s="1"/>
  <c r="A623" i="30"/>
  <c r="A624" i="30" l="1"/>
  <c r="E245" i="30"/>
  <c r="G245" i="30" s="1"/>
  <c r="B246" i="30"/>
  <c r="A625" i="30" l="1"/>
  <c r="E246" i="30"/>
  <c r="G246" i="30" s="1"/>
  <c r="B247" i="30"/>
  <c r="B248" i="30" l="1"/>
  <c r="E247" i="30"/>
  <c r="G247" i="30" s="1"/>
  <c r="A626" i="30"/>
  <c r="A627" i="30" l="1"/>
  <c r="B249" i="30"/>
  <c r="E248" i="30"/>
  <c r="G248" i="30" s="1"/>
  <c r="A628" i="30" l="1"/>
  <c r="B250" i="30"/>
  <c r="E249" i="30"/>
  <c r="G249" i="30" s="1"/>
  <c r="B251" i="30" l="1"/>
  <c r="E250" i="30"/>
  <c r="G250" i="30" s="1"/>
  <c r="A629" i="30"/>
  <c r="A630" i="30" l="1"/>
  <c r="B252" i="30"/>
  <c r="E251" i="30"/>
  <c r="G251" i="30" s="1"/>
  <c r="B253" i="30" l="1"/>
  <c r="E252" i="30"/>
  <c r="G252" i="30" s="1"/>
  <c r="A631" i="30"/>
  <c r="A632" i="30" l="1"/>
  <c r="B254" i="30"/>
  <c r="E253" i="30"/>
  <c r="G253" i="30" s="1"/>
  <c r="B255" i="30" l="1"/>
  <c r="E254" i="30"/>
  <c r="G254" i="30" s="1"/>
  <c r="A633" i="30"/>
  <c r="A634" i="30" l="1"/>
  <c r="E255" i="30"/>
  <c r="G255" i="30" s="1"/>
  <c r="B256" i="30"/>
  <c r="A635" i="30" l="1"/>
  <c r="B257" i="30"/>
  <c r="E256" i="30"/>
  <c r="G256" i="30" s="1"/>
  <c r="B258" i="30" l="1"/>
  <c r="E257" i="30"/>
  <c r="G257" i="30" s="1"/>
  <c r="A636" i="30"/>
  <c r="A637" i="30" l="1"/>
  <c r="E258" i="30"/>
  <c r="G258" i="30" s="1"/>
  <c r="B259" i="30"/>
  <c r="B260" i="30" l="1"/>
  <c r="E259" i="30"/>
  <c r="G259" i="30" s="1"/>
  <c r="A638" i="30"/>
  <c r="A639" i="30" l="1"/>
  <c r="B261" i="30"/>
  <c r="E260" i="30"/>
  <c r="G260" i="30" s="1"/>
  <c r="B262" i="30" l="1"/>
  <c r="E261" i="30"/>
  <c r="G261" i="30" s="1"/>
  <c r="A640" i="30"/>
  <c r="A641" i="30" l="1"/>
  <c r="B263" i="30"/>
  <c r="E262" i="30"/>
  <c r="G262" i="30" s="1"/>
  <c r="B264" i="30" l="1"/>
  <c r="E263" i="30"/>
  <c r="G263" i="30" s="1"/>
  <c r="A642" i="30"/>
  <c r="A643" i="30" l="1"/>
  <c r="B265" i="30"/>
  <c r="E264" i="30"/>
  <c r="G264" i="30" s="1"/>
  <c r="E265" i="30" l="1"/>
  <c r="G265" i="30" s="1"/>
  <c r="B266" i="30"/>
  <c r="A644" i="30"/>
  <c r="A645" i="30" l="1"/>
  <c r="B267" i="30"/>
  <c r="E266" i="30"/>
  <c r="G266" i="30" s="1"/>
  <c r="B268" i="30" l="1"/>
  <c r="E267" i="30"/>
  <c r="G267" i="30" s="1"/>
  <c r="A646" i="30"/>
  <c r="A647" i="30" l="1"/>
  <c r="B269" i="30"/>
  <c r="E268" i="30"/>
  <c r="G268" i="30" s="1"/>
  <c r="B270" i="30" l="1"/>
  <c r="E269" i="30"/>
  <c r="G269" i="30" s="1"/>
  <c r="A648" i="30"/>
  <c r="A649" i="30" l="1"/>
  <c r="B271" i="30"/>
  <c r="E270" i="30"/>
  <c r="G270" i="30" s="1"/>
  <c r="B272" i="30" l="1"/>
  <c r="E271" i="30"/>
  <c r="G271" i="30" s="1"/>
  <c r="A650" i="30"/>
  <c r="A651" i="30" l="1"/>
  <c r="B273" i="30"/>
  <c r="E272" i="30"/>
  <c r="G272" i="30" s="1"/>
  <c r="B274" i="30" l="1"/>
  <c r="E273" i="30"/>
  <c r="G273" i="30" s="1"/>
  <c r="A652" i="30"/>
  <c r="A653" i="30" l="1"/>
  <c r="B275" i="30"/>
  <c r="E274" i="30"/>
  <c r="G274" i="30" s="1"/>
  <c r="B276" i="30" l="1"/>
  <c r="E275" i="30"/>
  <c r="G275" i="30" s="1"/>
  <c r="A654" i="30"/>
  <c r="A655" i="30" l="1"/>
  <c r="B277" i="30"/>
  <c r="E276" i="30"/>
  <c r="G276" i="30" s="1"/>
  <c r="B278" i="30" l="1"/>
  <c r="E277" i="30"/>
  <c r="G277" i="30" s="1"/>
  <c r="A656" i="30"/>
  <c r="A657" i="30" l="1"/>
  <c r="B279" i="30"/>
  <c r="E278" i="30"/>
  <c r="G278" i="30" s="1"/>
  <c r="E279" i="30" l="1"/>
  <c r="G279" i="30" s="1"/>
  <c r="B280" i="30"/>
  <c r="A658" i="30"/>
  <c r="A659" i="30" l="1"/>
  <c r="B281" i="30"/>
  <c r="E280" i="30"/>
  <c r="G280" i="30" s="1"/>
  <c r="E281" i="30" l="1"/>
  <c r="G281" i="30" s="1"/>
  <c r="B282" i="30"/>
  <c r="A660" i="30"/>
  <c r="A661" i="30" l="1"/>
  <c r="B283" i="30"/>
  <c r="E282" i="30"/>
  <c r="G282" i="30" s="1"/>
  <c r="E283" i="30" l="1"/>
  <c r="G283" i="30" s="1"/>
  <c r="B284" i="30"/>
  <c r="A662" i="30"/>
  <c r="A663" i="30" l="1"/>
  <c r="B285" i="30"/>
  <c r="E284" i="30"/>
  <c r="G284" i="30" s="1"/>
  <c r="E285" i="30" l="1"/>
  <c r="G285" i="30" s="1"/>
  <c r="B286" i="30"/>
  <c r="A664" i="30"/>
  <c r="A665" i="30" l="1"/>
  <c r="E286" i="30"/>
  <c r="G286" i="30" s="1"/>
  <c r="B287" i="30"/>
  <c r="E287" i="30" l="1"/>
  <c r="G287" i="30" s="1"/>
  <c r="B288" i="30"/>
  <c r="A666" i="30"/>
  <c r="A667" i="30" l="1"/>
  <c r="B289" i="30"/>
  <c r="E288" i="30"/>
  <c r="G288" i="30" s="1"/>
  <c r="E289" i="30" l="1"/>
  <c r="G289" i="30" s="1"/>
  <c r="B290" i="30"/>
  <c r="A668" i="30"/>
  <c r="A669" i="30" l="1"/>
  <c r="B291" i="30"/>
  <c r="E290" i="30"/>
  <c r="G290" i="30" s="1"/>
  <c r="E291" i="30" l="1"/>
  <c r="G291" i="30" s="1"/>
  <c r="B292" i="30"/>
  <c r="A670" i="30"/>
  <c r="A671" i="30" l="1"/>
  <c r="E292" i="30"/>
  <c r="G292" i="30" s="1"/>
  <c r="B293" i="30"/>
  <c r="B294" i="30" l="1"/>
  <c r="E293" i="30"/>
  <c r="G293" i="30" s="1"/>
  <c r="A672" i="30"/>
  <c r="A673" i="30" l="1"/>
  <c r="E294" i="30"/>
  <c r="G294" i="30" s="1"/>
  <c r="B295" i="30"/>
  <c r="E295" i="30" l="1"/>
  <c r="G295" i="30" s="1"/>
  <c r="B296" i="30"/>
  <c r="A674" i="30"/>
  <c r="A675" i="30" l="1"/>
  <c r="E296" i="30"/>
  <c r="G296" i="30" s="1"/>
  <c r="B297" i="30"/>
  <c r="E297" i="30" l="1"/>
  <c r="G297" i="30" s="1"/>
  <c r="B298" i="30"/>
  <c r="A676" i="30"/>
  <c r="A677" i="30" l="1"/>
  <c r="E298" i="30"/>
  <c r="G298" i="30" s="1"/>
  <c r="B299" i="30"/>
  <c r="E299" i="30" l="1"/>
  <c r="G299" i="30" s="1"/>
  <c r="B300" i="30"/>
  <c r="A678" i="30"/>
  <c r="E300" i="30" l="1"/>
  <c r="G300" i="30" s="1"/>
  <c r="B301" i="30"/>
  <c r="A679" i="30"/>
  <c r="A680" i="30" l="1"/>
  <c r="E301" i="30"/>
  <c r="G301" i="30" s="1"/>
  <c r="B302" i="30"/>
  <c r="E302" i="30" l="1"/>
  <c r="G302" i="30" s="1"/>
  <c r="B303" i="30"/>
  <c r="A681" i="30"/>
  <c r="A682" i="30" l="1"/>
  <c r="E303" i="30"/>
  <c r="G303" i="30" s="1"/>
  <c r="B304" i="30"/>
  <c r="E304" i="30" l="1"/>
  <c r="G304" i="30" s="1"/>
  <c r="B305" i="30"/>
  <c r="A683" i="30"/>
  <c r="A684" i="30" l="1"/>
  <c r="E305" i="30"/>
  <c r="G305" i="30" s="1"/>
  <c r="B306" i="30"/>
  <c r="E306" i="30" l="1"/>
  <c r="G306" i="30" s="1"/>
  <c r="B307" i="30"/>
  <c r="A685" i="30"/>
  <c r="A686" i="30" l="1"/>
  <c r="E307" i="30"/>
  <c r="G307" i="30" s="1"/>
  <c r="B308" i="30"/>
  <c r="E308" i="30" l="1"/>
  <c r="G308" i="30" s="1"/>
  <c r="B309" i="30"/>
  <c r="A687" i="30"/>
  <c r="A688" i="30" l="1"/>
  <c r="A689" i="30" s="1"/>
  <c r="E309" i="30"/>
  <c r="G309" i="30" s="1"/>
  <c r="B310" i="30"/>
  <c r="E310" i="30" l="1"/>
  <c r="G310" i="30" s="1"/>
  <c r="B311" i="30"/>
  <c r="A690" i="30"/>
  <c r="A691" i="30" l="1"/>
  <c r="E311" i="30"/>
  <c r="G311" i="30" s="1"/>
  <c r="B312" i="30"/>
  <c r="E312" i="30" l="1"/>
  <c r="G312" i="30" s="1"/>
  <c r="B313" i="30"/>
  <c r="A692" i="30"/>
  <c r="A693" i="30" l="1"/>
  <c r="B314" i="30"/>
  <c r="E313" i="30"/>
  <c r="G313" i="30" s="1"/>
  <c r="B315" i="30" l="1"/>
  <c r="E314" i="30"/>
  <c r="G314" i="30" s="1"/>
  <c r="A694" i="30"/>
  <c r="A695" i="30" l="1"/>
  <c r="B316" i="30"/>
  <c r="E315" i="30"/>
  <c r="G315" i="30" s="1"/>
  <c r="B317" i="30" l="1"/>
  <c r="E316" i="30"/>
  <c r="G316" i="30" s="1"/>
  <c r="A696" i="30"/>
  <c r="A697" i="30" l="1"/>
  <c r="B318" i="30"/>
  <c r="E317" i="30"/>
  <c r="G317" i="30" s="1"/>
  <c r="E318" i="30" l="1"/>
  <c r="G318" i="30" s="1"/>
  <c r="B319" i="30"/>
  <c r="A698" i="30"/>
  <c r="A699" i="30" l="1"/>
  <c r="E319" i="30"/>
  <c r="G319" i="30" s="1"/>
  <c r="B320" i="30"/>
  <c r="B321" i="30" l="1"/>
  <c r="E320" i="30"/>
  <c r="G320" i="30" s="1"/>
  <c r="A700" i="30"/>
  <c r="A701" i="30" l="1"/>
  <c r="B322" i="30"/>
  <c r="E321" i="30"/>
  <c r="G321" i="30" s="1"/>
  <c r="B323" i="30" l="1"/>
  <c r="E322" i="30"/>
  <c r="G322" i="30" s="1"/>
  <c r="A702" i="30"/>
  <c r="A703" i="30" l="1"/>
  <c r="E323" i="30"/>
  <c r="G323" i="30" s="1"/>
  <c r="B324" i="30"/>
  <c r="B325" i="30" l="1"/>
  <c r="E324" i="30"/>
  <c r="G324" i="30" s="1"/>
  <c r="A704" i="30"/>
  <c r="A705" i="30" l="1"/>
  <c r="B326" i="30"/>
  <c r="E325" i="30"/>
  <c r="G325" i="30" s="1"/>
  <c r="B327" i="30" l="1"/>
  <c r="E326" i="30"/>
  <c r="G326" i="30" s="1"/>
  <c r="A706" i="30"/>
  <c r="A707" i="30" l="1"/>
  <c r="B328" i="30"/>
  <c r="E327" i="30"/>
  <c r="G327" i="30" s="1"/>
  <c r="B329" i="30" l="1"/>
  <c r="E328" i="30"/>
  <c r="G328" i="30" s="1"/>
  <c r="A708" i="30"/>
  <c r="A709" i="30" l="1"/>
  <c r="B330" i="30"/>
  <c r="E329" i="30"/>
  <c r="G329" i="30" s="1"/>
  <c r="B331" i="30" l="1"/>
  <c r="E330" i="30"/>
  <c r="G330" i="30" s="1"/>
  <c r="A710" i="30"/>
  <c r="A711" i="30" l="1"/>
  <c r="B332" i="30"/>
  <c r="E331" i="30"/>
  <c r="G331" i="30" s="1"/>
  <c r="B333" i="30" l="1"/>
  <c r="E332" i="30"/>
  <c r="G332" i="30" s="1"/>
  <c r="A712" i="30"/>
  <c r="A713" i="30" l="1"/>
  <c r="B334" i="30"/>
  <c r="E333" i="30"/>
  <c r="G333" i="30" s="1"/>
  <c r="E334" i="30" l="1"/>
  <c r="G334" i="30" s="1"/>
  <c r="B335" i="30"/>
  <c r="A714" i="30"/>
  <c r="B336" i="30" l="1"/>
  <c r="E335" i="30"/>
  <c r="G335" i="30" s="1"/>
  <c r="A715" i="30"/>
  <c r="A716" i="30" l="1"/>
  <c r="E336" i="30"/>
  <c r="G336" i="30" s="1"/>
  <c r="B337" i="30"/>
  <c r="E337" i="30" l="1"/>
  <c r="G337" i="30" s="1"/>
  <c r="B338" i="30"/>
  <c r="A717" i="30"/>
  <c r="A718" i="30" l="1"/>
  <c r="B339" i="30"/>
  <c r="E338" i="30"/>
  <c r="G338" i="30" s="1"/>
  <c r="B340" i="30" l="1"/>
  <c r="E339" i="30"/>
  <c r="G339" i="30" s="1"/>
  <c r="A719" i="30"/>
  <c r="A720" i="30" l="1"/>
  <c r="E340" i="30"/>
  <c r="G340" i="30" s="1"/>
  <c r="B341" i="30"/>
  <c r="B342" i="30" l="1"/>
  <c r="E341" i="30"/>
  <c r="G341" i="30" s="1"/>
  <c r="A721" i="30"/>
  <c r="A722" i="30" l="1"/>
  <c r="B343" i="30"/>
  <c r="E342" i="30"/>
  <c r="G342" i="30" s="1"/>
  <c r="E343" i="30" l="1"/>
  <c r="G343" i="30" s="1"/>
  <c r="B344" i="30"/>
  <c r="A723" i="30"/>
  <c r="A724" i="30" l="1"/>
  <c r="E344" i="30"/>
  <c r="G344" i="30" s="1"/>
  <c r="B345" i="30"/>
  <c r="B346" i="30" l="1"/>
  <c r="E345" i="30"/>
  <c r="G345" i="30" s="1"/>
  <c r="A725" i="30"/>
  <c r="A726" i="30" l="1"/>
  <c r="B347" i="30"/>
  <c r="E346" i="30"/>
  <c r="G346" i="30" s="1"/>
  <c r="E347" i="30" l="1"/>
  <c r="G347" i="30" s="1"/>
  <c r="B348" i="30"/>
  <c r="A727" i="30"/>
  <c r="A728" i="30" l="1"/>
  <c r="B349" i="30"/>
  <c r="E348" i="30"/>
  <c r="G348" i="30" s="1"/>
  <c r="B350" i="30" l="1"/>
  <c r="E349" i="30"/>
  <c r="G349" i="30" s="1"/>
  <c r="A729" i="30"/>
  <c r="A730" i="30" l="1"/>
  <c r="B351" i="30"/>
  <c r="E350" i="30"/>
  <c r="G350" i="30" s="1"/>
  <c r="B352" i="30" l="1"/>
  <c r="E351" i="30"/>
  <c r="G351" i="30" s="1"/>
  <c r="A731" i="30"/>
  <c r="A732" i="30" l="1"/>
  <c r="B353" i="30"/>
  <c r="E352" i="30"/>
  <c r="G352" i="30" s="1"/>
  <c r="B354" i="30" l="1"/>
  <c r="E353" i="30"/>
  <c r="G353" i="30" s="1"/>
  <c r="A733" i="30"/>
  <c r="A734" i="30" l="1"/>
  <c r="B355" i="30"/>
  <c r="E354" i="30"/>
  <c r="G354" i="30" s="1"/>
  <c r="E355" i="30" l="1"/>
  <c r="G355" i="30" s="1"/>
  <c r="B356" i="30"/>
  <c r="A735" i="30"/>
  <c r="A736" i="30" l="1"/>
  <c r="B357" i="30"/>
  <c r="E356" i="30"/>
  <c r="G356" i="30" s="1"/>
  <c r="B358" i="30" l="1"/>
  <c r="E357" i="30"/>
  <c r="G357" i="30" s="1"/>
  <c r="A737" i="30"/>
  <c r="A738" i="30" l="1"/>
  <c r="E358" i="30"/>
  <c r="G358" i="30" s="1"/>
  <c r="B359" i="30"/>
  <c r="E359" i="30" l="1"/>
  <c r="G359" i="30" s="1"/>
  <c r="B360" i="30"/>
  <c r="A739" i="30"/>
  <c r="B361" i="30" l="1"/>
  <c r="E360" i="30"/>
  <c r="G360" i="30" s="1"/>
  <c r="A740" i="30"/>
  <c r="A741" i="30" l="1"/>
  <c r="B362" i="30"/>
  <c r="E361" i="30"/>
  <c r="G361" i="30" s="1"/>
  <c r="B363" i="30" l="1"/>
  <c r="E362" i="30"/>
  <c r="G362" i="30" s="1"/>
  <c r="A742" i="30"/>
  <c r="A743" i="30" l="1"/>
  <c r="B364" i="30"/>
  <c r="E363" i="30"/>
  <c r="G363" i="30" s="1"/>
  <c r="B365" i="30" l="1"/>
  <c r="E364" i="30"/>
  <c r="G364" i="30" s="1"/>
  <c r="A744" i="30"/>
  <c r="A745" i="30" l="1"/>
  <c r="B366" i="30"/>
  <c r="E365" i="30"/>
  <c r="G365" i="30" s="1"/>
  <c r="B367" i="30" l="1"/>
  <c r="E366" i="30"/>
  <c r="G366" i="30" s="1"/>
  <c r="A746" i="30"/>
  <c r="A747" i="30" l="1"/>
  <c r="E367" i="30"/>
  <c r="G367" i="30" s="1"/>
  <c r="B368" i="30"/>
  <c r="B369" i="30" l="1"/>
  <c r="E368" i="30"/>
  <c r="G368" i="30" s="1"/>
  <c r="A748" i="30"/>
  <c r="A749" i="30" l="1"/>
  <c r="B370" i="30"/>
  <c r="E369" i="30"/>
  <c r="G369" i="30" s="1"/>
  <c r="B371" i="30" l="1"/>
  <c r="E370" i="30"/>
  <c r="G370" i="30" s="1"/>
  <c r="A750" i="30"/>
  <c r="A751" i="30" l="1"/>
  <c r="E371" i="30"/>
  <c r="G371" i="30" s="1"/>
  <c r="B372" i="30"/>
  <c r="B373" i="30" l="1"/>
  <c r="E372" i="30"/>
  <c r="G372" i="30" s="1"/>
  <c r="A752" i="30"/>
  <c r="E373" i="30" l="1"/>
  <c r="G373" i="30" s="1"/>
  <c r="B374" i="30"/>
  <c r="A753" i="30"/>
  <c r="A754" i="30" l="1"/>
  <c r="B375" i="30"/>
  <c r="E374" i="30"/>
  <c r="G374" i="30" s="1"/>
  <c r="E375" i="30" l="1"/>
  <c r="G375" i="30" s="1"/>
  <c r="B376" i="30"/>
  <c r="A755" i="30"/>
  <c r="E376" i="30" l="1"/>
  <c r="G376" i="30" s="1"/>
  <c r="B377" i="30"/>
  <c r="A756" i="30"/>
  <c r="A757" i="30" l="1"/>
  <c r="B378" i="30"/>
  <c r="E377" i="30"/>
  <c r="G377" i="30" s="1"/>
  <c r="E378" i="30" l="1"/>
  <c r="G378" i="30" s="1"/>
  <c r="B379" i="30"/>
  <c r="A758" i="30"/>
  <c r="A759" i="30" l="1"/>
  <c r="E379" i="30"/>
  <c r="G379" i="30" s="1"/>
  <c r="B380" i="30"/>
  <c r="A760" i="30" l="1"/>
  <c r="B381" i="30"/>
  <c r="E380" i="30"/>
  <c r="G380" i="30" s="1"/>
  <c r="E381" i="30" l="1"/>
  <c r="G381" i="30" s="1"/>
  <c r="B382" i="30"/>
  <c r="A761" i="30"/>
  <c r="B383" i="30" l="1"/>
  <c r="E382" i="30"/>
  <c r="G382" i="30" s="1"/>
  <c r="B384" i="30" l="1"/>
  <c r="E383" i="30"/>
  <c r="G383" i="30" s="1"/>
  <c r="B385" i="30" l="1"/>
  <c r="E384" i="30"/>
  <c r="G384" i="30" s="1"/>
  <c r="B386" i="30" l="1"/>
  <c r="E385" i="30"/>
  <c r="G385" i="30" s="1"/>
  <c r="B387" i="30" l="1"/>
  <c r="E386" i="30"/>
  <c r="G386" i="30" s="1"/>
  <c r="B388" i="30" l="1"/>
  <c r="E387" i="30"/>
  <c r="G387" i="30" s="1"/>
  <c r="B389" i="30" l="1"/>
  <c r="E388" i="30"/>
  <c r="G388" i="30" s="1"/>
  <c r="B390" i="30" l="1"/>
  <c r="E389" i="30"/>
  <c r="G389" i="30" s="1"/>
  <c r="B391" i="30" l="1"/>
  <c r="E390" i="30"/>
  <c r="G390" i="30" s="1"/>
  <c r="B392" i="30" l="1"/>
  <c r="E391" i="30"/>
  <c r="G391" i="30" s="1"/>
  <c r="B393" i="30" l="1"/>
  <c r="E392" i="30"/>
  <c r="G392" i="30" s="1"/>
  <c r="B394" i="30" l="1"/>
  <c r="E393" i="30"/>
  <c r="G393" i="30" s="1"/>
  <c r="B395" i="30" l="1"/>
  <c r="E394" i="30"/>
  <c r="G394" i="30" s="1"/>
  <c r="B396" i="30" l="1"/>
  <c r="E395" i="30"/>
  <c r="G395" i="30" s="1"/>
  <c r="B397" i="30" l="1"/>
  <c r="E396" i="30"/>
  <c r="G396" i="30" s="1"/>
  <c r="B398" i="30" l="1"/>
  <c r="E397" i="30"/>
  <c r="G397" i="30" s="1"/>
  <c r="B399" i="30" l="1"/>
  <c r="E398" i="30"/>
  <c r="G398" i="30" s="1"/>
  <c r="B400" i="30" l="1"/>
  <c r="E399" i="30"/>
  <c r="G399" i="30" s="1"/>
  <c r="B401" i="30" l="1"/>
  <c r="E400" i="30"/>
  <c r="G400" i="30" s="1"/>
  <c r="B402" i="30" l="1"/>
  <c r="E401" i="30"/>
  <c r="G401" i="30" s="1"/>
  <c r="B403" i="30" l="1"/>
  <c r="E402" i="30"/>
  <c r="G402" i="30" s="1"/>
  <c r="B404" i="30" l="1"/>
  <c r="E403" i="30"/>
  <c r="G403" i="30" s="1"/>
  <c r="B405" i="30" l="1"/>
  <c r="E404" i="30"/>
  <c r="G404" i="30" s="1"/>
  <c r="B406" i="30" l="1"/>
  <c r="E405" i="30"/>
  <c r="G405" i="30" s="1"/>
  <c r="B407" i="30" l="1"/>
  <c r="E406" i="30"/>
  <c r="G406" i="30" s="1"/>
  <c r="B408" i="30" l="1"/>
  <c r="E407" i="30"/>
  <c r="G407" i="30" s="1"/>
  <c r="B409" i="30" l="1"/>
  <c r="E408" i="30"/>
  <c r="G408" i="30" s="1"/>
  <c r="B410" i="30" l="1"/>
  <c r="E409" i="30"/>
  <c r="G409" i="30" s="1"/>
  <c r="B411" i="30" l="1"/>
  <c r="E410" i="30"/>
  <c r="G410" i="30" s="1"/>
  <c r="B412" i="30" l="1"/>
  <c r="E411" i="30"/>
  <c r="G411" i="30" s="1"/>
  <c r="B413" i="30" l="1"/>
  <c r="E412" i="30"/>
  <c r="G412" i="30" s="1"/>
  <c r="B414" i="30" l="1"/>
  <c r="E413" i="30"/>
  <c r="G413" i="30" s="1"/>
  <c r="B415" i="30" l="1"/>
  <c r="E414" i="30"/>
  <c r="G414" i="30" s="1"/>
  <c r="B416" i="30" l="1"/>
  <c r="E415" i="30"/>
  <c r="G415" i="30" s="1"/>
  <c r="B417" i="30" l="1"/>
  <c r="E416" i="30"/>
  <c r="G416" i="30" s="1"/>
  <c r="B418" i="30" l="1"/>
  <c r="E417" i="30"/>
  <c r="G417" i="30" s="1"/>
  <c r="B419" i="30" l="1"/>
  <c r="E418" i="30"/>
  <c r="G418" i="30" s="1"/>
  <c r="B420" i="30" l="1"/>
  <c r="E419" i="30"/>
  <c r="G419" i="30" s="1"/>
  <c r="B421" i="30" l="1"/>
  <c r="E420" i="30"/>
  <c r="G420" i="30" s="1"/>
  <c r="B422" i="30" l="1"/>
  <c r="E421" i="30"/>
  <c r="G421" i="30" s="1"/>
  <c r="B423" i="30" l="1"/>
  <c r="E422" i="30"/>
  <c r="G422" i="30" s="1"/>
  <c r="B424" i="30" l="1"/>
  <c r="E423" i="30"/>
  <c r="G423" i="30" s="1"/>
  <c r="B425" i="30" l="1"/>
  <c r="E424" i="30"/>
  <c r="G424" i="30" s="1"/>
  <c r="B426" i="30" l="1"/>
  <c r="E425" i="30"/>
  <c r="G425" i="30" s="1"/>
  <c r="B427" i="30" l="1"/>
  <c r="E426" i="30"/>
  <c r="G426" i="30" s="1"/>
  <c r="B428" i="30" l="1"/>
  <c r="E427" i="30"/>
  <c r="G427" i="30" s="1"/>
  <c r="B429" i="30" l="1"/>
  <c r="E428" i="30"/>
  <c r="G428" i="30" s="1"/>
  <c r="B430" i="30" l="1"/>
  <c r="E429" i="30"/>
  <c r="G429" i="30" s="1"/>
  <c r="B431" i="30" l="1"/>
  <c r="E430" i="30"/>
  <c r="G430" i="30" s="1"/>
  <c r="B432" i="30" l="1"/>
  <c r="E431" i="30"/>
  <c r="G431" i="30" s="1"/>
  <c r="B433" i="30" l="1"/>
  <c r="E432" i="30"/>
  <c r="G432" i="30" s="1"/>
  <c r="B434" i="30" l="1"/>
  <c r="E433" i="30"/>
  <c r="G433" i="30" s="1"/>
  <c r="B435" i="30" l="1"/>
  <c r="E434" i="30"/>
  <c r="G434" i="30" s="1"/>
  <c r="B436" i="30" l="1"/>
  <c r="E435" i="30"/>
  <c r="G435" i="30" s="1"/>
  <c r="B437" i="30" l="1"/>
  <c r="E436" i="30"/>
  <c r="G436" i="30" s="1"/>
  <c r="B438" i="30" l="1"/>
  <c r="E437" i="30"/>
  <c r="G437" i="30" s="1"/>
  <c r="B439" i="30" l="1"/>
  <c r="E438" i="30"/>
  <c r="G438" i="30" s="1"/>
  <c r="B440" i="30" l="1"/>
  <c r="E439" i="30"/>
  <c r="G439" i="30" s="1"/>
  <c r="B441" i="30" l="1"/>
  <c r="E440" i="30"/>
  <c r="G440" i="30" s="1"/>
  <c r="B442" i="30" l="1"/>
  <c r="E441" i="30"/>
  <c r="G441" i="30" s="1"/>
  <c r="B443" i="30" l="1"/>
  <c r="E442" i="30"/>
  <c r="G442" i="30" s="1"/>
  <c r="B444" i="30" l="1"/>
  <c r="E443" i="30"/>
  <c r="G443" i="30" s="1"/>
  <c r="B445" i="30" l="1"/>
  <c r="E444" i="30"/>
  <c r="G444" i="30" s="1"/>
  <c r="B446" i="30" l="1"/>
  <c r="E445" i="30"/>
  <c r="G445" i="30" s="1"/>
  <c r="B447" i="30" l="1"/>
  <c r="E446" i="30"/>
  <c r="G446" i="30" s="1"/>
  <c r="B448" i="30" l="1"/>
  <c r="E447" i="30"/>
  <c r="G447" i="30" s="1"/>
  <c r="B449" i="30" l="1"/>
  <c r="E448" i="30"/>
  <c r="G448" i="30" s="1"/>
  <c r="B450" i="30" l="1"/>
  <c r="E449" i="30"/>
  <c r="G449" i="30" s="1"/>
  <c r="B451" i="30" l="1"/>
  <c r="E450" i="30"/>
  <c r="G450" i="30" s="1"/>
  <c r="B452" i="30" l="1"/>
  <c r="E451" i="30"/>
  <c r="G451" i="30" s="1"/>
  <c r="B453" i="30" l="1"/>
  <c r="E452" i="30"/>
  <c r="G452" i="30" s="1"/>
  <c r="B454" i="30" l="1"/>
  <c r="E453" i="30"/>
  <c r="G453" i="30" s="1"/>
  <c r="B455" i="30" l="1"/>
  <c r="E454" i="30"/>
  <c r="G454" i="30" s="1"/>
  <c r="B456" i="30" l="1"/>
  <c r="E455" i="30"/>
  <c r="G455" i="30" s="1"/>
  <c r="B457" i="30" l="1"/>
  <c r="E456" i="30"/>
  <c r="G456" i="30" s="1"/>
  <c r="B458" i="30" l="1"/>
  <c r="E457" i="30"/>
  <c r="G457" i="30" s="1"/>
  <c r="B459" i="30" l="1"/>
  <c r="E458" i="30"/>
  <c r="G458" i="30" s="1"/>
  <c r="B460" i="30" l="1"/>
  <c r="E459" i="30"/>
  <c r="G459" i="30" s="1"/>
  <c r="B461" i="30" l="1"/>
  <c r="E460" i="30"/>
  <c r="G460" i="30" s="1"/>
  <c r="B462" i="30" l="1"/>
  <c r="E461" i="30"/>
  <c r="G461" i="30" s="1"/>
  <c r="B463" i="30" l="1"/>
  <c r="E462" i="30"/>
  <c r="G462" i="30" s="1"/>
  <c r="B464" i="30" l="1"/>
  <c r="E463" i="30"/>
  <c r="G463" i="30" s="1"/>
  <c r="B465" i="30" l="1"/>
  <c r="E464" i="30"/>
  <c r="G464" i="30" s="1"/>
  <c r="B466" i="30" l="1"/>
  <c r="E465" i="30"/>
  <c r="G465" i="30" s="1"/>
  <c r="B467" i="30" l="1"/>
  <c r="E466" i="30"/>
  <c r="G466" i="30" s="1"/>
  <c r="B468" i="30" l="1"/>
  <c r="E467" i="30"/>
  <c r="G467" i="30" s="1"/>
  <c r="B469" i="30" l="1"/>
  <c r="E468" i="30"/>
  <c r="G468" i="30" s="1"/>
  <c r="B470" i="30" l="1"/>
  <c r="E469" i="30"/>
  <c r="G469" i="30" s="1"/>
  <c r="B471" i="30" l="1"/>
  <c r="E470" i="30"/>
  <c r="G470" i="30" s="1"/>
  <c r="B472" i="30" l="1"/>
  <c r="E471" i="30"/>
  <c r="G471" i="30" s="1"/>
  <c r="B473" i="30" l="1"/>
  <c r="E472" i="30"/>
  <c r="G472" i="30" s="1"/>
  <c r="B474" i="30" l="1"/>
  <c r="E473" i="30"/>
  <c r="G473" i="30" s="1"/>
  <c r="B475" i="30" l="1"/>
  <c r="E474" i="30"/>
  <c r="G474" i="30" s="1"/>
  <c r="B476" i="30" l="1"/>
  <c r="E475" i="30"/>
  <c r="G475" i="30" s="1"/>
  <c r="B477" i="30" l="1"/>
  <c r="E476" i="30"/>
  <c r="G476" i="30" s="1"/>
  <c r="B478" i="30" l="1"/>
  <c r="E477" i="30"/>
  <c r="G477" i="30" s="1"/>
  <c r="B479" i="30" l="1"/>
  <c r="E478" i="30"/>
  <c r="G478" i="30" s="1"/>
  <c r="B480" i="30" l="1"/>
  <c r="E479" i="30"/>
  <c r="G479" i="30" s="1"/>
  <c r="B481" i="30" l="1"/>
  <c r="E480" i="30"/>
  <c r="G480" i="30" s="1"/>
  <c r="B482" i="30" l="1"/>
  <c r="E481" i="30"/>
  <c r="G481" i="30" s="1"/>
  <c r="B483" i="30" l="1"/>
  <c r="E482" i="30"/>
  <c r="G482" i="30" s="1"/>
  <c r="B484" i="30" l="1"/>
  <c r="E483" i="30"/>
  <c r="G483" i="30" s="1"/>
  <c r="B485" i="30" l="1"/>
  <c r="E484" i="30"/>
  <c r="G484" i="30" s="1"/>
  <c r="B486" i="30" l="1"/>
  <c r="E485" i="30"/>
  <c r="G485" i="30" s="1"/>
  <c r="B487" i="30" l="1"/>
  <c r="E486" i="30"/>
  <c r="G486" i="30" s="1"/>
  <c r="B488" i="30" l="1"/>
  <c r="E487" i="30"/>
  <c r="G487" i="30" s="1"/>
  <c r="B489" i="30" l="1"/>
  <c r="E488" i="30"/>
  <c r="G488" i="30" s="1"/>
  <c r="B490" i="30" l="1"/>
  <c r="E489" i="30"/>
  <c r="G489" i="30" s="1"/>
  <c r="B491" i="30" l="1"/>
  <c r="E490" i="30"/>
  <c r="G490" i="30" s="1"/>
  <c r="B492" i="30" l="1"/>
  <c r="E491" i="30"/>
  <c r="G491" i="30" s="1"/>
  <c r="B493" i="30" l="1"/>
  <c r="E492" i="30"/>
  <c r="G492" i="30" s="1"/>
  <c r="B494" i="30" l="1"/>
  <c r="E493" i="30"/>
  <c r="G493" i="30" s="1"/>
  <c r="B495" i="30" l="1"/>
  <c r="E494" i="30"/>
  <c r="G494" i="30" s="1"/>
  <c r="B496" i="30" l="1"/>
  <c r="E495" i="30"/>
  <c r="G495" i="30" s="1"/>
  <c r="B497" i="30" l="1"/>
  <c r="E496" i="30"/>
  <c r="G496" i="30" s="1"/>
  <c r="B498" i="30" l="1"/>
  <c r="E497" i="30"/>
  <c r="G497" i="30" s="1"/>
  <c r="B499" i="30" l="1"/>
  <c r="E498" i="30"/>
  <c r="G498" i="30" s="1"/>
  <c r="B500" i="30" l="1"/>
  <c r="E499" i="30"/>
  <c r="G499" i="30" s="1"/>
  <c r="B501" i="30" l="1"/>
  <c r="E500" i="30"/>
  <c r="G500" i="30" s="1"/>
  <c r="B502" i="30" l="1"/>
  <c r="E501" i="30"/>
  <c r="G501" i="30" s="1"/>
  <c r="B503" i="30" l="1"/>
  <c r="E502" i="30"/>
  <c r="G502" i="30" s="1"/>
  <c r="B504" i="30" l="1"/>
  <c r="E503" i="30"/>
  <c r="G503" i="30" s="1"/>
  <c r="B505" i="30" l="1"/>
  <c r="E504" i="30"/>
  <c r="G504" i="30" s="1"/>
  <c r="B506" i="30" l="1"/>
  <c r="E505" i="30"/>
  <c r="G505" i="30" s="1"/>
  <c r="B507" i="30" l="1"/>
  <c r="E506" i="30"/>
  <c r="G506" i="30" s="1"/>
  <c r="B508" i="30" l="1"/>
  <c r="E507" i="30"/>
  <c r="G507" i="30" s="1"/>
  <c r="B509" i="30" l="1"/>
  <c r="E508" i="30"/>
  <c r="G508" i="30" s="1"/>
  <c r="B510" i="30" l="1"/>
  <c r="E509" i="30"/>
  <c r="G509" i="30" s="1"/>
  <c r="B511" i="30" l="1"/>
  <c r="E510" i="30"/>
  <c r="G510" i="30" s="1"/>
  <c r="B512" i="30" l="1"/>
  <c r="E511" i="30"/>
  <c r="G511" i="30" s="1"/>
  <c r="B513" i="30" l="1"/>
  <c r="E512" i="30"/>
  <c r="G512" i="30" s="1"/>
  <c r="B514" i="30" l="1"/>
  <c r="E513" i="30"/>
  <c r="G513" i="30" s="1"/>
  <c r="B515" i="30" l="1"/>
  <c r="E514" i="30"/>
  <c r="G514" i="30" s="1"/>
  <c r="B516" i="30" l="1"/>
  <c r="E515" i="30"/>
  <c r="G515" i="30" s="1"/>
  <c r="B517" i="30" l="1"/>
  <c r="E516" i="30"/>
  <c r="G516" i="30" s="1"/>
  <c r="B518" i="30" l="1"/>
  <c r="E517" i="30"/>
  <c r="G517" i="30" s="1"/>
  <c r="B519" i="30" l="1"/>
  <c r="E518" i="30"/>
  <c r="G518" i="30" s="1"/>
  <c r="B520" i="30" l="1"/>
  <c r="E519" i="30"/>
  <c r="G519" i="30" s="1"/>
  <c r="B521" i="30" l="1"/>
  <c r="E520" i="30"/>
  <c r="G520" i="30" s="1"/>
  <c r="B522" i="30" l="1"/>
  <c r="E521" i="30"/>
  <c r="G521" i="30" s="1"/>
  <c r="B523" i="30" l="1"/>
  <c r="E522" i="30"/>
  <c r="G522" i="30" s="1"/>
  <c r="B524" i="30" l="1"/>
  <c r="E523" i="30"/>
  <c r="G523" i="30" s="1"/>
  <c r="B525" i="30" l="1"/>
  <c r="E524" i="30"/>
  <c r="G524" i="30" s="1"/>
  <c r="B526" i="30" l="1"/>
  <c r="E525" i="30"/>
  <c r="G525" i="30" s="1"/>
  <c r="B527" i="30" l="1"/>
  <c r="E526" i="30"/>
  <c r="G526" i="30" s="1"/>
  <c r="B528" i="30" l="1"/>
  <c r="E527" i="30"/>
  <c r="G527" i="30" s="1"/>
  <c r="B529" i="30" l="1"/>
  <c r="E528" i="30"/>
  <c r="G528" i="30" s="1"/>
  <c r="B530" i="30" l="1"/>
  <c r="E529" i="30"/>
  <c r="G529" i="30" s="1"/>
  <c r="B531" i="30" l="1"/>
  <c r="E530" i="30"/>
  <c r="G530" i="30" s="1"/>
  <c r="B532" i="30" l="1"/>
  <c r="E531" i="30"/>
  <c r="G531" i="30" s="1"/>
  <c r="B533" i="30" l="1"/>
  <c r="E532" i="30"/>
  <c r="G532" i="30" s="1"/>
  <c r="B534" i="30" l="1"/>
  <c r="E533" i="30"/>
  <c r="G533" i="30" s="1"/>
  <c r="B535" i="30" l="1"/>
  <c r="E534" i="30"/>
  <c r="G534" i="30" s="1"/>
  <c r="B536" i="30" l="1"/>
  <c r="E535" i="30"/>
  <c r="G535" i="30" s="1"/>
  <c r="B537" i="30" l="1"/>
  <c r="E536" i="30"/>
  <c r="G536" i="30" s="1"/>
  <c r="B538" i="30" l="1"/>
  <c r="E537" i="30"/>
  <c r="G537" i="30" s="1"/>
  <c r="B539" i="30" l="1"/>
  <c r="E538" i="30"/>
  <c r="G538" i="30" s="1"/>
  <c r="B540" i="30" l="1"/>
  <c r="E539" i="30"/>
  <c r="G539" i="30" s="1"/>
  <c r="B541" i="30" l="1"/>
  <c r="E540" i="30"/>
  <c r="G540" i="30" s="1"/>
  <c r="B542" i="30" l="1"/>
  <c r="E541" i="30"/>
  <c r="G541" i="30" s="1"/>
  <c r="B543" i="30" l="1"/>
  <c r="E542" i="30"/>
  <c r="G542" i="30" s="1"/>
  <c r="B544" i="30" l="1"/>
  <c r="E543" i="30"/>
  <c r="G543" i="30" s="1"/>
  <c r="B545" i="30" l="1"/>
  <c r="E544" i="30"/>
  <c r="G544" i="30" s="1"/>
  <c r="B546" i="30" l="1"/>
  <c r="E545" i="30"/>
  <c r="G545" i="30" s="1"/>
  <c r="B547" i="30" l="1"/>
  <c r="E546" i="30"/>
  <c r="G546" i="30" s="1"/>
  <c r="B548" i="30" l="1"/>
  <c r="E547" i="30"/>
  <c r="G547" i="30" s="1"/>
  <c r="B549" i="30" l="1"/>
  <c r="E548" i="30"/>
  <c r="G548" i="30" s="1"/>
  <c r="B550" i="30" l="1"/>
  <c r="E549" i="30"/>
  <c r="G549" i="30" s="1"/>
  <c r="B551" i="30" l="1"/>
  <c r="E550" i="30"/>
  <c r="G550" i="30" s="1"/>
  <c r="B552" i="30" l="1"/>
  <c r="E551" i="30"/>
  <c r="G551" i="30" s="1"/>
  <c r="B553" i="30" l="1"/>
  <c r="E552" i="30"/>
  <c r="G552" i="30" s="1"/>
  <c r="B554" i="30" l="1"/>
  <c r="E553" i="30"/>
  <c r="G553" i="30" s="1"/>
  <c r="B555" i="30" l="1"/>
  <c r="E554" i="30"/>
  <c r="G554" i="30" s="1"/>
  <c r="B556" i="30" l="1"/>
  <c r="E555" i="30"/>
  <c r="G555" i="30" s="1"/>
  <c r="B557" i="30" l="1"/>
  <c r="E556" i="30"/>
  <c r="G556" i="30" s="1"/>
  <c r="B558" i="30" l="1"/>
  <c r="E557" i="30"/>
  <c r="G557" i="30" s="1"/>
  <c r="B559" i="30" l="1"/>
  <c r="E558" i="30"/>
  <c r="G558" i="30" s="1"/>
  <c r="B560" i="30" l="1"/>
  <c r="E559" i="30"/>
  <c r="G559" i="30" s="1"/>
  <c r="B561" i="30" l="1"/>
  <c r="E560" i="30"/>
  <c r="G560" i="30" s="1"/>
  <c r="B562" i="30" l="1"/>
  <c r="E561" i="30"/>
  <c r="G561" i="30" s="1"/>
  <c r="B563" i="30" l="1"/>
  <c r="E562" i="30"/>
  <c r="G562" i="30" s="1"/>
  <c r="B564" i="30" l="1"/>
  <c r="E563" i="30"/>
  <c r="G563" i="30" s="1"/>
  <c r="B565" i="30" l="1"/>
  <c r="E564" i="30"/>
  <c r="G564" i="30" s="1"/>
  <c r="B566" i="30" l="1"/>
  <c r="E565" i="30"/>
  <c r="G565" i="30" s="1"/>
  <c r="B567" i="30" l="1"/>
  <c r="E566" i="30"/>
  <c r="G566" i="30" s="1"/>
  <c r="B568" i="30" l="1"/>
  <c r="E567" i="30"/>
  <c r="G567" i="30" s="1"/>
  <c r="B569" i="30" l="1"/>
  <c r="E568" i="30"/>
  <c r="G568" i="30" s="1"/>
  <c r="B570" i="30" l="1"/>
  <c r="E569" i="30"/>
  <c r="G569" i="30" s="1"/>
  <c r="B571" i="30" l="1"/>
  <c r="E570" i="30"/>
  <c r="G570" i="30" s="1"/>
  <c r="B572" i="30" l="1"/>
  <c r="E571" i="30"/>
  <c r="G571" i="30" s="1"/>
  <c r="B573" i="30" l="1"/>
  <c r="E572" i="30"/>
  <c r="G572" i="30" s="1"/>
  <c r="B574" i="30" l="1"/>
  <c r="E573" i="30"/>
  <c r="G573" i="30" s="1"/>
  <c r="B575" i="30" l="1"/>
  <c r="E574" i="30"/>
  <c r="G574" i="30" s="1"/>
  <c r="B576" i="30" l="1"/>
  <c r="E575" i="30"/>
  <c r="G575" i="30" s="1"/>
  <c r="B577" i="30" l="1"/>
  <c r="E576" i="30"/>
  <c r="G576" i="30" s="1"/>
  <c r="B578" i="30" l="1"/>
  <c r="E577" i="30"/>
  <c r="G577" i="30" s="1"/>
  <c r="B579" i="30" l="1"/>
  <c r="E578" i="30"/>
  <c r="G578" i="30" s="1"/>
  <c r="B580" i="30" l="1"/>
  <c r="E579" i="30"/>
  <c r="G579" i="30" s="1"/>
  <c r="B581" i="30" l="1"/>
  <c r="E580" i="30"/>
  <c r="G580" i="30" s="1"/>
  <c r="B582" i="30" l="1"/>
  <c r="E581" i="30"/>
  <c r="G581" i="30" s="1"/>
  <c r="B583" i="30" l="1"/>
  <c r="E582" i="30"/>
  <c r="G582" i="30" s="1"/>
  <c r="B584" i="30" l="1"/>
  <c r="E583" i="30"/>
  <c r="G583" i="30" s="1"/>
  <c r="B585" i="30" l="1"/>
  <c r="E584" i="30"/>
  <c r="G584" i="30" s="1"/>
  <c r="B586" i="30" l="1"/>
  <c r="E585" i="30"/>
  <c r="G585" i="30" s="1"/>
  <c r="B587" i="30" l="1"/>
  <c r="E586" i="30"/>
  <c r="G586" i="30" s="1"/>
  <c r="B588" i="30" l="1"/>
  <c r="E587" i="30"/>
  <c r="G587" i="30" s="1"/>
  <c r="B589" i="30" l="1"/>
  <c r="E588" i="30"/>
  <c r="G588" i="30" s="1"/>
  <c r="B590" i="30" l="1"/>
  <c r="E589" i="30"/>
  <c r="G589" i="30" s="1"/>
  <c r="B591" i="30" l="1"/>
  <c r="E590" i="30"/>
  <c r="G590" i="30" s="1"/>
  <c r="B592" i="30" l="1"/>
  <c r="E591" i="30"/>
  <c r="G591" i="30" s="1"/>
  <c r="B593" i="30" l="1"/>
  <c r="E592" i="30"/>
  <c r="G592" i="30" s="1"/>
  <c r="B594" i="30" l="1"/>
  <c r="E593" i="30"/>
  <c r="G593" i="30" s="1"/>
  <c r="B595" i="30" l="1"/>
  <c r="E594" i="30"/>
  <c r="G594" i="30" s="1"/>
  <c r="B596" i="30" l="1"/>
  <c r="E595" i="30"/>
  <c r="G595" i="30" s="1"/>
  <c r="B597" i="30" l="1"/>
  <c r="E596" i="30"/>
  <c r="G596" i="30" s="1"/>
  <c r="B598" i="30" l="1"/>
  <c r="E597" i="30"/>
  <c r="G597" i="30" s="1"/>
  <c r="B599" i="30" l="1"/>
  <c r="E598" i="30"/>
  <c r="G598" i="30" s="1"/>
  <c r="B600" i="30" l="1"/>
  <c r="E599" i="30"/>
  <c r="G599" i="30" s="1"/>
  <c r="B601" i="30" l="1"/>
  <c r="E600" i="30"/>
  <c r="G600" i="30" s="1"/>
  <c r="B602" i="30" l="1"/>
  <c r="E601" i="30"/>
  <c r="G601" i="30" s="1"/>
  <c r="B603" i="30" l="1"/>
  <c r="E602" i="30"/>
  <c r="G602" i="30" s="1"/>
  <c r="B604" i="30" l="1"/>
  <c r="E603" i="30"/>
  <c r="G603" i="30" s="1"/>
  <c r="B605" i="30" l="1"/>
  <c r="E604" i="30"/>
  <c r="G604" i="30" s="1"/>
  <c r="B606" i="30" l="1"/>
  <c r="E605" i="30"/>
  <c r="G605" i="30" s="1"/>
  <c r="B607" i="30" l="1"/>
  <c r="E606" i="30"/>
  <c r="G606" i="30" s="1"/>
  <c r="B608" i="30" l="1"/>
  <c r="E607" i="30"/>
  <c r="G607" i="30" s="1"/>
  <c r="B609" i="30" l="1"/>
  <c r="E608" i="30"/>
  <c r="G608" i="30" s="1"/>
  <c r="B610" i="30" l="1"/>
  <c r="E609" i="30"/>
  <c r="G609" i="30" s="1"/>
  <c r="B611" i="30" l="1"/>
  <c r="E610" i="30"/>
  <c r="G610" i="30" s="1"/>
  <c r="B612" i="30" l="1"/>
  <c r="E611" i="30"/>
  <c r="G611" i="30" s="1"/>
  <c r="B613" i="30" l="1"/>
  <c r="E612" i="30"/>
  <c r="G612" i="30" s="1"/>
  <c r="B614" i="30" l="1"/>
  <c r="E613" i="30"/>
  <c r="G613" i="30" s="1"/>
  <c r="B615" i="30" l="1"/>
  <c r="E614" i="30"/>
  <c r="G614" i="30" s="1"/>
  <c r="B616" i="30" l="1"/>
  <c r="E615" i="30"/>
  <c r="G615" i="30" s="1"/>
  <c r="B617" i="30" l="1"/>
  <c r="E616" i="30"/>
  <c r="G616" i="30" s="1"/>
  <c r="B618" i="30" l="1"/>
  <c r="E617" i="30"/>
  <c r="G617" i="30" s="1"/>
  <c r="B619" i="30" l="1"/>
  <c r="E618" i="30"/>
  <c r="G618" i="30" s="1"/>
  <c r="B620" i="30" l="1"/>
  <c r="E619" i="30"/>
  <c r="G619" i="30" s="1"/>
  <c r="B621" i="30" l="1"/>
  <c r="E620" i="30"/>
  <c r="G620" i="30" s="1"/>
  <c r="B622" i="30" l="1"/>
  <c r="E621" i="30"/>
  <c r="G621" i="30" s="1"/>
  <c r="B623" i="30" l="1"/>
  <c r="E622" i="30"/>
  <c r="G622" i="30" s="1"/>
  <c r="B624" i="30" l="1"/>
  <c r="E623" i="30"/>
  <c r="G623" i="30" s="1"/>
  <c r="B625" i="30" l="1"/>
  <c r="E624" i="30"/>
  <c r="G624" i="30" s="1"/>
  <c r="B626" i="30" l="1"/>
  <c r="E625" i="30"/>
  <c r="G625" i="30" s="1"/>
  <c r="B627" i="30" l="1"/>
  <c r="E626" i="30"/>
  <c r="G626" i="30" s="1"/>
  <c r="B628" i="30" l="1"/>
  <c r="E627" i="30"/>
  <c r="G627" i="30" s="1"/>
  <c r="B629" i="30" l="1"/>
  <c r="E628" i="30"/>
  <c r="G628" i="30" s="1"/>
  <c r="B630" i="30" l="1"/>
  <c r="E629" i="30"/>
  <c r="G629" i="30" s="1"/>
  <c r="B631" i="30" l="1"/>
  <c r="E630" i="30"/>
  <c r="G630" i="30" s="1"/>
  <c r="B632" i="30" l="1"/>
  <c r="E631" i="30"/>
  <c r="G631" i="30" s="1"/>
  <c r="B633" i="30" l="1"/>
  <c r="E632" i="30"/>
  <c r="G632" i="30" s="1"/>
  <c r="B634" i="30" l="1"/>
  <c r="E633" i="30"/>
  <c r="G633" i="30" s="1"/>
  <c r="B635" i="30" l="1"/>
  <c r="E634" i="30"/>
  <c r="G634" i="30" s="1"/>
  <c r="B636" i="30" l="1"/>
  <c r="E635" i="30"/>
  <c r="G635" i="30" s="1"/>
  <c r="B637" i="30" l="1"/>
  <c r="E636" i="30"/>
  <c r="G636" i="30" s="1"/>
  <c r="B638" i="30" l="1"/>
  <c r="E637" i="30"/>
  <c r="G637" i="30" s="1"/>
  <c r="B639" i="30" l="1"/>
  <c r="E638" i="30"/>
  <c r="G638" i="30" s="1"/>
  <c r="B640" i="30" l="1"/>
  <c r="E639" i="30"/>
  <c r="G639" i="30" s="1"/>
  <c r="B641" i="30" l="1"/>
  <c r="E640" i="30"/>
  <c r="G640" i="30" s="1"/>
  <c r="B642" i="30" l="1"/>
  <c r="E641" i="30"/>
  <c r="G641" i="30" s="1"/>
  <c r="B643" i="30" l="1"/>
  <c r="E642" i="30"/>
  <c r="G642" i="30" s="1"/>
  <c r="B644" i="30" l="1"/>
  <c r="E643" i="30"/>
  <c r="G643" i="30" s="1"/>
  <c r="B645" i="30" l="1"/>
  <c r="E644" i="30"/>
  <c r="G644" i="30" s="1"/>
  <c r="B646" i="30" l="1"/>
  <c r="E645" i="30"/>
  <c r="G645" i="30" s="1"/>
  <c r="B647" i="30" l="1"/>
  <c r="E646" i="30"/>
  <c r="G646" i="30" s="1"/>
  <c r="B648" i="30" l="1"/>
  <c r="E647" i="30"/>
  <c r="G647" i="30" s="1"/>
  <c r="B649" i="30" l="1"/>
  <c r="E648" i="30"/>
  <c r="G648" i="30" s="1"/>
  <c r="B650" i="30" l="1"/>
  <c r="E649" i="30"/>
  <c r="G649" i="30" s="1"/>
  <c r="B651" i="30" l="1"/>
  <c r="E650" i="30"/>
  <c r="G650" i="30" s="1"/>
  <c r="B652" i="30" l="1"/>
  <c r="E651" i="30"/>
  <c r="G651" i="30" s="1"/>
  <c r="B653" i="30" l="1"/>
  <c r="E652" i="30"/>
  <c r="G652" i="30" s="1"/>
  <c r="B654" i="30" l="1"/>
  <c r="E653" i="30"/>
  <c r="G653" i="30" s="1"/>
  <c r="B655" i="30" l="1"/>
  <c r="E654" i="30"/>
  <c r="G654" i="30" s="1"/>
  <c r="B656" i="30" l="1"/>
  <c r="E655" i="30"/>
  <c r="G655" i="30" s="1"/>
  <c r="B657" i="30" l="1"/>
  <c r="E656" i="30"/>
  <c r="G656" i="30" s="1"/>
  <c r="B658" i="30" l="1"/>
  <c r="E657" i="30"/>
  <c r="G657" i="30" s="1"/>
  <c r="B659" i="30" l="1"/>
  <c r="E658" i="30"/>
  <c r="G658" i="30" s="1"/>
  <c r="B660" i="30" l="1"/>
  <c r="E659" i="30"/>
  <c r="G659" i="30" s="1"/>
  <c r="B661" i="30" l="1"/>
  <c r="E660" i="30"/>
  <c r="G660" i="30" s="1"/>
  <c r="B662" i="30" l="1"/>
  <c r="E661" i="30"/>
  <c r="G661" i="30" s="1"/>
  <c r="B663" i="30" l="1"/>
  <c r="E662" i="30"/>
  <c r="G662" i="30" s="1"/>
  <c r="B664" i="30" l="1"/>
  <c r="E663" i="30"/>
  <c r="G663" i="30" s="1"/>
  <c r="B665" i="30" l="1"/>
  <c r="E664" i="30"/>
  <c r="G664" i="30" s="1"/>
  <c r="B666" i="30" l="1"/>
  <c r="E665" i="30"/>
  <c r="G665" i="30" s="1"/>
  <c r="B667" i="30" l="1"/>
  <c r="E666" i="30"/>
  <c r="G666" i="30" s="1"/>
  <c r="B668" i="30" l="1"/>
  <c r="E667" i="30"/>
  <c r="G667" i="30" s="1"/>
  <c r="B669" i="30" l="1"/>
  <c r="E668" i="30"/>
  <c r="G668" i="30" s="1"/>
  <c r="B670" i="30" l="1"/>
  <c r="E669" i="30"/>
  <c r="G669" i="30" s="1"/>
  <c r="B671" i="30" l="1"/>
  <c r="E670" i="30"/>
  <c r="G670" i="30" s="1"/>
  <c r="B672" i="30" l="1"/>
  <c r="E671" i="30"/>
  <c r="G671" i="30" s="1"/>
  <c r="B673" i="30" l="1"/>
  <c r="E672" i="30"/>
  <c r="G672" i="30" s="1"/>
  <c r="B674" i="30" l="1"/>
  <c r="E673" i="30"/>
  <c r="G673" i="30" s="1"/>
  <c r="B675" i="30" l="1"/>
  <c r="E674" i="30"/>
  <c r="G674" i="30" s="1"/>
  <c r="B676" i="30" l="1"/>
  <c r="E675" i="30"/>
  <c r="G675" i="30" s="1"/>
  <c r="B677" i="30" l="1"/>
  <c r="E676" i="30"/>
  <c r="G676" i="30" s="1"/>
  <c r="B678" i="30" l="1"/>
  <c r="E677" i="30"/>
  <c r="G677" i="30" s="1"/>
  <c r="B679" i="30" l="1"/>
  <c r="E678" i="30"/>
  <c r="G678" i="30" s="1"/>
  <c r="B680" i="30" l="1"/>
  <c r="E679" i="30"/>
  <c r="G679" i="30" s="1"/>
  <c r="B681" i="30" l="1"/>
  <c r="E680" i="30"/>
  <c r="G680" i="30" s="1"/>
  <c r="B682" i="30" l="1"/>
  <c r="E681" i="30"/>
  <c r="G681" i="30" s="1"/>
  <c r="B683" i="30" l="1"/>
  <c r="E682" i="30"/>
  <c r="G682" i="30" s="1"/>
  <c r="B684" i="30" l="1"/>
  <c r="E683" i="30"/>
  <c r="G683" i="30" s="1"/>
  <c r="B685" i="30" l="1"/>
  <c r="E684" i="30"/>
  <c r="G684" i="30" s="1"/>
  <c r="B686" i="30" l="1"/>
  <c r="E685" i="30"/>
  <c r="G685" i="30" s="1"/>
  <c r="B687" i="30" l="1"/>
  <c r="E686" i="30"/>
  <c r="G686" i="30" s="1"/>
  <c r="B688" i="30" l="1"/>
  <c r="E687" i="30"/>
  <c r="G687" i="30" s="1"/>
  <c r="E688" i="30" l="1"/>
  <c r="G688" i="30" s="1"/>
  <c r="B689" i="30"/>
  <c r="B690" i="30" l="1"/>
  <c r="E689" i="30"/>
  <c r="G689" i="30" s="1"/>
  <c r="B691" i="30" l="1"/>
  <c r="E690" i="30"/>
  <c r="G690" i="30" s="1"/>
  <c r="B692" i="30" l="1"/>
  <c r="E691" i="30"/>
  <c r="G691" i="30" s="1"/>
  <c r="B693" i="30" l="1"/>
  <c r="E692" i="30"/>
  <c r="G692" i="30" s="1"/>
  <c r="B694" i="30" l="1"/>
  <c r="E693" i="30"/>
  <c r="G693" i="30" s="1"/>
  <c r="B695" i="30" l="1"/>
  <c r="E694" i="30"/>
  <c r="G694" i="30" s="1"/>
  <c r="B696" i="30" l="1"/>
  <c r="E695" i="30"/>
  <c r="G695" i="30" s="1"/>
  <c r="B697" i="30" l="1"/>
  <c r="E696" i="30"/>
  <c r="G696" i="30" s="1"/>
  <c r="B698" i="30" l="1"/>
  <c r="E697" i="30"/>
  <c r="G697" i="30" s="1"/>
  <c r="B699" i="30" l="1"/>
  <c r="E698" i="30"/>
  <c r="G698" i="30" s="1"/>
  <c r="B700" i="30" l="1"/>
  <c r="E699" i="30"/>
  <c r="G699" i="30" s="1"/>
  <c r="B701" i="30" l="1"/>
  <c r="E700" i="30"/>
  <c r="G700" i="30" s="1"/>
  <c r="B702" i="30" l="1"/>
  <c r="E701" i="30"/>
  <c r="G701" i="30" s="1"/>
  <c r="B703" i="30" l="1"/>
  <c r="E702" i="30"/>
  <c r="G702" i="30" s="1"/>
  <c r="B704" i="30" l="1"/>
  <c r="E703" i="30"/>
  <c r="G703" i="30" s="1"/>
  <c r="B705" i="30" l="1"/>
  <c r="E704" i="30"/>
  <c r="G704" i="30" s="1"/>
  <c r="B706" i="30" l="1"/>
  <c r="E705" i="30"/>
  <c r="G705" i="30" s="1"/>
  <c r="B707" i="30" l="1"/>
  <c r="E706" i="30"/>
  <c r="G706" i="30" s="1"/>
  <c r="B708" i="30" l="1"/>
  <c r="E707" i="30"/>
  <c r="G707" i="30" s="1"/>
  <c r="B709" i="30" l="1"/>
  <c r="E708" i="30"/>
  <c r="G708" i="30" s="1"/>
  <c r="B710" i="30" l="1"/>
  <c r="E709" i="30"/>
  <c r="G709" i="30" s="1"/>
  <c r="B711" i="30" l="1"/>
  <c r="E710" i="30"/>
  <c r="G710" i="30" s="1"/>
  <c r="B712" i="30" l="1"/>
  <c r="E711" i="30"/>
  <c r="G711" i="30" s="1"/>
  <c r="B713" i="30" l="1"/>
  <c r="E712" i="30"/>
  <c r="G712" i="30" s="1"/>
  <c r="B714" i="30" l="1"/>
  <c r="E713" i="30"/>
  <c r="G713" i="30" s="1"/>
  <c r="B715" i="30" l="1"/>
  <c r="E714" i="30"/>
  <c r="G714" i="30" s="1"/>
  <c r="B716" i="30" l="1"/>
  <c r="E715" i="30"/>
  <c r="G715" i="30" s="1"/>
  <c r="B717" i="30" l="1"/>
  <c r="E716" i="30"/>
  <c r="G716" i="30" s="1"/>
  <c r="B718" i="30" l="1"/>
  <c r="E717" i="30"/>
  <c r="G717" i="30" s="1"/>
  <c r="B719" i="30" l="1"/>
  <c r="E718" i="30"/>
  <c r="G718" i="30" s="1"/>
  <c r="B720" i="30" l="1"/>
  <c r="E719" i="30"/>
  <c r="G719" i="30" s="1"/>
  <c r="B721" i="30" l="1"/>
  <c r="E720" i="30"/>
  <c r="G720" i="30" s="1"/>
  <c r="B722" i="30" l="1"/>
  <c r="E721" i="30"/>
  <c r="G721" i="30" s="1"/>
  <c r="B723" i="30" l="1"/>
  <c r="E722" i="30"/>
  <c r="G722" i="30" s="1"/>
  <c r="B724" i="30" l="1"/>
  <c r="E723" i="30"/>
  <c r="G723" i="30" s="1"/>
  <c r="B725" i="30" l="1"/>
  <c r="E724" i="30"/>
  <c r="G724" i="30" s="1"/>
  <c r="B726" i="30" l="1"/>
  <c r="E725" i="30"/>
  <c r="G725" i="30" s="1"/>
  <c r="B727" i="30" l="1"/>
  <c r="E726" i="30"/>
  <c r="G726" i="30" s="1"/>
  <c r="B728" i="30" l="1"/>
  <c r="E727" i="30"/>
  <c r="G727" i="30" s="1"/>
  <c r="B729" i="30" l="1"/>
  <c r="E728" i="30"/>
  <c r="G728" i="30" s="1"/>
  <c r="B730" i="30" l="1"/>
  <c r="E729" i="30"/>
  <c r="G729" i="30" s="1"/>
  <c r="B731" i="30" l="1"/>
  <c r="E730" i="30"/>
  <c r="G730" i="30" s="1"/>
  <c r="B732" i="30" l="1"/>
  <c r="E731" i="30"/>
  <c r="G731" i="30" s="1"/>
  <c r="B733" i="30" l="1"/>
  <c r="E732" i="30"/>
  <c r="G732" i="30" s="1"/>
  <c r="B734" i="30" l="1"/>
  <c r="E733" i="30"/>
  <c r="G733" i="30" s="1"/>
  <c r="B735" i="30" l="1"/>
  <c r="E734" i="30"/>
  <c r="G734" i="30" s="1"/>
  <c r="B736" i="30" l="1"/>
  <c r="E735" i="30"/>
  <c r="G735" i="30" s="1"/>
  <c r="B737" i="30" l="1"/>
  <c r="E736" i="30"/>
  <c r="G736" i="30" s="1"/>
  <c r="B738" i="30" l="1"/>
  <c r="E737" i="30"/>
  <c r="G737" i="30" s="1"/>
  <c r="B739" i="30" l="1"/>
  <c r="E738" i="30"/>
  <c r="G738" i="30" s="1"/>
  <c r="B740" i="30" l="1"/>
  <c r="E739" i="30"/>
  <c r="G739" i="30" s="1"/>
  <c r="B741" i="30" l="1"/>
  <c r="E740" i="30"/>
  <c r="G740" i="30" s="1"/>
  <c r="B742" i="30" l="1"/>
  <c r="E741" i="30"/>
  <c r="G741" i="30" s="1"/>
  <c r="B743" i="30" l="1"/>
  <c r="E742" i="30"/>
  <c r="G742" i="30" s="1"/>
  <c r="B744" i="30" l="1"/>
  <c r="E743" i="30"/>
  <c r="G743" i="30" s="1"/>
  <c r="B745" i="30" l="1"/>
  <c r="E744" i="30"/>
  <c r="G744" i="30" s="1"/>
  <c r="B746" i="30" l="1"/>
  <c r="E745" i="30"/>
  <c r="G745" i="30" s="1"/>
  <c r="B747" i="30" l="1"/>
  <c r="E746" i="30"/>
  <c r="G746" i="30" s="1"/>
  <c r="B748" i="30" l="1"/>
  <c r="E747" i="30"/>
  <c r="G747" i="30" s="1"/>
  <c r="B749" i="30" l="1"/>
  <c r="E748" i="30"/>
  <c r="G748" i="30" s="1"/>
  <c r="B750" i="30" l="1"/>
  <c r="E749" i="30"/>
  <c r="G749" i="30" s="1"/>
  <c r="B751" i="30" l="1"/>
  <c r="E750" i="30"/>
  <c r="G750" i="30" s="1"/>
  <c r="B752" i="30" l="1"/>
  <c r="E751" i="30"/>
  <c r="G751" i="30" s="1"/>
  <c r="B753" i="30" l="1"/>
  <c r="E752" i="30"/>
  <c r="G752" i="30" s="1"/>
  <c r="B754" i="30" l="1"/>
  <c r="E753" i="30"/>
  <c r="G753" i="30" s="1"/>
  <c r="B755" i="30" l="1"/>
  <c r="E754" i="30"/>
  <c r="G754" i="30" s="1"/>
  <c r="B756" i="30" l="1"/>
  <c r="E755" i="30"/>
  <c r="G755" i="30" s="1"/>
  <c r="B757" i="30" l="1"/>
  <c r="E756" i="30"/>
  <c r="G756" i="30" s="1"/>
  <c r="B758" i="30" l="1"/>
  <c r="E757" i="30"/>
  <c r="G757" i="30" s="1"/>
  <c r="B759" i="30" l="1"/>
  <c r="E758" i="30"/>
  <c r="G758" i="30" s="1"/>
  <c r="B760" i="30" l="1"/>
  <c r="E759" i="30"/>
  <c r="G759" i="30" s="1"/>
  <c r="B761" i="30" l="1"/>
  <c r="E760" i="30"/>
  <c r="G760" i="30" s="1"/>
  <c r="E761" i="30" l="1"/>
  <c r="G761" i="30" s="1"/>
</calcChain>
</file>

<file path=xl/sharedStrings.xml><?xml version="1.0" encoding="utf-8"?>
<sst xmlns="http://schemas.openxmlformats.org/spreadsheetml/2006/main" count="205" uniqueCount="97">
  <si>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</si>
  <si>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</si>
  <si>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</si>
  <si>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</si>
  <si>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</si>
  <si>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</si>
  <si>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</si>
  <si>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</si>
  <si>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</si>
  <si>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</si>
  <si>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</si>
  <si>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</si>
  <si>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</si>
  <si>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</si>
  <si>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</si>
  <si>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</si>
  <si>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</si>
  <si>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</si>
  <si>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</si>
  <si>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</si>
  <si>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</si>
  <si>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</si>
  <si>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</si>
  <si>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</si>
  <si>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</si>
  <si>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</si>
  <si>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</si>
  <si>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</si>
  <si>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</si>
  <si>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</si>
  <si>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</si>
  <si>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</si>
  <si>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</si>
  <si>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</si>
  <si>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</si>
  <si>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</si>
  <si>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</si>
  <si>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</si>
  <si>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</si>
  <si>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</si>
  <si>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</si>
  <si>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</si>
  <si>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</si>
  <si>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</si>
  <si>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</si>
  <si>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</si>
  <si>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</si>
  <si>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</si>
  <si>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</si>
  <si>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</si>
  <si>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</si>
  <si>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</si>
  <si>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</si>
  <si>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United Nations</t>
  </si>
  <si>
    <t>Madan</t>
  </si>
  <si>
    <t>Washintong DC vilambi 2018</t>
  </si>
  <si>
    <t>TZ</t>
  </si>
  <si>
    <t>Date</t>
  </si>
  <si>
    <t>Time</t>
  </si>
  <si>
    <t>Lat</t>
  </si>
  <si>
    <t>Long</t>
  </si>
  <si>
    <t>UT(GMT)</t>
  </si>
  <si>
    <t>Merc</t>
  </si>
  <si>
    <t>JJ Punya</t>
  </si>
  <si>
    <t>Hora Lagna</t>
  </si>
  <si>
    <t>Ghatika Lagna</t>
  </si>
  <si>
    <t>Bhaava Lagna</t>
  </si>
  <si>
    <t>Sunset</t>
  </si>
  <si>
    <t>sriram</t>
  </si>
  <si>
    <t>india</t>
  </si>
  <si>
    <t>nifty</t>
  </si>
  <si>
    <t>don’t use</t>
  </si>
  <si>
    <t>$B$1</t>
  </si>
  <si>
    <t>D1</t>
  </si>
  <si>
    <t>D9</t>
  </si>
  <si>
    <t>Sun 2</t>
  </si>
  <si>
    <t>Moon 3</t>
  </si>
  <si>
    <t>Mars 4</t>
  </si>
  <si>
    <t>Merc5</t>
  </si>
  <si>
    <t>Jupiter6</t>
  </si>
  <si>
    <t>Venus 7</t>
  </si>
  <si>
    <t>Saturn 8</t>
  </si>
  <si>
    <t>Rahu 9</t>
  </si>
  <si>
    <t>Sun 22</t>
  </si>
  <si>
    <t>Moon 33</t>
  </si>
  <si>
    <t>Mars 44</t>
  </si>
  <si>
    <t>Merc55</t>
  </si>
  <si>
    <t>Jupiter66</t>
  </si>
  <si>
    <t>Venus 77</t>
  </si>
  <si>
    <t>Saturn 88</t>
  </si>
  <si>
    <t>Rahu 99</t>
  </si>
  <si>
    <t>d1check</t>
  </si>
  <si>
    <t>niftycheck</t>
  </si>
  <si>
    <t>255, 192, 0</t>
  </si>
  <si>
    <t>255,0,0</t>
  </si>
  <si>
    <t>India</t>
  </si>
  <si>
    <t>0,0,255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</si>
</sst>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F400]h:mm:ss\ AM/PM"/>
    <numFmt numFmtId="172" formatCode="yyyy/mm/dd\ ddd\ hh:mm"/>
    <numFmt numFmtId="173" formatCode="0.000"/>
    <numFmt numFmtId="174" formatCode="yyyy/mm/dd"/>
  </numFmts>
  <fonts count="25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  <font>
      <b/>
      <i/>
      <sz val="10"/>
      <color theme="0" tint="-0.14999847407452621"/>
      <name val="Arial"/>
      <family val="2"/>
    </font>
    <font>
      <b/>
      <i/>
      <sz val="10"/>
      <color theme="1"/>
      <name val="Arial"/>
      <family val="2"/>
    </font>
    <font>
      <b/>
      <sz val="12"/>
      <color theme="0" tint="-0.14999847407452621"/>
      <name val="Arial"/>
      <family val="2"/>
    </font>
    <font>
      <sz val="10"/>
      <color theme="1"/>
      <name val="Arial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9"/>
      </top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1" fillId="2" borderId="1" xfId="0" applyFont="1" applyFill="1" applyBorder="1" applyProtection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 applyBorder="1" applyProtection="1"/>
    <xf numFmtId="0" fontId="0" fillId="2" borderId="0" xfId="0" applyFill="1" applyBorder="1" applyProtection="1"/>
    <xf numFmtId="22" fontId="0" fillId="2" borderId="0" xfId="0" applyNumberFormat="1" applyFill="1" applyBorder="1" applyProtection="1"/>
    <xf numFmtId="0" fontId="0" fillId="2" borderId="0" xfId="0" applyFill="1" applyBorder="1" applyAlignment="1" applyProtection="1">
      <alignment horizontal="left"/>
    </xf>
    <xf numFmtId="0" fontId="0" fillId="2" borderId="0" xfId="0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Protection="1"/>
    <xf numFmtId="0" fontId="4" fillId="2" borderId="0" xfId="0" applyFont="1" applyFill="1" applyBorder="1" applyAlignment="1" applyProtection="1">
      <alignment horizontal="left"/>
      <protection locked="0"/>
    </xf>
    <xf numFmtId="2" fontId="0" fillId="2" borderId="0" xfId="0" applyNumberFormat="1" applyFill="1" applyBorder="1" applyProtection="1"/>
    <xf numFmtId="0" fontId="3" fillId="2" borderId="0" xfId="0" applyFont="1" applyFill="1" applyBorder="1" applyAlignment="1">
      <alignment shrinkToFit="1"/>
    </xf>
    <xf numFmtId="0" fontId="9" fillId="2" borderId="0" xfId="0" applyFont="1" applyFill="1" applyBorder="1" applyAlignment="1" applyProtection="1">
      <alignment horizontal="center"/>
      <protection locked="0"/>
    </xf>
    <xf numFmtId="0" fontId="0" fillId="2" borderId="0" xfId="0" applyFill="1" applyBorder="1" applyAlignment="1">
      <alignment shrinkToFit="1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/>
    <xf numFmtId="0" fontId="10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Border="1" applyProtection="1"/>
    <xf numFmtId="0" fontId="5" fillId="2" borderId="0" xfId="0" applyFont="1" applyFill="1" applyBorder="1" applyAlignment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" fillId="2" borderId="0" xfId="0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center"/>
    </xf>
    <xf numFmtId="167" fontId="2" fillId="2" borderId="0" xfId="0" applyNumberFormat="1" applyFont="1" applyFill="1" applyBorder="1" applyAlignment="1" applyProtection="1">
      <alignment horizontal="center"/>
    </xf>
    <xf numFmtId="165" fontId="2" fillId="2" borderId="0" xfId="0" applyNumberFormat="1" applyFont="1" applyFill="1" applyBorder="1" applyAlignment="1" applyProtection="1">
      <alignment horizontal="left"/>
    </xf>
    <xf numFmtId="19" fontId="2" fillId="2" borderId="0" xfId="0" applyNumberFormat="1" applyFont="1" applyFill="1" applyBorder="1" applyAlignment="1" applyProtection="1">
      <alignment horizontal="center"/>
    </xf>
    <xf numFmtId="0" fontId="2" fillId="2" borderId="0" xfId="0" quotePrefix="1" applyFont="1" applyFill="1" applyBorder="1" applyAlignment="1" applyProtection="1">
      <alignment horizontal="right"/>
    </xf>
    <xf numFmtId="0" fontId="6" fillId="2" borderId="0" xfId="0" applyFont="1" applyFill="1" applyBorder="1" applyAlignment="1" applyProtection="1">
      <alignment horizontal="center"/>
    </xf>
    <xf numFmtId="165" fontId="2" fillId="2" borderId="0" xfId="0" applyNumberFormat="1" applyFont="1" applyFill="1" applyBorder="1" applyProtection="1"/>
    <xf numFmtId="21" fontId="2" fillId="2" borderId="0" xfId="0" applyNumberFormat="1" applyFont="1" applyFill="1" applyBorder="1" applyProtection="1"/>
    <xf numFmtId="0" fontId="1" fillId="2" borderId="2" xfId="0" applyFont="1" applyFill="1" applyBorder="1" applyAlignment="1" applyProtection="1"/>
    <xf numFmtId="0" fontId="1" fillId="2" borderId="3" xfId="0" applyFont="1" applyFill="1" applyBorder="1" applyAlignment="1" applyProtection="1"/>
    <xf numFmtId="164" fontId="1" fillId="2" borderId="3" xfId="0" applyNumberFormat="1" applyFont="1" applyFill="1" applyBorder="1" applyProtection="1"/>
    <xf numFmtId="164" fontId="1" fillId="2" borderId="4" xfId="0" applyNumberFormat="1" applyFont="1" applyFill="1" applyBorder="1" applyProtection="1"/>
    <xf numFmtId="22" fontId="2" fillId="2" borderId="5" xfId="0" applyNumberFormat="1" applyFont="1" applyFill="1" applyBorder="1" applyProtection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 applyProtection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 applyProtection="1">
      <alignment horizontal="left"/>
    </xf>
    <xf numFmtId="0" fontId="7" fillId="5" borderId="10" xfId="0" applyFont="1" applyFill="1" applyBorder="1" applyAlignment="1" applyProtection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 applyBorder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 applyProtection="1">
      <alignment horizontal="right"/>
    </xf>
    <xf numFmtId="0" fontId="0" fillId="2" borderId="0" xfId="0" applyFill="1" applyBorder="1" applyAlignment="1">
      <alignment horizontal="right"/>
    </xf>
    <xf numFmtId="166" fontId="2" fillId="2" borderId="0" xfId="0" applyNumberFormat="1" applyFont="1" applyFill="1" applyBorder="1" applyAlignment="1" applyProtection="1">
      <alignment horizontal="left"/>
    </xf>
    <xf numFmtId="0" fontId="2" fillId="6" borderId="1" xfId="0" applyNumberFormat="1" applyFont="1" applyFill="1" applyBorder="1" applyAlignment="1" applyProtection="1">
      <alignment horizontal="center"/>
    </xf>
    <xf numFmtId="0" fontId="16" fillId="5" borderId="10" xfId="0" applyFont="1" applyFill="1" applyBorder="1" applyAlignment="1" applyProtection="1">
      <alignment horizontal="center"/>
    </xf>
    <xf numFmtId="1" fontId="16" fillId="5" borderId="10" xfId="0" applyNumberFormat="1" applyFont="1" applyFill="1" applyBorder="1" applyAlignment="1" applyProtection="1">
      <alignment horizontal="center"/>
    </xf>
    <xf numFmtId="2" fontId="16" fillId="5" borderId="10" xfId="0" applyNumberFormat="1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Border="1" applyAlignment="1">
      <alignment horizontal="center"/>
    </xf>
    <xf numFmtId="1" fontId="14" fillId="2" borderId="0" xfId="0" applyNumberFormat="1" applyFont="1" applyFill="1" applyBorder="1" applyAlignment="1">
      <alignment horizontal="center"/>
    </xf>
    <xf numFmtId="2" fontId="14" fillId="2" borderId="0" xfId="0" applyNumberFormat="1" applyFont="1" applyFill="1" applyBorder="1" applyAlignment="1">
      <alignment horizontal="center"/>
    </xf>
    <xf numFmtId="166" fontId="7" fillId="5" borderId="10" xfId="0" applyNumberFormat="1" applyFont="1" applyFill="1" applyBorder="1" applyAlignment="1" applyProtection="1">
      <alignment horizontal="right"/>
    </xf>
    <xf numFmtId="166" fontId="0" fillId="2" borderId="0" xfId="0" applyNumberFormat="1" applyFill="1" applyBorder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 applyProtection="1">
      <alignment horizontal="left"/>
    </xf>
    <xf numFmtId="0" fontId="18" fillId="3" borderId="10" xfId="0" applyFont="1" applyFill="1" applyBorder="1" applyAlignment="1" applyProtection="1">
      <alignment horizontal="left"/>
    </xf>
    <xf numFmtId="0" fontId="18" fillId="3" borderId="10" xfId="0" applyFont="1" applyFill="1" applyBorder="1" applyProtection="1"/>
    <xf numFmtId="0" fontId="18" fillId="3" borderId="7" xfId="0" applyFont="1" applyFill="1" applyBorder="1" applyProtection="1"/>
    <xf numFmtId="0" fontId="17" fillId="2" borderId="0" xfId="0" applyFont="1" applyFill="1" applyBorder="1"/>
    <xf numFmtId="0" fontId="17" fillId="2" borderId="0" xfId="0" applyFont="1" applyFill="1" applyBorder="1" applyAlignment="1">
      <alignment horizontal="left"/>
    </xf>
    <xf numFmtId="0" fontId="17" fillId="2" borderId="0" xfId="0" applyFont="1" applyFill="1" applyBorder="1" applyProtection="1"/>
    <xf numFmtId="0" fontId="19" fillId="2" borderId="0" xfId="0" applyFont="1" applyFill="1" applyBorder="1" applyProtection="1"/>
    <xf numFmtId="0" fontId="18" fillId="3" borderId="10" xfId="0" applyFont="1" applyFill="1" applyBorder="1" applyAlignment="1" applyProtection="1">
      <alignment horizontal="right"/>
    </xf>
    <xf numFmtId="0" fontId="7" fillId="5" borderId="7" xfId="0" applyFont="1" applyFill="1" applyBorder="1" applyAlignment="1" applyProtection="1">
      <alignment horizontal="center"/>
    </xf>
    <xf numFmtId="0" fontId="1" fillId="7" borderId="1" xfId="0" applyFont="1" applyFill="1" applyBorder="1" applyProtection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0" fillId="2" borderId="0" xfId="0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4" fontId="0" fillId="0" borderId="0" xfId="0" applyNumberFormat="1"/>
    <xf numFmtId="2" fontId="1" fillId="2" borderId="1" xfId="0" applyNumberFormat="1" applyFont="1" applyFill="1" applyBorder="1" applyAlignment="1" applyProtection="1">
      <alignment horizontal="left"/>
      <protection locked="0" hidden="1"/>
    </xf>
    <xf numFmtId="2" fontId="1" fillId="7" borderId="1" xfId="0" applyNumberFormat="1" applyFont="1" applyFill="1" applyBorder="1" applyAlignment="1" applyProtection="1">
      <alignment horizontal="left"/>
      <protection locked="0" hidden="1"/>
    </xf>
    <xf numFmtId="171" fontId="0" fillId="0" borderId="0" xfId="0" applyNumberFormat="1"/>
    <xf numFmtId="172" fontId="0" fillId="0" borderId="0" xfId="0" applyNumberFormat="1"/>
    <xf numFmtId="0" fontId="14" fillId="0" borderId="0" xfId="0" applyFont="1"/>
    <xf numFmtId="173" fontId="0" fillId="0" borderId="0" xfId="0" applyNumberFormat="1"/>
    <xf numFmtId="172" fontId="14" fillId="0" borderId="0" xfId="0" applyNumberFormat="1" applyFont="1"/>
    <xf numFmtId="171" fontId="14" fillId="0" borderId="0" xfId="0" applyNumberFormat="1" applyFont="1"/>
    <xf numFmtId="165" fontId="2" fillId="2" borderId="0" xfId="0" applyNumberFormat="1" applyFont="1" applyFill="1" applyBorder="1" applyAlignment="1" applyProtection="1">
      <alignment horizontal="left"/>
    </xf>
    <xf numFmtId="2" fontId="0" fillId="2" borderId="0" xfId="0" applyNumberFormat="1" applyFill="1" applyBorder="1" applyAlignment="1">
      <alignment horizontal="left"/>
    </xf>
    <xf numFmtId="174" fontId="0" fillId="0" borderId="0" xfId="0" applyNumberFormat="1"/>
    <xf numFmtId="1" fontId="0" fillId="0" borderId="0" xfId="0" applyNumberFormat="1"/>
    <xf numFmtId="1" fontId="14" fillId="0" borderId="0" xfId="0" applyNumberFormat="1" applyFont="1"/>
    <xf numFmtId="1" fontId="0" fillId="0" borderId="3" xfId="0" applyNumberFormat="1" applyBorder="1"/>
    <xf numFmtId="0" fontId="0" fillId="0" borderId="3" xfId="0" applyBorder="1"/>
    <xf numFmtId="1" fontId="14" fillId="0" borderId="3" xfId="0" applyNumberFormat="1" applyFont="1" applyBorder="1"/>
    <xf numFmtId="2" fontId="14" fillId="2" borderId="0" xfId="0" applyNumberFormat="1" applyFont="1" applyFill="1" applyBorder="1" applyProtection="1"/>
    <xf numFmtId="0" fontId="21" fillId="9" borderId="1" xfId="0" applyFont="1" applyFill="1" applyBorder="1" applyProtection="1"/>
    <xf numFmtId="0" fontId="22" fillId="11" borderId="1" xfId="0" applyFont="1" applyFill="1" applyBorder="1" applyProtection="1"/>
    <xf numFmtId="0" fontId="21" fillId="12" borderId="1" xfId="0" applyFont="1" applyFill="1" applyBorder="1" applyProtection="1"/>
    <xf numFmtId="0" fontId="14" fillId="2" borderId="0" xfId="0" applyFont="1" applyFill="1" applyBorder="1" applyAlignment="1">
      <alignment horizontal="right"/>
    </xf>
    <xf numFmtId="0" fontId="21" fillId="13" borderId="1" xfId="0" applyFont="1" applyFill="1" applyBorder="1" applyProtection="1"/>
    <xf numFmtId="1" fontId="23" fillId="0" borderId="3" xfId="0" applyNumberFormat="1" applyFont="1" applyBorder="1"/>
    <xf numFmtId="0" fontId="1" fillId="10" borderId="1" xfId="0" applyFont="1" applyFill="1" applyBorder="1" applyProtection="1"/>
    <xf numFmtId="0" fontId="2" fillId="6" borderId="1" xfId="0" applyNumberFormat="1" applyFont="1" applyFill="1" applyBorder="1" applyAlignment="1" applyProtection="1">
      <alignment horizontal="left"/>
    </xf>
    <xf numFmtId="171" fontId="24" fillId="0" borderId="20" xfId="0" applyNumberFormat="1" applyFont="1" applyBorder="1"/>
    <xf numFmtId="165" fontId="2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26"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  <border diagonalUp="0" diagonalDown="0" outline="0">
        <left style="thin">
          <color indexed="64"/>
        </left>
        <right/>
        <top/>
        <bottom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71" formatCode="[$-F400]h:mm:ss\ AM/PM"/>
    </dxf>
    <dxf>
      <numFmt numFmtId="171" formatCode="[$-F400]h:mm:ss\ AM/PM"/>
    </dxf>
    <dxf>
      <numFmt numFmtId="172" formatCode="yyyy/mm/dd\ ddd\ hh:mm"/>
    </dxf>
    <dxf>
      <numFmt numFmtId="173" formatCode="0.000"/>
    </dxf>
    <dxf>
      <numFmt numFmtId="173" formatCode="0.000"/>
    </dxf>
    <dxf>
      <numFmt numFmtId="174" formatCode="yyyy/mm/dd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1" formatCode="[$-F400]h:mm:ss\ AM/PM"/>
    </dxf>
    <dxf>
      <numFmt numFmtId="172" formatCode="yyyy/mm/dd\ ddd\ hh:mm"/>
    </dxf>
    <dxf>
      <numFmt numFmtId="172" formatCode="yyyy/mm/dd\ ddd\ hh:mm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1" formatCode="[$-F400]h:mm:ss\ AM/PM"/>
    </dxf>
    <dxf>
      <numFmt numFmtId="174" formatCode="yyyy/mm/dd"/>
    </dxf>
    <dxf>
      <numFmt numFmtId="174" formatCode="yyyy/mm/dd"/>
    </dxf>
    <dxf>
      <numFmt numFmtId="173" formatCode="0.00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</dxf>
    <dxf>
      <font>
        <b/>
        <strike val="0"/>
        <outline val="0"/>
        <shadow val="0"/>
        <u val="none"/>
        <vertAlign val="baseline"/>
        <sz val="12"/>
        <color theme="0" tint="-0.14999847407452621"/>
        <name val="Arial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border outline="0">
        <right style="thin">
          <color indexed="64"/>
        </right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71" formatCode="[$-F400]h:mm:ss\ AM/PM"/>
    </dxf>
    <dxf>
      <numFmt numFmtId="171" formatCode="[$-F400]h:mm:ss\ AM/PM"/>
    </dxf>
    <dxf>
      <numFmt numFmtId="172" formatCode="yyyy/mm/dd\ ddd\ hh:mm"/>
    </dxf>
    <dxf>
      <numFmt numFmtId="173" formatCode="0.000"/>
    </dxf>
    <dxf>
      <numFmt numFmtId="173" formatCode="0.000"/>
    </dxf>
    <dxf>
      <numFmt numFmtId="174" formatCode="yyyy/mm/dd"/>
    </dxf>
    <dxf>
      <numFmt numFmtId="173" formatCode="0.000"/>
    </dxf>
    <dxf>
      <fill>
        <patternFill>
          <bgColor rgb="FF00FFFF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FF0000"/>
        </patternFill>
      </fill>
    </dxf>
    <dxf>
      <font>
        <color rgb="FF0000FF"/>
      </font>
      <fill>
        <patternFill>
          <bgColor rgb="FFFFFF00"/>
        </patternFill>
      </fill>
    </dxf>
    <dxf>
      <fill>
        <patternFill>
          <bgColor rgb="FF0000FF"/>
        </patternFill>
      </fill>
    </dxf>
    <dxf>
      <font>
        <strike/>
        <u val="double"/>
        <color rgb="FF00FF00"/>
      </font>
      <fill>
        <patternFill>
          <bgColor rgb="FFFFFFFF"/>
        </patternFill>
      </fill>
    </dxf>
    <dxf>
      <font>
        <strike/>
        <u val="double"/>
        <color rgb="FF00FFFF"/>
      </font>
      <fill>
        <patternFill>
          <bgColor rgb="FFFFFFFF"/>
        </patternFill>
      </fill>
    </dxf>
    <dxf>
      <fill>
        <patternFill>
          <bgColor rgb="FFFF4000"/>
        </patternFill>
      </fill>
    </dxf>
    <dxf>
      <fill>
        <patternFill>
          <bgColor rgb="FFFF4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0000FF"/>
      <color rgb="FFFF4000"/>
      <color rgb="FFED1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>
          <a:extLst>
            <a:ext uri="{FF2B5EF4-FFF2-40B4-BE49-F238E27FC236}">
              <a16:creationId xmlns:a16="http://schemas.microsoft.com/office/drawing/2014/main" id="{00000000-0008-0000-0400-000003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>
          <a:extLst>
            <a:ext uri="{FF2B5EF4-FFF2-40B4-BE49-F238E27FC236}">
              <a16:creationId xmlns:a16="http://schemas.microsoft.com/office/drawing/2014/main" id="{00000000-0008-0000-0400-00000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>
          <a:extLst>
            <a:ext uri="{FF2B5EF4-FFF2-40B4-BE49-F238E27FC236}">
              <a16:creationId xmlns:a16="http://schemas.microsoft.com/office/drawing/2014/main" id="{00000000-0008-0000-0400-00000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>
          <a:extLst>
            <a:ext uri="{FF2B5EF4-FFF2-40B4-BE49-F238E27FC236}">
              <a16:creationId xmlns:a16="http://schemas.microsoft.com/office/drawing/2014/main" id="{00000000-0008-0000-0400-00000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>
          <a:extLst>
            <a:ext uri="{FF2B5EF4-FFF2-40B4-BE49-F238E27FC236}">
              <a16:creationId xmlns:a16="http://schemas.microsoft.com/office/drawing/2014/main" id="{00000000-0008-0000-0400-00000B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>
          <a:extLst>
            <a:ext uri="{FF2B5EF4-FFF2-40B4-BE49-F238E27FC236}">
              <a16:creationId xmlns:a16="http://schemas.microsoft.com/office/drawing/2014/main" id="{00000000-0008-0000-0400-00000C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>
          <a:extLst>
            <a:ext uri="{FF2B5EF4-FFF2-40B4-BE49-F238E27FC236}">
              <a16:creationId xmlns:a16="http://schemas.microsoft.com/office/drawing/2014/main" id="{00000000-0008-0000-0400-00000D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>
          <a:extLst>
            <a:ext uri="{FF2B5EF4-FFF2-40B4-BE49-F238E27FC236}">
              <a16:creationId xmlns:a16="http://schemas.microsoft.com/office/drawing/2014/main" id="{00000000-0008-0000-0400-00000E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>
          <a:extLst>
            <a:ext uri="{FF2B5EF4-FFF2-40B4-BE49-F238E27FC236}">
              <a16:creationId xmlns:a16="http://schemas.microsoft.com/office/drawing/2014/main" id="{00000000-0008-0000-0400-00000F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>
          <a:extLst>
            <a:ext uri="{FF2B5EF4-FFF2-40B4-BE49-F238E27FC236}">
              <a16:creationId xmlns:a16="http://schemas.microsoft.com/office/drawing/2014/main" id="{00000000-0008-0000-0400-000010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>
          <a:extLst>
            <a:ext uri="{FF2B5EF4-FFF2-40B4-BE49-F238E27FC236}">
              <a16:creationId xmlns:a16="http://schemas.microsoft.com/office/drawing/2014/main" id="{00000000-0008-0000-0400-00001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>
          <a:extLst>
            <a:ext uri="{FF2B5EF4-FFF2-40B4-BE49-F238E27FC236}">
              <a16:creationId xmlns:a16="http://schemas.microsoft.com/office/drawing/2014/main" id="{00000000-0008-0000-0400-000012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>
          <a:extLst>
            <a:ext uri="{FF2B5EF4-FFF2-40B4-BE49-F238E27FC236}">
              <a16:creationId xmlns:a16="http://schemas.microsoft.com/office/drawing/2014/main" id="{00000000-0008-0000-0400-000013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>
          <a:extLst>
            <a:ext uri="{FF2B5EF4-FFF2-40B4-BE49-F238E27FC236}">
              <a16:creationId xmlns:a16="http://schemas.microsoft.com/office/drawing/2014/main" id="{00000000-0008-0000-0400-000014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>
          <a:extLst>
            <a:ext uri="{FF2B5EF4-FFF2-40B4-BE49-F238E27FC236}">
              <a16:creationId xmlns:a16="http://schemas.microsoft.com/office/drawing/2014/main" id="{00000000-0008-0000-0400-000015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>
          <a:extLst>
            <a:ext uri="{FF2B5EF4-FFF2-40B4-BE49-F238E27FC236}">
              <a16:creationId xmlns:a16="http://schemas.microsoft.com/office/drawing/2014/main" id="{00000000-0008-0000-0400-000016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>
          <a:extLst>
            <a:ext uri="{FF2B5EF4-FFF2-40B4-BE49-F238E27FC236}">
              <a16:creationId xmlns:a16="http://schemas.microsoft.com/office/drawing/2014/main" id="{00000000-0008-0000-0400-000017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>
          <a:extLst>
            <a:ext uri="{FF2B5EF4-FFF2-40B4-BE49-F238E27FC236}">
              <a16:creationId xmlns:a16="http://schemas.microsoft.com/office/drawing/2014/main" id="{00000000-0008-0000-0400-00001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>
          <a:extLst>
            <a:ext uri="{FF2B5EF4-FFF2-40B4-BE49-F238E27FC236}">
              <a16:creationId xmlns:a16="http://schemas.microsoft.com/office/drawing/2014/main" id="{00000000-0008-0000-0400-00001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>
          <a:extLst>
            <a:ext uri="{FF2B5EF4-FFF2-40B4-BE49-F238E27FC236}">
              <a16:creationId xmlns:a16="http://schemas.microsoft.com/office/drawing/2014/main" id="{00000000-0008-0000-0400-00001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>
          <a:extLst>
            <a:ext uri="{FF2B5EF4-FFF2-40B4-BE49-F238E27FC236}">
              <a16:creationId xmlns:a16="http://schemas.microsoft.com/office/drawing/2014/main" id="{00000000-0008-0000-0400-00001B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>
          <a:extLst>
            <a:ext uri="{FF2B5EF4-FFF2-40B4-BE49-F238E27FC236}">
              <a16:creationId xmlns:a16="http://schemas.microsoft.com/office/drawing/2014/main" id="{00000000-0008-0000-0400-00001C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>
          <a:extLst>
            <a:ext uri="{FF2B5EF4-FFF2-40B4-BE49-F238E27FC236}">
              <a16:creationId xmlns:a16="http://schemas.microsoft.com/office/drawing/2014/main" id="{00000000-0008-0000-0400-00001D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>
          <a:extLst>
            <a:ext uri="{FF2B5EF4-FFF2-40B4-BE49-F238E27FC236}">
              <a16:creationId xmlns:a16="http://schemas.microsoft.com/office/drawing/2014/main" id="{00000000-0008-0000-0600-000001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>
          <a:extLst>
            <a:ext uri="{FF2B5EF4-FFF2-40B4-BE49-F238E27FC236}">
              <a16:creationId xmlns:a16="http://schemas.microsoft.com/office/drawing/2014/main" id="{00000000-0008-0000-0600-000002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>
          <a:extLst>
            <a:ext uri="{FF2B5EF4-FFF2-40B4-BE49-F238E27FC236}">
              <a16:creationId xmlns:a16="http://schemas.microsoft.com/office/drawing/2014/main" id="{00000000-0008-0000-0600-000003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>
          <a:extLst>
            <a:ext uri="{FF2B5EF4-FFF2-40B4-BE49-F238E27FC236}">
              <a16:creationId xmlns:a16="http://schemas.microsoft.com/office/drawing/2014/main" id="{00000000-0008-0000-0600-00000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>
          <a:extLst>
            <a:ext uri="{FF2B5EF4-FFF2-40B4-BE49-F238E27FC236}">
              <a16:creationId xmlns:a16="http://schemas.microsoft.com/office/drawing/2014/main" id="{00000000-0008-0000-0600-00000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>
          <a:extLst>
            <a:ext uri="{FF2B5EF4-FFF2-40B4-BE49-F238E27FC236}">
              <a16:creationId xmlns:a16="http://schemas.microsoft.com/office/drawing/2014/main" id="{00000000-0008-0000-0600-00000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600-000007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>
          <a:extLst>
            <a:ext uri="{FF2B5EF4-FFF2-40B4-BE49-F238E27FC236}">
              <a16:creationId xmlns:a16="http://schemas.microsoft.com/office/drawing/2014/main" id="{00000000-0008-0000-0600-000008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>
          <a:extLst>
            <a:ext uri="{FF2B5EF4-FFF2-40B4-BE49-F238E27FC236}">
              <a16:creationId xmlns:a16="http://schemas.microsoft.com/office/drawing/2014/main" id="{00000000-0008-0000-0600-000009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>
          <a:extLst>
            <a:ext uri="{FF2B5EF4-FFF2-40B4-BE49-F238E27FC236}">
              <a16:creationId xmlns:a16="http://schemas.microsoft.com/office/drawing/2014/main" id="{00000000-0008-0000-0600-00000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>
          <a:extLst>
            <a:ext uri="{FF2B5EF4-FFF2-40B4-BE49-F238E27FC236}">
              <a16:creationId xmlns:a16="http://schemas.microsoft.com/office/drawing/2014/main" id="{00000000-0008-0000-0600-00000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>
          <a:extLst>
            <a:ext uri="{FF2B5EF4-FFF2-40B4-BE49-F238E27FC236}">
              <a16:creationId xmlns:a16="http://schemas.microsoft.com/office/drawing/2014/main" id="{00000000-0008-0000-0600-00000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>
          <a:extLst>
            <a:ext uri="{FF2B5EF4-FFF2-40B4-BE49-F238E27FC236}">
              <a16:creationId xmlns:a16="http://schemas.microsoft.com/office/drawing/2014/main" id="{00000000-0008-0000-0600-00000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>
          <a:extLst>
            <a:ext uri="{FF2B5EF4-FFF2-40B4-BE49-F238E27FC236}">
              <a16:creationId xmlns:a16="http://schemas.microsoft.com/office/drawing/2014/main" id="{00000000-0008-0000-0600-00000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>
          <a:extLst>
            <a:ext uri="{FF2B5EF4-FFF2-40B4-BE49-F238E27FC236}">
              <a16:creationId xmlns:a16="http://schemas.microsoft.com/office/drawing/2014/main" id="{00000000-0008-0000-0600-00001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>
          <a:extLst>
            <a:ext uri="{FF2B5EF4-FFF2-40B4-BE49-F238E27FC236}">
              <a16:creationId xmlns:a16="http://schemas.microsoft.com/office/drawing/2014/main" id="{00000000-0008-0000-0600-000011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>
          <a:extLst>
            <a:ext uri="{FF2B5EF4-FFF2-40B4-BE49-F238E27FC236}">
              <a16:creationId xmlns:a16="http://schemas.microsoft.com/office/drawing/2014/main" id="{00000000-0008-0000-0600-000012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>
          <a:extLst>
            <a:ext uri="{FF2B5EF4-FFF2-40B4-BE49-F238E27FC236}">
              <a16:creationId xmlns:a16="http://schemas.microsoft.com/office/drawing/2014/main" id="{00000000-0008-0000-0600-000013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>
          <a:extLst>
            <a:ext uri="{FF2B5EF4-FFF2-40B4-BE49-F238E27FC236}">
              <a16:creationId xmlns:a16="http://schemas.microsoft.com/office/drawing/2014/main" id="{00000000-0008-0000-0600-000014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>
          <a:extLst>
            <a:ext uri="{FF2B5EF4-FFF2-40B4-BE49-F238E27FC236}">
              <a16:creationId xmlns:a16="http://schemas.microsoft.com/office/drawing/2014/main" id="{00000000-0008-0000-0600-000015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>
          <a:extLst>
            <a:ext uri="{FF2B5EF4-FFF2-40B4-BE49-F238E27FC236}">
              <a16:creationId xmlns:a16="http://schemas.microsoft.com/office/drawing/2014/main" id="{00000000-0008-0000-0600-000016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>
          <a:extLst>
            <a:ext uri="{FF2B5EF4-FFF2-40B4-BE49-F238E27FC236}">
              <a16:creationId xmlns:a16="http://schemas.microsoft.com/office/drawing/2014/main" id="{00000000-0008-0000-0600-000017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>
          <a:extLst>
            <a:ext uri="{FF2B5EF4-FFF2-40B4-BE49-F238E27FC236}">
              <a16:creationId xmlns:a16="http://schemas.microsoft.com/office/drawing/2014/main" id="{00000000-0008-0000-0600-00001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>
          <a:extLst>
            <a:ext uri="{FF2B5EF4-FFF2-40B4-BE49-F238E27FC236}">
              <a16:creationId xmlns:a16="http://schemas.microsoft.com/office/drawing/2014/main" id="{00000000-0008-0000-0600-00001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>
          <a:extLst>
            <a:ext uri="{FF2B5EF4-FFF2-40B4-BE49-F238E27FC236}">
              <a16:creationId xmlns:a16="http://schemas.microsoft.com/office/drawing/2014/main" id="{00000000-0008-0000-0600-00001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>
          <a:extLst>
            <a:ext uri="{FF2B5EF4-FFF2-40B4-BE49-F238E27FC236}">
              <a16:creationId xmlns:a16="http://schemas.microsoft.com/office/drawing/2014/main" id="{00000000-0008-0000-0600-00001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>
          <a:extLst>
            <a:ext uri="{FF2B5EF4-FFF2-40B4-BE49-F238E27FC236}">
              <a16:creationId xmlns:a16="http://schemas.microsoft.com/office/drawing/2014/main" id="{00000000-0008-0000-0600-00001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>
          <a:extLst>
            <a:ext uri="{FF2B5EF4-FFF2-40B4-BE49-F238E27FC236}">
              <a16:creationId xmlns:a16="http://schemas.microsoft.com/office/drawing/2014/main" id="{00000000-0008-0000-0600-00001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>
          <a:extLst>
            <a:ext uri="{FF2B5EF4-FFF2-40B4-BE49-F238E27FC236}">
              <a16:creationId xmlns:a16="http://schemas.microsoft.com/office/drawing/2014/main" id="{00000000-0008-0000-0600-00001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>
          <a:extLst>
            <a:ext uri="{FF2B5EF4-FFF2-40B4-BE49-F238E27FC236}">
              <a16:creationId xmlns:a16="http://schemas.microsoft.com/office/drawing/2014/main" id="{00000000-0008-0000-0600-00001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>
          <a:extLst>
            <a:ext uri="{FF2B5EF4-FFF2-40B4-BE49-F238E27FC236}">
              <a16:creationId xmlns:a16="http://schemas.microsoft.com/office/drawing/2014/main" id="{00000000-0008-0000-0600-00002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>
          <a:extLst>
            <a:ext uri="{FF2B5EF4-FFF2-40B4-BE49-F238E27FC236}">
              <a16:creationId xmlns:a16="http://schemas.microsoft.com/office/drawing/2014/main" id="{00000000-0008-0000-0600-00002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>
          <a:extLst>
            <a:ext uri="{FF2B5EF4-FFF2-40B4-BE49-F238E27FC236}">
              <a16:creationId xmlns:a16="http://schemas.microsoft.com/office/drawing/2014/main" id="{00000000-0008-0000-0600-00002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>
          <a:extLst>
            <a:ext uri="{FF2B5EF4-FFF2-40B4-BE49-F238E27FC236}">
              <a16:creationId xmlns:a16="http://schemas.microsoft.com/office/drawing/2014/main" id="{00000000-0008-0000-0600-00002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>
          <a:extLst>
            <a:ext uri="{FF2B5EF4-FFF2-40B4-BE49-F238E27FC236}">
              <a16:creationId xmlns:a16="http://schemas.microsoft.com/office/drawing/2014/main" id="{00000000-0008-0000-0600-000024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>
          <a:extLst>
            <a:ext uri="{FF2B5EF4-FFF2-40B4-BE49-F238E27FC236}">
              <a16:creationId xmlns:a16="http://schemas.microsoft.com/office/drawing/2014/main" id="{00000000-0008-0000-0600-000025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>
          <a:extLst>
            <a:ext uri="{FF2B5EF4-FFF2-40B4-BE49-F238E27FC236}">
              <a16:creationId xmlns:a16="http://schemas.microsoft.com/office/drawing/2014/main" id="{00000000-0008-0000-0600-00002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>
          <a:extLst>
            <a:ext uri="{FF2B5EF4-FFF2-40B4-BE49-F238E27FC236}">
              <a16:creationId xmlns:a16="http://schemas.microsoft.com/office/drawing/2014/main" id="{00000000-0008-0000-0600-000027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>
          <a:extLst>
            <a:ext uri="{FF2B5EF4-FFF2-40B4-BE49-F238E27FC236}">
              <a16:creationId xmlns:a16="http://schemas.microsoft.com/office/drawing/2014/main" id="{00000000-0008-0000-0600-00002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>
          <a:extLst>
            <a:ext uri="{FF2B5EF4-FFF2-40B4-BE49-F238E27FC236}">
              <a16:creationId xmlns:a16="http://schemas.microsoft.com/office/drawing/2014/main" id="{00000000-0008-0000-0600-00002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>
          <a:extLst>
            <a:ext uri="{FF2B5EF4-FFF2-40B4-BE49-F238E27FC236}">
              <a16:creationId xmlns:a16="http://schemas.microsoft.com/office/drawing/2014/main" id="{00000000-0008-0000-0600-00002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>
          <a:extLst>
            <a:ext uri="{FF2B5EF4-FFF2-40B4-BE49-F238E27FC236}">
              <a16:creationId xmlns:a16="http://schemas.microsoft.com/office/drawing/2014/main" id="{00000000-0008-0000-0600-00002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>
          <a:extLst>
            <a:ext uri="{FF2B5EF4-FFF2-40B4-BE49-F238E27FC236}">
              <a16:creationId xmlns:a16="http://schemas.microsoft.com/office/drawing/2014/main" id="{00000000-0008-0000-0600-00002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>
          <a:extLst>
            <a:ext uri="{FF2B5EF4-FFF2-40B4-BE49-F238E27FC236}">
              <a16:creationId xmlns:a16="http://schemas.microsoft.com/office/drawing/2014/main" id="{00000000-0008-0000-0600-00002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>
          <a:extLst>
            <a:ext uri="{FF2B5EF4-FFF2-40B4-BE49-F238E27FC236}">
              <a16:creationId xmlns:a16="http://schemas.microsoft.com/office/drawing/2014/main" id="{00000000-0008-0000-0600-00002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>
          <a:extLst>
            <a:ext uri="{FF2B5EF4-FFF2-40B4-BE49-F238E27FC236}">
              <a16:creationId xmlns:a16="http://schemas.microsoft.com/office/drawing/2014/main" id="{00000000-0008-0000-0600-00002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>
          <a:extLst>
            <a:ext uri="{FF2B5EF4-FFF2-40B4-BE49-F238E27FC236}">
              <a16:creationId xmlns:a16="http://schemas.microsoft.com/office/drawing/2014/main" id="{00000000-0008-0000-0600-00003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>
          <a:extLst>
            <a:ext uri="{FF2B5EF4-FFF2-40B4-BE49-F238E27FC236}">
              <a16:creationId xmlns:a16="http://schemas.microsoft.com/office/drawing/2014/main" id="{00000000-0008-0000-0600-00003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>
          <a:extLst>
            <a:ext uri="{FF2B5EF4-FFF2-40B4-BE49-F238E27FC236}">
              <a16:creationId xmlns:a16="http://schemas.microsoft.com/office/drawing/2014/main" id="{00000000-0008-0000-0600-00003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>
          <a:extLst>
            <a:ext uri="{FF2B5EF4-FFF2-40B4-BE49-F238E27FC236}">
              <a16:creationId xmlns:a16="http://schemas.microsoft.com/office/drawing/2014/main" id="{00000000-0008-0000-0600-00003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>
          <a:extLst>
            <a:ext uri="{FF2B5EF4-FFF2-40B4-BE49-F238E27FC236}">
              <a16:creationId xmlns:a16="http://schemas.microsoft.com/office/drawing/2014/main" id="{00000000-0008-0000-0600-000034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>
          <a:extLst>
            <a:ext uri="{FF2B5EF4-FFF2-40B4-BE49-F238E27FC236}">
              <a16:creationId xmlns:a16="http://schemas.microsoft.com/office/drawing/2014/main" id="{00000000-0008-0000-0600-00003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>
          <a:extLst>
            <a:ext uri="{FF2B5EF4-FFF2-40B4-BE49-F238E27FC236}">
              <a16:creationId xmlns:a16="http://schemas.microsoft.com/office/drawing/2014/main" id="{00000000-0008-0000-0600-00003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>
          <a:extLst>
            <a:ext uri="{FF2B5EF4-FFF2-40B4-BE49-F238E27FC236}">
              <a16:creationId xmlns:a16="http://schemas.microsoft.com/office/drawing/2014/main" id="{00000000-0008-0000-0600-00003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>
          <a:extLst>
            <a:ext uri="{FF2B5EF4-FFF2-40B4-BE49-F238E27FC236}">
              <a16:creationId xmlns:a16="http://schemas.microsoft.com/office/drawing/2014/main" id="{00000000-0008-0000-0600-00003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>
          <a:extLst>
            <a:ext uri="{FF2B5EF4-FFF2-40B4-BE49-F238E27FC236}">
              <a16:creationId xmlns:a16="http://schemas.microsoft.com/office/drawing/2014/main" id="{00000000-0008-0000-0600-00003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>
          <a:extLst>
            <a:ext uri="{FF2B5EF4-FFF2-40B4-BE49-F238E27FC236}">
              <a16:creationId xmlns:a16="http://schemas.microsoft.com/office/drawing/2014/main" id="{00000000-0008-0000-0600-00003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>
          <a:extLst>
            <a:ext uri="{FF2B5EF4-FFF2-40B4-BE49-F238E27FC236}">
              <a16:creationId xmlns:a16="http://schemas.microsoft.com/office/drawing/2014/main" id="{00000000-0008-0000-0600-00003B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>
          <a:extLst>
            <a:ext uri="{FF2B5EF4-FFF2-40B4-BE49-F238E27FC236}">
              <a16:creationId xmlns:a16="http://schemas.microsoft.com/office/drawing/2014/main" id="{00000000-0008-0000-0600-00003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>
          <a:extLst>
            <a:ext uri="{FF2B5EF4-FFF2-40B4-BE49-F238E27FC236}">
              <a16:creationId xmlns:a16="http://schemas.microsoft.com/office/drawing/2014/main" id="{00000000-0008-0000-0600-00003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>
          <a:extLst>
            <a:ext uri="{FF2B5EF4-FFF2-40B4-BE49-F238E27FC236}">
              <a16:creationId xmlns:a16="http://schemas.microsoft.com/office/drawing/2014/main" id="{00000000-0008-0000-0600-00003E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>
          <a:extLst>
            <a:ext uri="{FF2B5EF4-FFF2-40B4-BE49-F238E27FC236}">
              <a16:creationId xmlns:a16="http://schemas.microsoft.com/office/drawing/2014/main" id="{00000000-0008-0000-0600-00003F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>
          <a:extLst>
            <a:ext uri="{FF2B5EF4-FFF2-40B4-BE49-F238E27FC236}">
              <a16:creationId xmlns:a16="http://schemas.microsoft.com/office/drawing/2014/main" id="{00000000-0008-0000-0600-00004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>
          <a:extLst>
            <a:ext uri="{FF2B5EF4-FFF2-40B4-BE49-F238E27FC236}">
              <a16:creationId xmlns:a16="http://schemas.microsoft.com/office/drawing/2014/main" id="{00000000-0008-0000-0600-000041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>
          <a:extLst>
            <a:ext uri="{FF2B5EF4-FFF2-40B4-BE49-F238E27FC236}">
              <a16:creationId xmlns:a16="http://schemas.microsoft.com/office/drawing/2014/main" id="{00000000-0008-0000-0600-000042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>
          <a:extLst>
            <a:ext uri="{FF2B5EF4-FFF2-40B4-BE49-F238E27FC236}">
              <a16:creationId xmlns:a16="http://schemas.microsoft.com/office/drawing/2014/main" id="{00000000-0008-0000-0600-000043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>
          <a:extLst>
            <a:ext uri="{FF2B5EF4-FFF2-40B4-BE49-F238E27FC236}">
              <a16:creationId xmlns:a16="http://schemas.microsoft.com/office/drawing/2014/main" id="{00000000-0008-0000-0600-000044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>
          <a:extLst>
            <a:ext uri="{FF2B5EF4-FFF2-40B4-BE49-F238E27FC236}">
              <a16:creationId xmlns:a16="http://schemas.microsoft.com/office/drawing/2014/main" id="{00000000-0008-0000-0600-000045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>
          <a:extLst>
            <a:ext uri="{FF2B5EF4-FFF2-40B4-BE49-F238E27FC236}">
              <a16:creationId xmlns:a16="http://schemas.microsoft.com/office/drawing/2014/main" id="{00000000-0008-0000-0600-000046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>
          <a:extLst>
            <a:ext uri="{FF2B5EF4-FFF2-40B4-BE49-F238E27FC236}">
              <a16:creationId xmlns:a16="http://schemas.microsoft.com/office/drawing/2014/main" id="{00000000-0008-0000-0600-000047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>
          <a:extLst>
            <a:ext uri="{FF2B5EF4-FFF2-40B4-BE49-F238E27FC236}">
              <a16:creationId xmlns:a16="http://schemas.microsoft.com/office/drawing/2014/main" id="{00000000-0008-0000-0600-00004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>
          <a:extLst>
            <a:ext uri="{FF2B5EF4-FFF2-40B4-BE49-F238E27FC236}">
              <a16:creationId xmlns:a16="http://schemas.microsoft.com/office/drawing/2014/main" id="{00000000-0008-0000-0600-00004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>
          <a:extLst>
            <a:ext uri="{FF2B5EF4-FFF2-40B4-BE49-F238E27FC236}">
              <a16:creationId xmlns:a16="http://schemas.microsoft.com/office/drawing/2014/main" id="{00000000-0008-0000-0600-00004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>
          <a:extLst>
            <a:ext uri="{FF2B5EF4-FFF2-40B4-BE49-F238E27FC236}">
              <a16:creationId xmlns:a16="http://schemas.microsoft.com/office/drawing/2014/main" id="{00000000-0008-0000-0600-00004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>
          <a:extLst>
            <a:ext uri="{FF2B5EF4-FFF2-40B4-BE49-F238E27FC236}">
              <a16:creationId xmlns:a16="http://schemas.microsoft.com/office/drawing/2014/main" id="{00000000-0008-0000-0600-00004C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>
          <a:extLst>
            <a:ext uri="{FF2B5EF4-FFF2-40B4-BE49-F238E27FC236}">
              <a16:creationId xmlns:a16="http://schemas.microsoft.com/office/drawing/2014/main" id="{00000000-0008-0000-0600-00004D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>
          <a:extLst>
            <a:ext uri="{FF2B5EF4-FFF2-40B4-BE49-F238E27FC236}">
              <a16:creationId xmlns:a16="http://schemas.microsoft.com/office/drawing/2014/main" id="{00000000-0008-0000-0600-00004E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>
          <a:extLst>
            <a:ext uri="{FF2B5EF4-FFF2-40B4-BE49-F238E27FC236}">
              <a16:creationId xmlns:a16="http://schemas.microsoft.com/office/drawing/2014/main" id="{00000000-0008-0000-0600-00004F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>
          <a:extLst>
            <a:ext uri="{FF2B5EF4-FFF2-40B4-BE49-F238E27FC236}">
              <a16:creationId xmlns:a16="http://schemas.microsoft.com/office/drawing/2014/main" id="{00000000-0008-0000-0600-00005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>
          <a:extLst>
            <a:ext uri="{FF2B5EF4-FFF2-40B4-BE49-F238E27FC236}">
              <a16:creationId xmlns:a16="http://schemas.microsoft.com/office/drawing/2014/main" id="{00000000-0008-0000-0600-00005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>
          <a:extLst>
            <a:ext uri="{FF2B5EF4-FFF2-40B4-BE49-F238E27FC236}">
              <a16:creationId xmlns:a16="http://schemas.microsoft.com/office/drawing/2014/main" id="{00000000-0008-0000-0600-00005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>
          <a:extLst>
            <a:ext uri="{FF2B5EF4-FFF2-40B4-BE49-F238E27FC236}">
              <a16:creationId xmlns:a16="http://schemas.microsoft.com/office/drawing/2014/main" id="{00000000-0008-0000-0600-00005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>
          <a:extLst>
            <a:ext uri="{FF2B5EF4-FFF2-40B4-BE49-F238E27FC236}">
              <a16:creationId xmlns:a16="http://schemas.microsoft.com/office/drawing/2014/main" id="{00000000-0008-0000-0600-000054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>
          <a:extLst>
            <a:ext uri="{FF2B5EF4-FFF2-40B4-BE49-F238E27FC236}">
              <a16:creationId xmlns:a16="http://schemas.microsoft.com/office/drawing/2014/main" id="{00000000-0008-0000-0600-000055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>
          <a:extLst>
            <a:ext uri="{FF2B5EF4-FFF2-40B4-BE49-F238E27FC236}">
              <a16:creationId xmlns:a16="http://schemas.microsoft.com/office/drawing/2014/main" id="{00000000-0008-0000-0600-000056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>
          <a:extLst>
            <a:ext uri="{FF2B5EF4-FFF2-40B4-BE49-F238E27FC236}">
              <a16:creationId xmlns:a16="http://schemas.microsoft.com/office/drawing/2014/main" id="{00000000-0008-0000-0600-000057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>
          <a:extLst>
            <a:ext uri="{FF2B5EF4-FFF2-40B4-BE49-F238E27FC236}">
              <a16:creationId xmlns:a16="http://schemas.microsoft.com/office/drawing/2014/main" id="{00000000-0008-0000-0600-000058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>
          <a:extLst>
            <a:ext uri="{FF2B5EF4-FFF2-40B4-BE49-F238E27FC236}">
              <a16:creationId xmlns:a16="http://schemas.microsoft.com/office/drawing/2014/main" id="{00000000-0008-0000-0600-000059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>
          <a:extLst>
            <a:ext uri="{FF2B5EF4-FFF2-40B4-BE49-F238E27FC236}">
              <a16:creationId xmlns:a16="http://schemas.microsoft.com/office/drawing/2014/main" id="{00000000-0008-0000-0600-00005A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>
          <a:extLst>
            <a:ext uri="{FF2B5EF4-FFF2-40B4-BE49-F238E27FC236}">
              <a16:creationId xmlns:a16="http://schemas.microsoft.com/office/drawing/2014/main" id="{00000000-0008-0000-0600-00005B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>
          <a:extLst>
            <a:ext uri="{FF2B5EF4-FFF2-40B4-BE49-F238E27FC236}">
              <a16:creationId xmlns:a16="http://schemas.microsoft.com/office/drawing/2014/main" id="{00000000-0008-0000-0600-00005C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>
          <a:extLst>
            <a:ext uri="{FF2B5EF4-FFF2-40B4-BE49-F238E27FC236}">
              <a16:creationId xmlns:a16="http://schemas.microsoft.com/office/drawing/2014/main" id="{00000000-0008-0000-0600-00005D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>
          <a:extLst>
            <a:ext uri="{FF2B5EF4-FFF2-40B4-BE49-F238E27FC236}">
              <a16:creationId xmlns:a16="http://schemas.microsoft.com/office/drawing/2014/main" id="{00000000-0008-0000-0600-00005E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>
          <a:extLst>
            <a:ext uri="{FF2B5EF4-FFF2-40B4-BE49-F238E27FC236}">
              <a16:creationId xmlns:a16="http://schemas.microsoft.com/office/drawing/2014/main" id="{00000000-0008-0000-0600-00005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>
          <a:extLst>
            <a:ext uri="{FF2B5EF4-FFF2-40B4-BE49-F238E27FC236}">
              <a16:creationId xmlns:a16="http://schemas.microsoft.com/office/drawing/2014/main" id="{00000000-0008-0000-0600-00006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>
          <a:extLst>
            <a:ext uri="{FF2B5EF4-FFF2-40B4-BE49-F238E27FC236}">
              <a16:creationId xmlns:a16="http://schemas.microsoft.com/office/drawing/2014/main" id="{00000000-0008-0000-0600-000061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>
          <a:extLst>
            <a:ext uri="{FF2B5EF4-FFF2-40B4-BE49-F238E27FC236}">
              <a16:creationId xmlns:a16="http://schemas.microsoft.com/office/drawing/2014/main" id="{00000000-0008-0000-0600-000062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>
          <a:extLst>
            <a:ext uri="{FF2B5EF4-FFF2-40B4-BE49-F238E27FC236}">
              <a16:creationId xmlns:a16="http://schemas.microsoft.com/office/drawing/2014/main" id="{00000000-0008-0000-0600-000063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>
          <a:extLst>
            <a:ext uri="{FF2B5EF4-FFF2-40B4-BE49-F238E27FC236}">
              <a16:creationId xmlns:a16="http://schemas.microsoft.com/office/drawing/2014/main" id="{00000000-0008-0000-0600-000064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>
          <a:extLst>
            <a:ext uri="{FF2B5EF4-FFF2-40B4-BE49-F238E27FC236}">
              <a16:creationId xmlns:a16="http://schemas.microsoft.com/office/drawing/2014/main" id="{00000000-0008-0000-0600-000065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>
          <a:extLst>
            <a:ext uri="{FF2B5EF4-FFF2-40B4-BE49-F238E27FC236}">
              <a16:creationId xmlns:a16="http://schemas.microsoft.com/office/drawing/2014/main" id="{00000000-0008-0000-0600-000066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>
          <a:extLst>
            <a:ext uri="{FF2B5EF4-FFF2-40B4-BE49-F238E27FC236}">
              <a16:creationId xmlns:a16="http://schemas.microsoft.com/office/drawing/2014/main" id="{00000000-0008-0000-0600-000067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>
          <a:extLst>
            <a:ext uri="{FF2B5EF4-FFF2-40B4-BE49-F238E27FC236}">
              <a16:creationId xmlns:a16="http://schemas.microsoft.com/office/drawing/2014/main" id="{00000000-0008-0000-0600-000068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>
          <a:extLst>
            <a:ext uri="{FF2B5EF4-FFF2-40B4-BE49-F238E27FC236}">
              <a16:creationId xmlns:a16="http://schemas.microsoft.com/office/drawing/2014/main" id="{00000000-0008-0000-0600-000069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>
          <a:extLst>
            <a:ext uri="{FF2B5EF4-FFF2-40B4-BE49-F238E27FC236}">
              <a16:creationId xmlns:a16="http://schemas.microsoft.com/office/drawing/2014/main" id="{00000000-0008-0000-0600-00006A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>
          <a:extLst>
            <a:ext uri="{FF2B5EF4-FFF2-40B4-BE49-F238E27FC236}">
              <a16:creationId xmlns:a16="http://schemas.microsoft.com/office/drawing/2014/main" id="{00000000-0008-0000-0600-00006B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>
          <a:extLst>
            <a:ext uri="{FF2B5EF4-FFF2-40B4-BE49-F238E27FC236}">
              <a16:creationId xmlns:a16="http://schemas.microsoft.com/office/drawing/2014/main" id="{00000000-0008-0000-0600-00006C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>
          <a:extLst>
            <a:ext uri="{FF2B5EF4-FFF2-40B4-BE49-F238E27FC236}">
              <a16:creationId xmlns:a16="http://schemas.microsoft.com/office/drawing/2014/main" id="{00000000-0008-0000-0600-00006D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>
          <a:extLst>
            <a:ext uri="{FF2B5EF4-FFF2-40B4-BE49-F238E27FC236}">
              <a16:creationId xmlns:a16="http://schemas.microsoft.com/office/drawing/2014/main" id="{00000000-0008-0000-0600-00006E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>
          <a:extLst>
            <a:ext uri="{FF2B5EF4-FFF2-40B4-BE49-F238E27FC236}">
              <a16:creationId xmlns:a16="http://schemas.microsoft.com/office/drawing/2014/main" id="{00000000-0008-0000-0600-00006F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>
          <a:extLst>
            <a:ext uri="{FF2B5EF4-FFF2-40B4-BE49-F238E27FC236}">
              <a16:creationId xmlns:a16="http://schemas.microsoft.com/office/drawing/2014/main" id="{00000000-0008-0000-0600-000070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>
          <a:extLst>
            <a:ext uri="{FF2B5EF4-FFF2-40B4-BE49-F238E27FC236}">
              <a16:creationId xmlns:a16="http://schemas.microsoft.com/office/drawing/2014/main" id="{00000000-0008-0000-0600-000071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>
          <a:extLst>
            <a:ext uri="{FF2B5EF4-FFF2-40B4-BE49-F238E27FC236}">
              <a16:creationId xmlns:a16="http://schemas.microsoft.com/office/drawing/2014/main" id="{00000000-0008-0000-0600-000072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>
          <a:extLst>
            <a:ext uri="{FF2B5EF4-FFF2-40B4-BE49-F238E27FC236}">
              <a16:creationId xmlns:a16="http://schemas.microsoft.com/office/drawing/2014/main" id="{00000000-0008-0000-0600-000073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>
          <a:extLst>
            <a:ext uri="{FF2B5EF4-FFF2-40B4-BE49-F238E27FC236}">
              <a16:creationId xmlns:a16="http://schemas.microsoft.com/office/drawing/2014/main" id="{00000000-0008-0000-0600-00007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>
          <a:extLst>
            <a:ext uri="{FF2B5EF4-FFF2-40B4-BE49-F238E27FC236}">
              <a16:creationId xmlns:a16="http://schemas.microsoft.com/office/drawing/2014/main" id="{00000000-0008-0000-0600-00007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>
          <a:extLst>
            <a:ext uri="{FF2B5EF4-FFF2-40B4-BE49-F238E27FC236}">
              <a16:creationId xmlns:a16="http://schemas.microsoft.com/office/drawing/2014/main" id="{00000000-0008-0000-0600-00007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>
          <a:extLst>
            <a:ext uri="{FF2B5EF4-FFF2-40B4-BE49-F238E27FC236}">
              <a16:creationId xmlns:a16="http://schemas.microsoft.com/office/drawing/2014/main" id="{00000000-0008-0000-0600-00007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>
          <a:extLst>
            <a:ext uri="{FF2B5EF4-FFF2-40B4-BE49-F238E27FC236}">
              <a16:creationId xmlns:a16="http://schemas.microsoft.com/office/drawing/2014/main" id="{00000000-0008-0000-0600-00007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>
          <a:extLst>
            <a:ext uri="{FF2B5EF4-FFF2-40B4-BE49-F238E27FC236}">
              <a16:creationId xmlns:a16="http://schemas.microsoft.com/office/drawing/2014/main" id="{00000000-0008-0000-0600-00007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>
          <a:extLst>
            <a:ext uri="{FF2B5EF4-FFF2-40B4-BE49-F238E27FC236}">
              <a16:creationId xmlns:a16="http://schemas.microsoft.com/office/drawing/2014/main" id="{00000000-0008-0000-0600-00007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>
          <a:extLst>
            <a:ext uri="{FF2B5EF4-FFF2-40B4-BE49-F238E27FC236}">
              <a16:creationId xmlns:a16="http://schemas.microsoft.com/office/drawing/2014/main" id="{00000000-0008-0000-0600-00007B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>
          <a:extLst>
            <a:ext uri="{FF2B5EF4-FFF2-40B4-BE49-F238E27FC236}">
              <a16:creationId xmlns:a16="http://schemas.microsoft.com/office/drawing/2014/main" id="{00000000-0008-0000-0600-00007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>
          <a:extLst>
            <a:ext uri="{FF2B5EF4-FFF2-40B4-BE49-F238E27FC236}">
              <a16:creationId xmlns:a16="http://schemas.microsoft.com/office/drawing/2014/main" id="{00000000-0008-0000-0600-00007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>
          <a:extLst>
            <a:ext uri="{FF2B5EF4-FFF2-40B4-BE49-F238E27FC236}">
              <a16:creationId xmlns:a16="http://schemas.microsoft.com/office/drawing/2014/main" id="{00000000-0008-0000-0600-00007E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>
          <a:extLst>
            <a:ext uri="{FF2B5EF4-FFF2-40B4-BE49-F238E27FC236}">
              <a16:creationId xmlns:a16="http://schemas.microsoft.com/office/drawing/2014/main" id="{00000000-0008-0000-0600-00007F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>
          <a:extLst>
            <a:ext uri="{FF2B5EF4-FFF2-40B4-BE49-F238E27FC236}">
              <a16:creationId xmlns:a16="http://schemas.microsoft.com/office/drawing/2014/main" id="{00000000-0008-0000-0600-00008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>
          <a:extLst>
            <a:ext uri="{FF2B5EF4-FFF2-40B4-BE49-F238E27FC236}">
              <a16:creationId xmlns:a16="http://schemas.microsoft.com/office/drawing/2014/main" id="{00000000-0008-0000-0600-000081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>
          <a:extLst>
            <a:ext uri="{FF2B5EF4-FFF2-40B4-BE49-F238E27FC236}">
              <a16:creationId xmlns:a16="http://schemas.microsoft.com/office/drawing/2014/main" id="{00000000-0008-0000-0600-000082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>
          <a:extLst>
            <a:ext uri="{FF2B5EF4-FFF2-40B4-BE49-F238E27FC236}">
              <a16:creationId xmlns:a16="http://schemas.microsoft.com/office/drawing/2014/main" id="{00000000-0008-0000-0600-000083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>
          <a:extLst>
            <a:ext uri="{FF2B5EF4-FFF2-40B4-BE49-F238E27FC236}">
              <a16:creationId xmlns:a16="http://schemas.microsoft.com/office/drawing/2014/main" id="{00000000-0008-0000-0600-000084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>
          <a:extLst>
            <a:ext uri="{FF2B5EF4-FFF2-40B4-BE49-F238E27FC236}">
              <a16:creationId xmlns:a16="http://schemas.microsoft.com/office/drawing/2014/main" id="{00000000-0008-0000-0600-000085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>
          <a:extLst>
            <a:ext uri="{FF2B5EF4-FFF2-40B4-BE49-F238E27FC236}">
              <a16:creationId xmlns:a16="http://schemas.microsoft.com/office/drawing/2014/main" id="{00000000-0008-0000-0600-000086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>
          <a:extLst>
            <a:ext uri="{FF2B5EF4-FFF2-40B4-BE49-F238E27FC236}">
              <a16:creationId xmlns:a16="http://schemas.microsoft.com/office/drawing/2014/main" id="{00000000-0008-0000-0600-000087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>
          <a:extLst>
            <a:ext uri="{FF2B5EF4-FFF2-40B4-BE49-F238E27FC236}">
              <a16:creationId xmlns:a16="http://schemas.microsoft.com/office/drawing/2014/main" id="{00000000-0008-0000-0600-00008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>
          <a:extLst>
            <a:ext uri="{FF2B5EF4-FFF2-40B4-BE49-F238E27FC236}">
              <a16:creationId xmlns:a16="http://schemas.microsoft.com/office/drawing/2014/main" id="{00000000-0008-0000-0600-00008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>
          <a:extLst>
            <a:ext uri="{FF2B5EF4-FFF2-40B4-BE49-F238E27FC236}">
              <a16:creationId xmlns:a16="http://schemas.microsoft.com/office/drawing/2014/main" id="{00000000-0008-0000-0600-00008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>
          <a:extLst>
            <a:ext uri="{FF2B5EF4-FFF2-40B4-BE49-F238E27FC236}">
              <a16:creationId xmlns:a16="http://schemas.microsoft.com/office/drawing/2014/main" id="{00000000-0008-0000-0600-00008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>
          <a:extLst>
            <a:ext uri="{FF2B5EF4-FFF2-40B4-BE49-F238E27FC236}">
              <a16:creationId xmlns:a16="http://schemas.microsoft.com/office/drawing/2014/main" id="{00000000-0008-0000-0600-00008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>
          <a:extLst>
            <a:ext uri="{FF2B5EF4-FFF2-40B4-BE49-F238E27FC236}">
              <a16:creationId xmlns:a16="http://schemas.microsoft.com/office/drawing/2014/main" id="{00000000-0008-0000-0600-00008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>
          <a:extLst>
            <a:ext uri="{FF2B5EF4-FFF2-40B4-BE49-F238E27FC236}">
              <a16:creationId xmlns:a16="http://schemas.microsoft.com/office/drawing/2014/main" id="{00000000-0008-0000-0600-00008E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>
          <a:extLst>
            <a:ext uri="{FF2B5EF4-FFF2-40B4-BE49-F238E27FC236}">
              <a16:creationId xmlns:a16="http://schemas.microsoft.com/office/drawing/2014/main" id="{00000000-0008-0000-0600-00008F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>
          <a:extLst>
            <a:ext uri="{FF2B5EF4-FFF2-40B4-BE49-F238E27FC236}">
              <a16:creationId xmlns:a16="http://schemas.microsoft.com/office/drawing/2014/main" id="{00000000-0008-0000-0600-000090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>
          <a:extLst>
            <a:ext uri="{FF2B5EF4-FFF2-40B4-BE49-F238E27FC236}">
              <a16:creationId xmlns:a16="http://schemas.microsoft.com/office/drawing/2014/main" id="{00000000-0008-0000-0600-000091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>
          <a:extLst>
            <a:ext uri="{FF2B5EF4-FFF2-40B4-BE49-F238E27FC236}">
              <a16:creationId xmlns:a16="http://schemas.microsoft.com/office/drawing/2014/main" id="{00000000-0008-0000-0600-000092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>
          <a:extLst>
            <a:ext uri="{FF2B5EF4-FFF2-40B4-BE49-F238E27FC236}">
              <a16:creationId xmlns:a16="http://schemas.microsoft.com/office/drawing/2014/main" id="{00000000-0008-0000-0600-000093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>
          <a:extLst>
            <a:ext uri="{FF2B5EF4-FFF2-40B4-BE49-F238E27FC236}">
              <a16:creationId xmlns:a16="http://schemas.microsoft.com/office/drawing/2014/main" id="{00000000-0008-0000-0600-000094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>
          <a:extLst>
            <a:ext uri="{FF2B5EF4-FFF2-40B4-BE49-F238E27FC236}">
              <a16:creationId xmlns:a16="http://schemas.microsoft.com/office/drawing/2014/main" id="{00000000-0008-0000-0600-000095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>
          <a:extLst>
            <a:ext uri="{FF2B5EF4-FFF2-40B4-BE49-F238E27FC236}">
              <a16:creationId xmlns:a16="http://schemas.microsoft.com/office/drawing/2014/main" id="{00000000-0008-0000-0600-000096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>
          <a:extLst>
            <a:ext uri="{FF2B5EF4-FFF2-40B4-BE49-F238E27FC236}">
              <a16:creationId xmlns:a16="http://schemas.microsoft.com/office/drawing/2014/main" id="{00000000-0008-0000-0600-000097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>
          <a:extLst>
            <a:ext uri="{FF2B5EF4-FFF2-40B4-BE49-F238E27FC236}">
              <a16:creationId xmlns:a16="http://schemas.microsoft.com/office/drawing/2014/main" id="{00000000-0008-0000-0600-000098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>
          <a:extLst>
            <a:ext uri="{FF2B5EF4-FFF2-40B4-BE49-F238E27FC236}">
              <a16:creationId xmlns:a16="http://schemas.microsoft.com/office/drawing/2014/main" id="{00000000-0008-0000-0600-000099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>
          <a:extLst>
            <a:ext uri="{FF2B5EF4-FFF2-40B4-BE49-F238E27FC236}">
              <a16:creationId xmlns:a16="http://schemas.microsoft.com/office/drawing/2014/main" id="{00000000-0008-0000-0600-00009A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>
          <a:extLst>
            <a:ext uri="{FF2B5EF4-FFF2-40B4-BE49-F238E27FC236}">
              <a16:creationId xmlns:a16="http://schemas.microsoft.com/office/drawing/2014/main" id="{00000000-0008-0000-0600-00009B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>
          <a:extLst>
            <a:ext uri="{FF2B5EF4-FFF2-40B4-BE49-F238E27FC236}">
              <a16:creationId xmlns:a16="http://schemas.microsoft.com/office/drawing/2014/main" id="{00000000-0008-0000-0600-00009C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>
          <a:extLst>
            <a:ext uri="{FF2B5EF4-FFF2-40B4-BE49-F238E27FC236}">
              <a16:creationId xmlns:a16="http://schemas.microsoft.com/office/drawing/2014/main" id="{00000000-0008-0000-0600-00009D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>
          <a:extLst>
            <a:ext uri="{FF2B5EF4-FFF2-40B4-BE49-F238E27FC236}">
              <a16:creationId xmlns:a16="http://schemas.microsoft.com/office/drawing/2014/main" id="{00000000-0008-0000-0600-00009E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>
          <a:extLst>
            <a:ext uri="{FF2B5EF4-FFF2-40B4-BE49-F238E27FC236}">
              <a16:creationId xmlns:a16="http://schemas.microsoft.com/office/drawing/2014/main" id="{00000000-0008-0000-0600-00009F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>
          <a:extLst>
            <a:ext uri="{FF2B5EF4-FFF2-40B4-BE49-F238E27FC236}">
              <a16:creationId xmlns:a16="http://schemas.microsoft.com/office/drawing/2014/main" id="{00000000-0008-0000-0600-0000A0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>
          <a:extLst>
            <a:ext uri="{FF2B5EF4-FFF2-40B4-BE49-F238E27FC236}">
              <a16:creationId xmlns:a16="http://schemas.microsoft.com/office/drawing/2014/main" id="{00000000-0008-0000-0600-0000A1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>
          <a:extLst>
            <a:ext uri="{FF2B5EF4-FFF2-40B4-BE49-F238E27FC236}">
              <a16:creationId xmlns:a16="http://schemas.microsoft.com/office/drawing/2014/main" id="{00000000-0008-0000-0600-0000A2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>
          <a:extLst>
            <a:ext uri="{FF2B5EF4-FFF2-40B4-BE49-F238E27FC236}">
              <a16:creationId xmlns:a16="http://schemas.microsoft.com/office/drawing/2014/main" id="{00000000-0008-0000-0600-0000A3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>
          <a:extLst>
            <a:ext uri="{FF2B5EF4-FFF2-40B4-BE49-F238E27FC236}">
              <a16:creationId xmlns:a16="http://schemas.microsoft.com/office/drawing/2014/main" id="{00000000-0008-0000-0600-0000A4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>
          <a:extLst>
            <a:ext uri="{FF2B5EF4-FFF2-40B4-BE49-F238E27FC236}">
              <a16:creationId xmlns:a16="http://schemas.microsoft.com/office/drawing/2014/main" id="{00000000-0008-0000-0600-0000A5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>
          <a:extLst>
            <a:ext uri="{FF2B5EF4-FFF2-40B4-BE49-F238E27FC236}">
              <a16:creationId xmlns:a16="http://schemas.microsoft.com/office/drawing/2014/main" id="{00000000-0008-0000-0600-0000A6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>
          <a:extLst>
            <a:ext uri="{FF2B5EF4-FFF2-40B4-BE49-F238E27FC236}">
              <a16:creationId xmlns:a16="http://schemas.microsoft.com/office/drawing/2014/main" id="{00000000-0008-0000-0600-0000A7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>
          <a:extLst>
            <a:ext uri="{FF2B5EF4-FFF2-40B4-BE49-F238E27FC236}">
              <a16:creationId xmlns:a16="http://schemas.microsoft.com/office/drawing/2014/main" id="{00000000-0008-0000-0600-0000A8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>
          <a:extLst>
            <a:ext uri="{FF2B5EF4-FFF2-40B4-BE49-F238E27FC236}">
              <a16:creationId xmlns:a16="http://schemas.microsoft.com/office/drawing/2014/main" id="{00000000-0008-0000-0600-0000A9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>
          <a:extLst>
            <a:ext uri="{FF2B5EF4-FFF2-40B4-BE49-F238E27FC236}">
              <a16:creationId xmlns:a16="http://schemas.microsoft.com/office/drawing/2014/main" id="{00000000-0008-0000-0600-0000AA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>
          <a:extLst>
            <a:ext uri="{FF2B5EF4-FFF2-40B4-BE49-F238E27FC236}">
              <a16:creationId xmlns:a16="http://schemas.microsoft.com/office/drawing/2014/main" id="{00000000-0008-0000-0600-0000AB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>
          <a:extLst>
            <a:ext uri="{FF2B5EF4-FFF2-40B4-BE49-F238E27FC236}">
              <a16:creationId xmlns:a16="http://schemas.microsoft.com/office/drawing/2014/main" id="{00000000-0008-0000-0600-0000AC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>
          <a:extLst>
            <a:ext uri="{FF2B5EF4-FFF2-40B4-BE49-F238E27FC236}">
              <a16:creationId xmlns:a16="http://schemas.microsoft.com/office/drawing/2014/main" id="{00000000-0008-0000-0600-0000AD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>
          <a:extLst>
            <a:ext uri="{FF2B5EF4-FFF2-40B4-BE49-F238E27FC236}">
              <a16:creationId xmlns:a16="http://schemas.microsoft.com/office/drawing/2014/main" id="{00000000-0008-0000-0600-0000AE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>
          <a:extLst>
            <a:ext uri="{FF2B5EF4-FFF2-40B4-BE49-F238E27FC236}">
              <a16:creationId xmlns:a16="http://schemas.microsoft.com/office/drawing/2014/main" id="{00000000-0008-0000-0600-0000AF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>
          <a:extLst>
            <a:ext uri="{FF2B5EF4-FFF2-40B4-BE49-F238E27FC236}">
              <a16:creationId xmlns:a16="http://schemas.microsoft.com/office/drawing/2014/main" id="{00000000-0008-0000-0600-0000B0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>
          <a:extLst>
            <a:ext uri="{FF2B5EF4-FFF2-40B4-BE49-F238E27FC236}">
              <a16:creationId xmlns:a16="http://schemas.microsoft.com/office/drawing/2014/main" id="{00000000-0008-0000-0600-0000B1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>
          <a:extLst>
            <a:ext uri="{FF2B5EF4-FFF2-40B4-BE49-F238E27FC236}">
              <a16:creationId xmlns:a16="http://schemas.microsoft.com/office/drawing/2014/main" id="{00000000-0008-0000-0600-0000B2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>
          <a:extLst>
            <a:ext uri="{FF2B5EF4-FFF2-40B4-BE49-F238E27FC236}">
              <a16:creationId xmlns:a16="http://schemas.microsoft.com/office/drawing/2014/main" id="{00000000-0008-0000-0600-0000B3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>
          <a:extLst>
            <a:ext uri="{FF2B5EF4-FFF2-40B4-BE49-F238E27FC236}">
              <a16:creationId xmlns:a16="http://schemas.microsoft.com/office/drawing/2014/main" id="{00000000-0008-0000-0600-0000B4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>
          <a:extLst>
            <a:ext uri="{FF2B5EF4-FFF2-40B4-BE49-F238E27FC236}">
              <a16:creationId xmlns:a16="http://schemas.microsoft.com/office/drawing/2014/main" id="{00000000-0008-0000-0600-0000B5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>
          <a:extLst>
            <a:ext uri="{FF2B5EF4-FFF2-40B4-BE49-F238E27FC236}">
              <a16:creationId xmlns:a16="http://schemas.microsoft.com/office/drawing/2014/main" id="{00000000-0008-0000-0600-0000B6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>
          <a:extLst>
            <a:ext uri="{FF2B5EF4-FFF2-40B4-BE49-F238E27FC236}">
              <a16:creationId xmlns:a16="http://schemas.microsoft.com/office/drawing/2014/main" id="{00000000-0008-0000-0600-0000B7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>
          <a:extLst>
            <a:ext uri="{FF2B5EF4-FFF2-40B4-BE49-F238E27FC236}">
              <a16:creationId xmlns:a16="http://schemas.microsoft.com/office/drawing/2014/main" id="{00000000-0008-0000-0600-0000B8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>
          <a:extLst>
            <a:ext uri="{FF2B5EF4-FFF2-40B4-BE49-F238E27FC236}">
              <a16:creationId xmlns:a16="http://schemas.microsoft.com/office/drawing/2014/main" id="{00000000-0008-0000-0600-0000B9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>
          <a:extLst>
            <a:ext uri="{FF2B5EF4-FFF2-40B4-BE49-F238E27FC236}">
              <a16:creationId xmlns:a16="http://schemas.microsoft.com/office/drawing/2014/main" id="{00000000-0008-0000-0600-0000BA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>
          <a:extLst>
            <a:ext uri="{FF2B5EF4-FFF2-40B4-BE49-F238E27FC236}">
              <a16:creationId xmlns:a16="http://schemas.microsoft.com/office/drawing/2014/main" id="{00000000-0008-0000-0600-0000BB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>
          <a:extLst>
            <a:ext uri="{FF2B5EF4-FFF2-40B4-BE49-F238E27FC236}">
              <a16:creationId xmlns:a16="http://schemas.microsoft.com/office/drawing/2014/main" id="{00000000-0008-0000-0600-0000BC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>
          <a:extLst>
            <a:ext uri="{FF2B5EF4-FFF2-40B4-BE49-F238E27FC236}">
              <a16:creationId xmlns:a16="http://schemas.microsoft.com/office/drawing/2014/main" id="{00000000-0008-0000-0600-0000BD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>
          <a:extLst>
            <a:ext uri="{FF2B5EF4-FFF2-40B4-BE49-F238E27FC236}">
              <a16:creationId xmlns:a16="http://schemas.microsoft.com/office/drawing/2014/main" id="{00000000-0008-0000-0600-0000BE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>
          <a:extLst>
            <a:ext uri="{FF2B5EF4-FFF2-40B4-BE49-F238E27FC236}">
              <a16:creationId xmlns:a16="http://schemas.microsoft.com/office/drawing/2014/main" id="{00000000-0008-0000-0600-0000BF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>
          <a:extLst>
            <a:ext uri="{FF2B5EF4-FFF2-40B4-BE49-F238E27FC236}">
              <a16:creationId xmlns:a16="http://schemas.microsoft.com/office/drawing/2014/main" id="{00000000-0008-0000-0600-0000C0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>
          <a:extLst>
            <a:ext uri="{FF2B5EF4-FFF2-40B4-BE49-F238E27FC236}">
              <a16:creationId xmlns:a16="http://schemas.microsoft.com/office/drawing/2014/main" id="{00000000-0008-0000-0600-0000C1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>
          <a:extLst>
            <a:ext uri="{FF2B5EF4-FFF2-40B4-BE49-F238E27FC236}">
              <a16:creationId xmlns:a16="http://schemas.microsoft.com/office/drawing/2014/main" id="{00000000-0008-0000-0600-0000C2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>
          <a:extLst>
            <a:ext uri="{FF2B5EF4-FFF2-40B4-BE49-F238E27FC236}">
              <a16:creationId xmlns:a16="http://schemas.microsoft.com/office/drawing/2014/main" id="{00000000-0008-0000-0600-0000C3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>
          <a:extLst>
            <a:ext uri="{FF2B5EF4-FFF2-40B4-BE49-F238E27FC236}">
              <a16:creationId xmlns:a16="http://schemas.microsoft.com/office/drawing/2014/main" id="{00000000-0008-0000-0600-0000C4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>
          <a:extLst>
            <a:ext uri="{FF2B5EF4-FFF2-40B4-BE49-F238E27FC236}">
              <a16:creationId xmlns:a16="http://schemas.microsoft.com/office/drawing/2014/main" id="{00000000-0008-0000-0600-0000C5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>
          <a:extLst>
            <a:ext uri="{FF2B5EF4-FFF2-40B4-BE49-F238E27FC236}">
              <a16:creationId xmlns:a16="http://schemas.microsoft.com/office/drawing/2014/main" id="{00000000-0008-0000-0600-0000C6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>
          <a:extLst>
            <a:ext uri="{FF2B5EF4-FFF2-40B4-BE49-F238E27FC236}">
              <a16:creationId xmlns:a16="http://schemas.microsoft.com/office/drawing/2014/main" id="{00000000-0008-0000-0600-0000C7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>
          <a:extLst>
            <a:ext uri="{FF2B5EF4-FFF2-40B4-BE49-F238E27FC236}">
              <a16:creationId xmlns:a16="http://schemas.microsoft.com/office/drawing/2014/main" id="{00000000-0008-0000-0600-0000C8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>
          <a:extLst>
            <a:ext uri="{FF2B5EF4-FFF2-40B4-BE49-F238E27FC236}">
              <a16:creationId xmlns:a16="http://schemas.microsoft.com/office/drawing/2014/main" id="{00000000-0008-0000-0600-0000C9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>
          <a:extLst>
            <a:ext uri="{FF2B5EF4-FFF2-40B4-BE49-F238E27FC236}">
              <a16:creationId xmlns:a16="http://schemas.microsoft.com/office/drawing/2014/main" id="{00000000-0008-0000-0600-0000CA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>
          <a:extLst>
            <a:ext uri="{FF2B5EF4-FFF2-40B4-BE49-F238E27FC236}">
              <a16:creationId xmlns:a16="http://schemas.microsoft.com/office/drawing/2014/main" id="{00000000-0008-0000-0600-0000CB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>
          <a:extLst>
            <a:ext uri="{FF2B5EF4-FFF2-40B4-BE49-F238E27FC236}">
              <a16:creationId xmlns:a16="http://schemas.microsoft.com/office/drawing/2014/main" id="{00000000-0008-0000-0600-0000CC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>
          <a:extLst>
            <a:ext uri="{FF2B5EF4-FFF2-40B4-BE49-F238E27FC236}">
              <a16:creationId xmlns:a16="http://schemas.microsoft.com/office/drawing/2014/main" id="{00000000-0008-0000-0600-0000CD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>
          <a:extLst>
            <a:ext uri="{FF2B5EF4-FFF2-40B4-BE49-F238E27FC236}">
              <a16:creationId xmlns:a16="http://schemas.microsoft.com/office/drawing/2014/main" id="{00000000-0008-0000-0600-0000CE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>
          <a:extLst>
            <a:ext uri="{FF2B5EF4-FFF2-40B4-BE49-F238E27FC236}">
              <a16:creationId xmlns:a16="http://schemas.microsoft.com/office/drawing/2014/main" id="{00000000-0008-0000-0600-0000CF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>
          <a:extLst>
            <a:ext uri="{FF2B5EF4-FFF2-40B4-BE49-F238E27FC236}">
              <a16:creationId xmlns:a16="http://schemas.microsoft.com/office/drawing/2014/main" id="{00000000-0008-0000-0600-0000D0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>
          <a:extLst>
            <a:ext uri="{FF2B5EF4-FFF2-40B4-BE49-F238E27FC236}">
              <a16:creationId xmlns:a16="http://schemas.microsoft.com/office/drawing/2014/main" id="{00000000-0008-0000-0600-0000D1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>
          <a:extLst>
            <a:ext uri="{FF2B5EF4-FFF2-40B4-BE49-F238E27FC236}">
              <a16:creationId xmlns:a16="http://schemas.microsoft.com/office/drawing/2014/main" id="{00000000-0008-0000-0600-0000D2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>
          <a:extLst>
            <a:ext uri="{FF2B5EF4-FFF2-40B4-BE49-F238E27FC236}">
              <a16:creationId xmlns:a16="http://schemas.microsoft.com/office/drawing/2014/main" id="{00000000-0008-0000-0600-0000D3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>
          <a:extLst>
            <a:ext uri="{FF2B5EF4-FFF2-40B4-BE49-F238E27FC236}">
              <a16:creationId xmlns:a16="http://schemas.microsoft.com/office/drawing/2014/main" id="{00000000-0008-0000-0600-0000D4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>
          <a:extLst>
            <a:ext uri="{FF2B5EF4-FFF2-40B4-BE49-F238E27FC236}">
              <a16:creationId xmlns:a16="http://schemas.microsoft.com/office/drawing/2014/main" id="{00000000-0008-0000-0600-0000D5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>
          <a:extLst>
            <a:ext uri="{FF2B5EF4-FFF2-40B4-BE49-F238E27FC236}">
              <a16:creationId xmlns:a16="http://schemas.microsoft.com/office/drawing/2014/main" id="{00000000-0008-0000-0600-0000D6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>
          <a:extLst>
            <a:ext uri="{FF2B5EF4-FFF2-40B4-BE49-F238E27FC236}">
              <a16:creationId xmlns:a16="http://schemas.microsoft.com/office/drawing/2014/main" id="{00000000-0008-0000-0600-0000D7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>
          <a:extLst>
            <a:ext uri="{FF2B5EF4-FFF2-40B4-BE49-F238E27FC236}">
              <a16:creationId xmlns:a16="http://schemas.microsoft.com/office/drawing/2014/main" id="{00000000-0008-0000-0600-0000D8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>
          <a:extLst>
            <a:ext uri="{FF2B5EF4-FFF2-40B4-BE49-F238E27FC236}">
              <a16:creationId xmlns:a16="http://schemas.microsoft.com/office/drawing/2014/main" id="{00000000-0008-0000-0600-0000D9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>
          <a:extLst>
            <a:ext uri="{FF2B5EF4-FFF2-40B4-BE49-F238E27FC236}">
              <a16:creationId xmlns:a16="http://schemas.microsoft.com/office/drawing/2014/main" id="{00000000-0008-0000-0600-0000DA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>
          <a:extLst>
            <a:ext uri="{FF2B5EF4-FFF2-40B4-BE49-F238E27FC236}">
              <a16:creationId xmlns:a16="http://schemas.microsoft.com/office/drawing/2014/main" id="{00000000-0008-0000-0600-0000DB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>
          <a:extLst>
            <a:ext uri="{FF2B5EF4-FFF2-40B4-BE49-F238E27FC236}">
              <a16:creationId xmlns:a16="http://schemas.microsoft.com/office/drawing/2014/main" id="{00000000-0008-0000-0600-0000DC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>
          <a:extLst>
            <a:ext uri="{FF2B5EF4-FFF2-40B4-BE49-F238E27FC236}">
              <a16:creationId xmlns:a16="http://schemas.microsoft.com/office/drawing/2014/main" id="{00000000-0008-0000-0600-0000DD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>
          <a:extLst>
            <a:ext uri="{FF2B5EF4-FFF2-40B4-BE49-F238E27FC236}">
              <a16:creationId xmlns:a16="http://schemas.microsoft.com/office/drawing/2014/main" id="{00000000-0008-0000-0600-0000DE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>
          <a:extLst>
            <a:ext uri="{FF2B5EF4-FFF2-40B4-BE49-F238E27FC236}">
              <a16:creationId xmlns:a16="http://schemas.microsoft.com/office/drawing/2014/main" id="{00000000-0008-0000-0600-0000DF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>
          <a:extLst>
            <a:ext uri="{FF2B5EF4-FFF2-40B4-BE49-F238E27FC236}">
              <a16:creationId xmlns:a16="http://schemas.microsoft.com/office/drawing/2014/main" id="{00000000-0008-0000-0600-0000E0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>
          <a:extLst>
            <a:ext uri="{FF2B5EF4-FFF2-40B4-BE49-F238E27FC236}">
              <a16:creationId xmlns:a16="http://schemas.microsoft.com/office/drawing/2014/main" id="{00000000-0008-0000-0600-0000E1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>
          <a:extLst>
            <a:ext uri="{FF2B5EF4-FFF2-40B4-BE49-F238E27FC236}">
              <a16:creationId xmlns:a16="http://schemas.microsoft.com/office/drawing/2014/main" id="{00000000-0008-0000-0600-0000E2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>
          <a:extLst>
            <a:ext uri="{FF2B5EF4-FFF2-40B4-BE49-F238E27FC236}">
              <a16:creationId xmlns:a16="http://schemas.microsoft.com/office/drawing/2014/main" id="{00000000-0008-0000-0600-0000E3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>
          <a:extLst>
            <a:ext uri="{FF2B5EF4-FFF2-40B4-BE49-F238E27FC236}">
              <a16:creationId xmlns:a16="http://schemas.microsoft.com/office/drawing/2014/main" id="{00000000-0008-0000-0600-0000E4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>
          <a:extLst>
            <a:ext uri="{FF2B5EF4-FFF2-40B4-BE49-F238E27FC236}">
              <a16:creationId xmlns:a16="http://schemas.microsoft.com/office/drawing/2014/main" id="{00000000-0008-0000-0600-0000E5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>
          <a:extLst>
            <a:ext uri="{FF2B5EF4-FFF2-40B4-BE49-F238E27FC236}">
              <a16:creationId xmlns:a16="http://schemas.microsoft.com/office/drawing/2014/main" id="{00000000-0008-0000-0600-0000E6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>
          <a:extLst>
            <a:ext uri="{FF2B5EF4-FFF2-40B4-BE49-F238E27FC236}">
              <a16:creationId xmlns:a16="http://schemas.microsoft.com/office/drawing/2014/main" id="{00000000-0008-0000-0600-0000E7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>
          <a:extLst>
            <a:ext uri="{FF2B5EF4-FFF2-40B4-BE49-F238E27FC236}">
              <a16:creationId xmlns:a16="http://schemas.microsoft.com/office/drawing/2014/main" id="{00000000-0008-0000-0600-0000E8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>
          <a:extLst>
            <a:ext uri="{FF2B5EF4-FFF2-40B4-BE49-F238E27FC236}">
              <a16:creationId xmlns:a16="http://schemas.microsoft.com/office/drawing/2014/main" id="{00000000-0008-0000-0600-0000E9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>
          <a:extLst>
            <a:ext uri="{FF2B5EF4-FFF2-40B4-BE49-F238E27FC236}">
              <a16:creationId xmlns:a16="http://schemas.microsoft.com/office/drawing/2014/main" id="{00000000-0008-0000-0600-0000E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>
          <a:extLst>
            <a:ext uri="{FF2B5EF4-FFF2-40B4-BE49-F238E27FC236}">
              <a16:creationId xmlns:a16="http://schemas.microsoft.com/office/drawing/2014/main" id="{00000000-0008-0000-0600-0000E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>
          <a:extLst>
            <a:ext uri="{FF2B5EF4-FFF2-40B4-BE49-F238E27FC236}">
              <a16:creationId xmlns:a16="http://schemas.microsoft.com/office/drawing/2014/main" id="{00000000-0008-0000-0600-0000E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>
          <a:extLst>
            <a:ext uri="{FF2B5EF4-FFF2-40B4-BE49-F238E27FC236}">
              <a16:creationId xmlns:a16="http://schemas.microsoft.com/office/drawing/2014/main" id="{00000000-0008-0000-0600-0000ED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>
          <a:extLst>
            <a:ext uri="{FF2B5EF4-FFF2-40B4-BE49-F238E27FC236}">
              <a16:creationId xmlns:a16="http://schemas.microsoft.com/office/drawing/2014/main" id="{00000000-0008-0000-0600-0000EE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>
          <a:extLst>
            <a:ext uri="{FF2B5EF4-FFF2-40B4-BE49-F238E27FC236}">
              <a16:creationId xmlns:a16="http://schemas.microsoft.com/office/drawing/2014/main" id="{00000000-0008-0000-0600-0000EF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>
          <a:extLst>
            <a:ext uri="{FF2B5EF4-FFF2-40B4-BE49-F238E27FC236}">
              <a16:creationId xmlns:a16="http://schemas.microsoft.com/office/drawing/2014/main" id="{00000000-0008-0000-0600-0000F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>
          <a:extLst>
            <a:ext uri="{FF2B5EF4-FFF2-40B4-BE49-F238E27FC236}">
              <a16:creationId xmlns:a16="http://schemas.microsoft.com/office/drawing/2014/main" id="{00000000-0008-0000-0600-0000F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>
          <a:extLst>
            <a:ext uri="{FF2B5EF4-FFF2-40B4-BE49-F238E27FC236}">
              <a16:creationId xmlns:a16="http://schemas.microsoft.com/office/drawing/2014/main" id="{00000000-0008-0000-0600-0000F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>
          <a:extLst>
            <a:ext uri="{FF2B5EF4-FFF2-40B4-BE49-F238E27FC236}">
              <a16:creationId xmlns:a16="http://schemas.microsoft.com/office/drawing/2014/main" id="{00000000-0008-0000-0600-0000F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>
          <a:extLst>
            <a:ext uri="{FF2B5EF4-FFF2-40B4-BE49-F238E27FC236}">
              <a16:creationId xmlns:a16="http://schemas.microsoft.com/office/drawing/2014/main" id="{00000000-0008-0000-0600-0000F4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>
          <a:extLst>
            <a:ext uri="{FF2B5EF4-FFF2-40B4-BE49-F238E27FC236}">
              <a16:creationId xmlns:a16="http://schemas.microsoft.com/office/drawing/2014/main" id="{00000000-0008-0000-0600-0000F5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>
          <a:extLst>
            <a:ext uri="{FF2B5EF4-FFF2-40B4-BE49-F238E27FC236}">
              <a16:creationId xmlns:a16="http://schemas.microsoft.com/office/drawing/2014/main" id="{00000000-0008-0000-0600-0000FF08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>
          <a:extLst>
            <a:ext uri="{FF2B5EF4-FFF2-40B4-BE49-F238E27FC236}">
              <a16:creationId xmlns:a16="http://schemas.microsoft.com/office/drawing/2014/main" id="{00000000-0008-0000-0600-000000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>
          <a:extLst>
            <a:ext uri="{FF2B5EF4-FFF2-40B4-BE49-F238E27FC236}">
              <a16:creationId xmlns:a16="http://schemas.microsoft.com/office/drawing/2014/main" id="{00000000-0008-0000-0600-000001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>
          <a:extLst>
            <a:ext uri="{FF2B5EF4-FFF2-40B4-BE49-F238E27FC236}">
              <a16:creationId xmlns:a16="http://schemas.microsoft.com/office/drawing/2014/main" id="{00000000-0008-0000-0600-000002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>
          <a:extLst>
            <a:ext uri="{FF2B5EF4-FFF2-40B4-BE49-F238E27FC236}">
              <a16:creationId xmlns:a16="http://schemas.microsoft.com/office/drawing/2014/main" id="{00000000-0008-0000-0600-000003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>
          <a:extLst>
            <a:ext uri="{FF2B5EF4-FFF2-40B4-BE49-F238E27FC236}">
              <a16:creationId xmlns:a16="http://schemas.microsoft.com/office/drawing/2014/main" id="{00000000-0008-0000-0600-000004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>
          <a:extLst>
            <a:ext uri="{FF2B5EF4-FFF2-40B4-BE49-F238E27FC236}">
              <a16:creationId xmlns:a16="http://schemas.microsoft.com/office/drawing/2014/main" id="{00000000-0008-0000-0600-00000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>
          <a:extLst>
            <a:ext uri="{FF2B5EF4-FFF2-40B4-BE49-F238E27FC236}">
              <a16:creationId xmlns:a16="http://schemas.microsoft.com/office/drawing/2014/main" id="{00000000-0008-0000-0600-00000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>
          <a:extLst>
            <a:ext uri="{FF2B5EF4-FFF2-40B4-BE49-F238E27FC236}">
              <a16:creationId xmlns:a16="http://schemas.microsoft.com/office/drawing/2014/main" id="{00000000-0008-0000-0600-000007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>
          <a:extLst>
            <a:ext uri="{FF2B5EF4-FFF2-40B4-BE49-F238E27FC236}">
              <a16:creationId xmlns:a16="http://schemas.microsoft.com/office/drawing/2014/main" id="{00000000-0008-0000-0600-00000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>
          <a:extLst>
            <a:ext uri="{FF2B5EF4-FFF2-40B4-BE49-F238E27FC236}">
              <a16:creationId xmlns:a16="http://schemas.microsoft.com/office/drawing/2014/main" id="{00000000-0008-0000-0600-00000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>
          <a:extLst>
            <a:ext uri="{FF2B5EF4-FFF2-40B4-BE49-F238E27FC236}">
              <a16:creationId xmlns:a16="http://schemas.microsoft.com/office/drawing/2014/main" id="{00000000-0008-0000-0600-00000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>
          <a:extLst>
            <a:ext uri="{FF2B5EF4-FFF2-40B4-BE49-F238E27FC236}">
              <a16:creationId xmlns:a16="http://schemas.microsoft.com/office/drawing/2014/main" id="{00000000-0008-0000-0600-00000B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>
          <a:extLst>
            <a:ext uri="{FF2B5EF4-FFF2-40B4-BE49-F238E27FC236}">
              <a16:creationId xmlns:a16="http://schemas.microsoft.com/office/drawing/2014/main" id="{00000000-0008-0000-0600-00000C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>
          <a:extLst>
            <a:ext uri="{FF2B5EF4-FFF2-40B4-BE49-F238E27FC236}">
              <a16:creationId xmlns:a16="http://schemas.microsoft.com/office/drawing/2014/main" id="{00000000-0008-0000-0600-00000D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>
          <a:extLst>
            <a:ext uri="{FF2B5EF4-FFF2-40B4-BE49-F238E27FC236}">
              <a16:creationId xmlns:a16="http://schemas.microsoft.com/office/drawing/2014/main" id="{00000000-0008-0000-0600-00000E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>
          <a:extLst>
            <a:ext uri="{FF2B5EF4-FFF2-40B4-BE49-F238E27FC236}">
              <a16:creationId xmlns:a16="http://schemas.microsoft.com/office/drawing/2014/main" id="{00000000-0008-0000-0600-00000F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>
          <a:extLst>
            <a:ext uri="{FF2B5EF4-FFF2-40B4-BE49-F238E27FC236}">
              <a16:creationId xmlns:a16="http://schemas.microsoft.com/office/drawing/2014/main" id="{00000000-0008-0000-0600-000010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>
          <a:extLst>
            <a:ext uri="{FF2B5EF4-FFF2-40B4-BE49-F238E27FC236}">
              <a16:creationId xmlns:a16="http://schemas.microsoft.com/office/drawing/2014/main" id="{00000000-0008-0000-0600-000011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>
          <a:extLst>
            <a:ext uri="{FF2B5EF4-FFF2-40B4-BE49-F238E27FC236}">
              <a16:creationId xmlns:a16="http://schemas.microsoft.com/office/drawing/2014/main" id="{00000000-0008-0000-0600-000012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>
          <a:extLst>
            <a:ext uri="{FF2B5EF4-FFF2-40B4-BE49-F238E27FC236}">
              <a16:creationId xmlns:a16="http://schemas.microsoft.com/office/drawing/2014/main" id="{00000000-0008-0000-0600-000013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>
          <a:extLst>
            <a:ext uri="{FF2B5EF4-FFF2-40B4-BE49-F238E27FC236}">
              <a16:creationId xmlns:a16="http://schemas.microsoft.com/office/drawing/2014/main" id="{00000000-0008-0000-0600-000014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>
          <a:extLst>
            <a:ext uri="{FF2B5EF4-FFF2-40B4-BE49-F238E27FC236}">
              <a16:creationId xmlns:a16="http://schemas.microsoft.com/office/drawing/2014/main" id="{00000000-0008-0000-0600-000015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>
          <a:extLst>
            <a:ext uri="{FF2B5EF4-FFF2-40B4-BE49-F238E27FC236}">
              <a16:creationId xmlns:a16="http://schemas.microsoft.com/office/drawing/2014/main" id="{00000000-0008-0000-0600-000016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>
          <a:extLst>
            <a:ext uri="{FF2B5EF4-FFF2-40B4-BE49-F238E27FC236}">
              <a16:creationId xmlns:a16="http://schemas.microsoft.com/office/drawing/2014/main" id="{00000000-0008-0000-0600-000017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>
          <a:extLst>
            <a:ext uri="{FF2B5EF4-FFF2-40B4-BE49-F238E27FC236}">
              <a16:creationId xmlns:a16="http://schemas.microsoft.com/office/drawing/2014/main" id="{00000000-0008-0000-0600-000018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>
          <a:extLst>
            <a:ext uri="{FF2B5EF4-FFF2-40B4-BE49-F238E27FC236}">
              <a16:creationId xmlns:a16="http://schemas.microsoft.com/office/drawing/2014/main" id="{00000000-0008-0000-0600-000019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>
          <a:extLst>
            <a:ext uri="{FF2B5EF4-FFF2-40B4-BE49-F238E27FC236}">
              <a16:creationId xmlns:a16="http://schemas.microsoft.com/office/drawing/2014/main" id="{00000000-0008-0000-0600-00001A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>
          <a:extLst>
            <a:ext uri="{FF2B5EF4-FFF2-40B4-BE49-F238E27FC236}">
              <a16:creationId xmlns:a16="http://schemas.microsoft.com/office/drawing/2014/main" id="{00000000-0008-0000-0600-00001B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>
          <a:extLst>
            <a:ext uri="{FF2B5EF4-FFF2-40B4-BE49-F238E27FC236}">
              <a16:creationId xmlns:a16="http://schemas.microsoft.com/office/drawing/2014/main" id="{00000000-0008-0000-0600-00001C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>
          <a:extLst>
            <a:ext uri="{FF2B5EF4-FFF2-40B4-BE49-F238E27FC236}">
              <a16:creationId xmlns:a16="http://schemas.microsoft.com/office/drawing/2014/main" id="{00000000-0008-0000-0600-00001D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>
          <a:extLst>
            <a:ext uri="{FF2B5EF4-FFF2-40B4-BE49-F238E27FC236}">
              <a16:creationId xmlns:a16="http://schemas.microsoft.com/office/drawing/2014/main" id="{00000000-0008-0000-0600-00001E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>
          <a:extLst>
            <a:ext uri="{FF2B5EF4-FFF2-40B4-BE49-F238E27FC236}">
              <a16:creationId xmlns:a16="http://schemas.microsoft.com/office/drawing/2014/main" id="{00000000-0008-0000-0600-00001F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>
          <a:extLst>
            <a:ext uri="{FF2B5EF4-FFF2-40B4-BE49-F238E27FC236}">
              <a16:creationId xmlns:a16="http://schemas.microsoft.com/office/drawing/2014/main" id="{00000000-0008-0000-0600-000020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>
          <a:extLst>
            <a:ext uri="{FF2B5EF4-FFF2-40B4-BE49-F238E27FC236}">
              <a16:creationId xmlns:a16="http://schemas.microsoft.com/office/drawing/2014/main" id="{00000000-0008-0000-0600-000021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>
          <a:extLst>
            <a:ext uri="{FF2B5EF4-FFF2-40B4-BE49-F238E27FC236}">
              <a16:creationId xmlns:a16="http://schemas.microsoft.com/office/drawing/2014/main" id="{00000000-0008-0000-0600-000022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>
          <a:extLst>
            <a:ext uri="{FF2B5EF4-FFF2-40B4-BE49-F238E27FC236}">
              <a16:creationId xmlns:a16="http://schemas.microsoft.com/office/drawing/2014/main" id="{00000000-0008-0000-0600-000023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>
          <a:extLst>
            <a:ext uri="{FF2B5EF4-FFF2-40B4-BE49-F238E27FC236}">
              <a16:creationId xmlns:a16="http://schemas.microsoft.com/office/drawing/2014/main" id="{00000000-0008-0000-0600-000024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>
          <a:extLst>
            <a:ext uri="{FF2B5EF4-FFF2-40B4-BE49-F238E27FC236}">
              <a16:creationId xmlns:a16="http://schemas.microsoft.com/office/drawing/2014/main" id="{00000000-0008-0000-0600-000025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>
          <a:extLst>
            <a:ext uri="{FF2B5EF4-FFF2-40B4-BE49-F238E27FC236}">
              <a16:creationId xmlns:a16="http://schemas.microsoft.com/office/drawing/2014/main" id="{00000000-0008-0000-0600-000026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>
          <a:extLst>
            <a:ext uri="{FF2B5EF4-FFF2-40B4-BE49-F238E27FC236}">
              <a16:creationId xmlns:a16="http://schemas.microsoft.com/office/drawing/2014/main" id="{00000000-0008-0000-0600-000027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>
          <a:extLst>
            <a:ext uri="{FF2B5EF4-FFF2-40B4-BE49-F238E27FC236}">
              <a16:creationId xmlns:a16="http://schemas.microsoft.com/office/drawing/2014/main" id="{00000000-0008-0000-0600-000028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>
          <a:extLst>
            <a:ext uri="{FF2B5EF4-FFF2-40B4-BE49-F238E27FC236}">
              <a16:creationId xmlns:a16="http://schemas.microsoft.com/office/drawing/2014/main" id="{00000000-0008-0000-0600-000029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>
          <a:extLst>
            <a:ext uri="{FF2B5EF4-FFF2-40B4-BE49-F238E27FC236}">
              <a16:creationId xmlns:a16="http://schemas.microsoft.com/office/drawing/2014/main" id="{00000000-0008-0000-0600-00002A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>
          <a:extLst>
            <a:ext uri="{FF2B5EF4-FFF2-40B4-BE49-F238E27FC236}">
              <a16:creationId xmlns:a16="http://schemas.microsoft.com/office/drawing/2014/main" id="{00000000-0008-0000-0600-00002B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>
          <a:extLst>
            <a:ext uri="{FF2B5EF4-FFF2-40B4-BE49-F238E27FC236}">
              <a16:creationId xmlns:a16="http://schemas.microsoft.com/office/drawing/2014/main" id="{00000000-0008-0000-0600-00002C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>
          <a:extLst>
            <a:ext uri="{FF2B5EF4-FFF2-40B4-BE49-F238E27FC236}">
              <a16:creationId xmlns:a16="http://schemas.microsoft.com/office/drawing/2014/main" id="{00000000-0008-0000-0600-00002D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>
          <a:extLst>
            <a:ext uri="{FF2B5EF4-FFF2-40B4-BE49-F238E27FC236}">
              <a16:creationId xmlns:a16="http://schemas.microsoft.com/office/drawing/2014/main" id="{00000000-0008-0000-0600-00002E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>
          <a:extLst>
            <a:ext uri="{FF2B5EF4-FFF2-40B4-BE49-F238E27FC236}">
              <a16:creationId xmlns:a16="http://schemas.microsoft.com/office/drawing/2014/main" id="{00000000-0008-0000-0600-00002F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>
          <a:extLst>
            <a:ext uri="{FF2B5EF4-FFF2-40B4-BE49-F238E27FC236}">
              <a16:creationId xmlns:a16="http://schemas.microsoft.com/office/drawing/2014/main" id="{00000000-0008-0000-0600-000030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>
          <a:extLst>
            <a:ext uri="{FF2B5EF4-FFF2-40B4-BE49-F238E27FC236}">
              <a16:creationId xmlns:a16="http://schemas.microsoft.com/office/drawing/2014/main" id="{00000000-0008-0000-0600-000031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>
          <a:extLst>
            <a:ext uri="{FF2B5EF4-FFF2-40B4-BE49-F238E27FC236}">
              <a16:creationId xmlns:a16="http://schemas.microsoft.com/office/drawing/2014/main" id="{00000000-0008-0000-0600-000032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>
          <a:extLst>
            <a:ext uri="{FF2B5EF4-FFF2-40B4-BE49-F238E27FC236}">
              <a16:creationId xmlns:a16="http://schemas.microsoft.com/office/drawing/2014/main" id="{00000000-0008-0000-0600-000033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>
          <a:extLst>
            <a:ext uri="{FF2B5EF4-FFF2-40B4-BE49-F238E27FC236}">
              <a16:creationId xmlns:a16="http://schemas.microsoft.com/office/drawing/2014/main" id="{00000000-0008-0000-0600-000034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>
          <a:extLst>
            <a:ext uri="{FF2B5EF4-FFF2-40B4-BE49-F238E27FC236}">
              <a16:creationId xmlns:a16="http://schemas.microsoft.com/office/drawing/2014/main" id="{00000000-0008-0000-0600-000035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>
          <a:extLst>
            <a:ext uri="{FF2B5EF4-FFF2-40B4-BE49-F238E27FC236}">
              <a16:creationId xmlns:a16="http://schemas.microsoft.com/office/drawing/2014/main" id="{00000000-0008-0000-0600-000036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>
          <a:extLst>
            <a:ext uri="{FF2B5EF4-FFF2-40B4-BE49-F238E27FC236}">
              <a16:creationId xmlns:a16="http://schemas.microsoft.com/office/drawing/2014/main" id="{00000000-0008-0000-0600-000037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>
          <a:extLst>
            <a:ext uri="{FF2B5EF4-FFF2-40B4-BE49-F238E27FC236}">
              <a16:creationId xmlns:a16="http://schemas.microsoft.com/office/drawing/2014/main" id="{00000000-0008-0000-0600-000038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>
          <a:extLst>
            <a:ext uri="{FF2B5EF4-FFF2-40B4-BE49-F238E27FC236}">
              <a16:creationId xmlns:a16="http://schemas.microsoft.com/office/drawing/2014/main" id="{00000000-0008-0000-0600-000039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>
          <a:extLst>
            <a:ext uri="{FF2B5EF4-FFF2-40B4-BE49-F238E27FC236}">
              <a16:creationId xmlns:a16="http://schemas.microsoft.com/office/drawing/2014/main" id="{00000000-0008-0000-0600-00003A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>
          <a:extLst>
            <a:ext uri="{FF2B5EF4-FFF2-40B4-BE49-F238E27FC236}">
              <a16:creationId xmlns:a16="http://schemas.microsoft.com/office/drawing/2014/main" id="{00000000-0008-0000-0600-00003B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>
          <a:extLst>
            <a:ext uri="{FF2B5EF4-FFF2-40B4-BE49-F238E27FC236}">
              <a16:creationId xmlns:a16="http://schemas.microsoft.com/office/drawing/2014/main" id="{00000000-0008-0000-0600-00003C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>
          <a:extLst>
            <a:ext uri="{FF2B5EF4-FFF2-40B4-BE49-F238E27FC236}">
              <a16:creationId xmlns:a16="http://schemas.microsoft.com/office/drawing/2014/main" id="{00000000-0008-0000-0600-00003D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>
          <a:extLst>
            <a:ext uri="{FF2B5EF4-FFF2-40B4-BE49-F238E27FC236}">
              <a16:creationId xmlns:a16="http://schemas.microsoft.com/office/drawing/2014/main" id="{00000000-0008-0000-0600-00003E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>
          <a:extLst>
            <a:ext uri="{FF2B5EF4-FFF2-40B4-BE49-F238E27FC236}">
              <a16:creationId xmlns:a16="http://schemas.microsoft.com/office/drawing/2014/main" id="{00000000-0008-0000-0600-00003F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>
          <a:extLst>
            <a:ext uri="{FF2B5EF4-FFF2-40B4-BE49-F238E27FC236}">
              <a16:creationId xmlns:a16="http://schemas.microsoft.com/office/drawing/2014/main" id="{00000000-0008-0000-0600-000040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>
          <a:extLst>
            <a:ext uri="{FF2B5EF4-FFF2-40B4-BE49-F238E27FC236}">
              <a16:creationId xmlns:a16="http://schemas.microsoft.com/office/drawing/2014/main" id="{00000000-0008-0000-0600-000041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>
          <a:extLst>
            <a:ext uri="{FF2B5EF4-FFF2-40B4-BE49-F238E27FC236}">
              <a16:creationId xmlns:a16="http://schemas.microsoft.com/office/drawing/2014/main" id="{00000000-0008-0000-0600-000042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>
          <a:extLst>
            <a:ext uri="{FF2B5EF4-FFF2-40B4-BE49-F238E27FC236}">
              <a16:creationId xmlns:a16="http://schemas.microsoft.com/office/drawing/2014/main" id="{00000000-0008-0000-0600-000043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>
          <a:extLst>
            <a:ext uri="{FF2B5EF4-FFF2-40B4-BE49-F238E27FC236}">
              <a16:creationId xmlns:a16="http://schemas.microsoft.com/office/drawing/2014/main" id="{00000000-0008-0000-0600-000044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>
          <a:extLst>
            <a:ext uri="{FF2B5EF4-FFF2-40B4-BE49-F238E27FC236}">
              <a16:creationId xmlns:a16="http://schemas.microsoft.com/office/drawing/2014/main" id="{00000000-0008-0000-0600-000045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>
          <a:extLst>
            <a:ext uri="{FF2B5EF4-FFF2-40B4-BE49-F238E27FC236}">
              <a16:creationId xmlns:a16="http://schemas.microsoft.com/office/drawing/2014/main" id="{00000000-0008-0000-0600-000046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>
          <a:extLst>
            <a:ext uri="{FF2B5EF4-FFF2-40B4-BE49-F238E27FC236}">
              <a16:creationId xmlns:a16="http://schemas.microsoft.com/office/drawing/2014/main" id="{00000000-0008-0000-0600-000047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>
          <a:extLst>
            <a:ext uri="{FF2B5EF4-FFF2-40B4-BE49-F238E27FC236}">
              <a16:creationId xmlns:a16="http://schemas.microsoft.com/office/drawing/2014/main" id="{00000000-0008-0000-0600-000048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>
          <a:extLst>
            <a:ext uri="{FF2B5EF4-FFF2-40B4-BE49-F238E27FC236}">
              <a16:creationId xmlns:a16="http://schemas.microsoft.com/office/drawing/2014/main" id="{00000000-0008-0000-0600-000049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>
          <a:extLst>
            <a:ext uri="{FF2B5EF4-FFF2-40B4-BE49-F238E27FC236}">
              <a16:creationId xmlns:a16="http://schemas.microsoft.com/office/drawing/2014/main" id="{00000000-0008-0000-0600-00004A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>
          <a:extLst>
            <a:ext uri="{FF2B5EF4-FFF2-40B4-BE49-F238E27FC236}">
              <a16:creationId xmlns:a16="http://schemas.microsoft.com/office/drawing/2014/main" id="{00000000-0008-0000-0600-00004B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>
          <a:extLst>
            <a:ext uri="{FF2B5EF4-FFF2-40B4-BE49-F238E27FC236}">
              <a16:creationId xmlns:a16="http://schemas.microsoft.com/office/drawing/2014/main" id="{00000000-0008-0000-0600-00004C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>
          <a:extLst>
            <a:ext uri="{FF2B5EF4-FFF2-40B4-BE49-F238E27FC236}">
              <a16:creationId xmlns:a16="http://schemas.microsoft.com/office/drawing/2014/main" id="{00000000-0008-0000-0600-00004D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>
          <a:extLst>
            <a:ext uri="{FF2B5EF4-FFF2-40B4-BE49-F238E27FC236}">
              <a16:creationId xmlns:a16="http://schemas.microsoft.com/office/drawing/2014/main" id="{00000000-0008-0000-0600-00004E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>
          <a:extLst>
            <a:ext uri="{FF2B5EF4-FFF2-40B4-BE49-F238E27FC236}">
              <a16:creationId xmlns:a16="http://schemas.microsoft.com/office/drawing/2014/main" id="{00000000-0008-0000-0600-00004F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>
          <a:extLst>
            <a:ext uri="{FF2B5EF4-FFF2-40B4-BE49-F238E27FC236}">
              <a16:creationId xmlns:a16="http://schemas.microsoft.com/office/drawing/2014/main" id="{00000000-0008-0000-0600-000050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>
          <a:extLst>
            <a:ext uri="{FF2B5EF4-FFF2-40B4-BE49-F238E27FC236}">
              <a16:creationId xmlns:a16="http://schemas.microsoft.com/office/drawing/2014/main" id="{00000000-0008-0000-0600-000051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>
          <a:extLst>
            <a:ext uri="{FF2B5EF4-FFF2-40B4-BE49-F238E27FC236}">
              <a16:creationId xmlns:a16="http://schemas.microsoft.com/office/drawing/2014/main" id="{00000000-0008-0000-0600-000052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>
          <a:extLst>
            <a:ext uri="{FF2B5EF4-FFF2-40B4-BE49-F238E27FC236}">
              <a16:creationId xmlns:a16="http://schemas.microsoft.com/office/drawing/2014/main" id="{00000000-0008-0000-0600-000053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>
          <a:extLst>
            <a:ext uri="{FF2B5EF4-FFF2-40B4-BE49-F238E27FC236}">
              <a16:creationId xmlns:a16="http://schemas.microsoft.com/office/drawing/2014/main" id="{00000000-0008-0000-0600-000054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>
          <a:extLst>
            <a:ext uri="{FF2B5EF4-FFF2-40B4-BE49-F238E27FC236}">
              <a16:creationId xmlns:a16="http://schemas.microsoft.com/office/drawing/2014/main" id="{00000000-0008-0000-0600-000055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>
          <a:extLst>
            <a:ext uri="{FF2B5EF4-FFF2-40B4-BE49-F238E27FC236}">
              <a16:creationId xmlns:a16="http://schemas.microsoft.com/office/drawing/2014/main" id="{00000000-0008-0000-0600-000056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>
          <a:extLst>
            <a:ext uri="{FF2B5EF4-FFF2-40B4-BE49-F238E27FC236}">
              <a16:creationId xmlns:a16="http://schemas.microsoft.com/office/drawing/2014/main" id="{00000000-0008-0000-0600-000057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>
          <a:extLst>
            <a:ext uri="{FF2B5EF4-FFF2-40B4-BE49-F238E27FC236}">
              <a16:creationId xmlns:a16="http://schemas.microsoft.com/office/drawing/2014/main" id="{00000000-0008-0000-0600-000058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>
          <a:extLst>
            <a:ext uri="{FF2B5EF4-FFF2-40B4-BE49-F238E27FC236}">
              <a16:creationId xmlns:a16="http://schemas.microsoft.com/office/drawing/2014/main" id="{00000000-0008-0000-0600-000059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>
          <a:extLst>
            <a:ext uri="{FF2B5EF4-FFF2-40B4-BE49-F238E27FC236}">
              <a16:creationId xmlns:a16="http://schemas.microsoft.com/office/drawing/2014/main" id="{00000000-0008-0000-0600-00005A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>
          <a:extLst>
            <a:ext uri="{FF2B5EF4-FFF2-40B4-BE49-F238E27FC236}">
              <a16:creationId xmlns:a16="http://schemas.microsoft.com/office/drawing/2014/main" id="{00000000-0008-0000-0600-00005B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>
          <a:extLst>
            <a:ext uri="{FF2B5EF4-FFF2-40B4-BE49-F238E27FC236}">
              <a16:creationId xmlns:a16="http://schemas.microsoft.com/office/drawing/2014/main" id="{00000000-0008-0000-0600-00005C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>
          <a:extLst>
            <a:ext uri="{FF2B5EF4-FFF2-40B4-BE49-F238E27FC236}">
              <a16:creationId xmlns:a16="http://schemas.microsoft.com/office/drawing/2014/main" id="{00000000-0008-0000-0600-00005D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>
          <a:extLst>
            <a:ext uri="{FF2B5EF4-FFF2-40B4-BE49-F238E27FC236}">
              <a16:creationId xmlns:a16="http://schemas.microsoft.com/office/drawing/2014/main" id="{00000000-0008-0000-0600-00005E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>
          <a:extLst>
            <a:ext uri="{FF2B5EF4-FFF2-40B4-BE49-F238E27FC236}">
              <a16:creationId xmlns:a16="http://schemas.microsoft.com/office/drawing/2014/main" id="{00000000-0008-0000-0600-00005F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>
          <a:extLst>
            <a:ext uri="{FF2B5EF4-FFF2-40B4-BE49-F238E27FC236}">
              <a16:creationId xmlns:a16="http://schemas.microsoft.com/office/drawing/2014/main" id="{00000000-0008-0000-0600-000060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>
          <a:extLst>
            <a:ext uri="{FF2B5EF4-FFF2-40B4-BE49-F238E27FC236}">
              <a16:creationId xmlns:a16="http://schemas.microsoft.com/office/drawing/2014/main" id="{00000000-0008-0000-0600-000061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>
          <a:extLst>
            <a:ext uri="{FF2B5EF4-FFF2-40B4-BE49-F238E27FC236}">
              <a16:creationId xmlns:a16="http://schemas.microsoft.com/office/drawing/2014/main" id="{00000000-0008-0000-0600-000062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>
          <a:extLst>
            <a:ext uri="{FF2B5EF4-FFF2-40B4-BE49-F238E27FC236}">
              <a16:creationId xmlns:a16="http://schemas.microsoft.com/office/drawing/2014/main" id="{00000000-0008-0000-0600-000063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>
          <a:extLst>
            <a:ext uri="{FF2B5EF4-FFF2-40B4-BE49-F238E27FC236}">
              <a16:creationId xmlns:a16="http://schemas.microsoft.com/office/drawing/2014/main" id="{00000000-0008-0000-0600-000064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>
          <a:extLst>
            <a:ext uri="{FF2B5EF4-FFF2-40B4-BE49-F238E27FC236}">
              <a16:creationId xmlns:a16="http://schemas.microsoft.com/office/drawing/2014/main" id="{00000000-0008-0000-0600-00006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>
          <a:extLst>
            <a:ext uri="{FF2B5EF4-FFF2-40B4-BE49-F238E27FC236}">
              <a16:creationId xmlns:a16="http://schemas.microsoft.com/office/drawing/2014/main" id="{00000000-0008-0000-0600-00006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>
          <a:extLst>
            <a:ext uri="{FF2B5EF4-FFF2-40B4-BE49-F238E27FC236}">
              <a16:creationId xmlns:a16="http://schemas.microsoft.com/office/drawing/2014/main" id="{00000000-0008-0000-0600-000067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>
          <a:extLst>
            <a:ext uri="{FF2B5EF4-FFF2-40B4-BE49-F238E27FC236}">
              <a16:creationId xmlns:a16="http://schemas.microsoft.com/office/drawing/2014/main" id="{00000000-0008-0000-0600-00006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>
          <a:extLst>
            <a:ext uri="{FF2B5EF4-FFF2-40B4-BE49-F238E27FC236}">
              <a16:creationId xmlns:a16="http://schemas.microsoft.com/office/drawing/2014/main" id="{00000000-0008-0000-0600-00006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>
          <a:extLst>
            <a:ext uri="{FF2B5EF4-FFF2-40B4-BE49-F238E27FC236}">
              <a16:creationId xmlns:a16="http://schemas.microsoft.com/office/drawing/2014/main" id="{00000000-0008-0000-0600-00006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>
          <a:extLst>
            <a:ext uri="{FF2B5EF4-FFF2-40B4-BE49-F238E27FC236}">
              <a16:creationId xmlns:a16="http://schemas.microsoft.com/office/drawing/2014/main" id="{00000000-0008-0000-0600-00006B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>
          <a:extLst>
            <a:ext uri="{FF2B5EF4-FFF2-40B4-BE49-F238E27FC236}">
              <a16:creationId xmlns:a16="http://schemas.microsoft.com/office/drawing/2014/main" id="{00000000-0008-0000-0600-00006C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>
          <a:extLst>
            <a:ext uri="{FF2B5EF4-FFF2-40B4-BE49-F238E27FC236}">
              <a16:creationId xmlns:a16="http://schemas.microsoft.com/office/drawing/2014/main" id="{00000000-0008-0000-0600-00006D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harts2" displayName="Charts2" ref="A1:AJ78" totalsRowCount="1" totalsRowDxfId="109">
  <autoFilter ref="A1:AJ77" xr:uid="{00000000-0009-0000-0100-000001000000}"/>
  <tableColumns count="36">
    <tableColumn id="1" xr3:uid="{00000000-0010-0000-0000-000001000000}" name="Name" totalsRowLabel="don’t use"/>
    <tableColumn id="2" xr3:uid="{00000000-0010-0000-0000-000002000000}" name="Date" dataDxfId="108" totalsRowDxfId="32"/>
    <tableColumn id="4" xr3:uid="{00000000-0010-0000-0000-000004000000}" name="TZ"/>
    <tableColumn id="5" xr3:uid="{00000000-0010-0000-0000-000005000000}" name="Lat" totalsRowFunction="custom" dataDxfId="107" totalsRowDxfId="31">
      <calculatedColumnFormula>10+57/60</calculatedColumnFormula>
      <totalsRowFormula>19+4/60</totalsRowFormula>
    </tableColumn>
    <tableColumn id="6" xr3:uid="{00000000-0010-0000-0000-000006000000}" name="Long" totalsRowFunction="custom" dataDxfId="106" totalsRowDxfId="30">
      <calculatedColumnFormula>78+5/60</calculatedColumnFormula>
      <totalsRowFormula>72+52/60</totalsRowFormula>
    </tableColumn>
    <tableColumn id="7" xr3:uid="{00000000-0010-0000-0000-000007000000}" name="UT(GMT)" dataDxfId="105" totalsRowDxfId="29">
      <calculatedColumnFormula>B2+I2-C2/24</calculatedColumnFormula>
    </tableColumn>
    <tableColumn id="8" xr3:uid="{00000000-0010-0000-0000-000008000000}" name="Sunrise" dataDxfId="104" totalsRowDxfId="28">
      <calculatedColumnFormula>sunrise(D2,E2,F2)+C2/24</calculatedColumnFormula>
    </tableColumn>
    <tableColumn id="9" xr3:uid="{00000000-0010-0000-0000-000009000000}" name="Weekday">
      <calculatedColumnFormula>CHOOSE(WEEKDAY(F2),"Sunday","Monday","Tuesday","Wednesday","Thursday","Friday","Saturday")</calculatedColumnFormula>
    </tableColumn>
    <tableColumn id="3" xr3:uid="{00000000-0010-0000-0000-000003000000}" name="Time" dataDxfId="103" totalsRowDxfId="27"/>
    <tableColumn id="10" xr3:uid="{00000000-0010-0000-0000-00000A000000}" name="Asdt " dataDxfId="102" totalsRowDxfId="26">
      <calculatedColumnFormula>(Asdt(D2,E2,F2))</calculatedColumnFormula>
    </tableColumn>
    <tableColumn id="11" xr3:uid="{00000000-0010-0000-0000-00000B000000}" name="Sun " dataDxfId="101" totalsRowDxfId="25">
      <calculatedColumnFormula>(Planet(F2,0))</calculatedColumnFormula>
    </tableColumn>
    <tableColumn id="12" xr3:uid="{00000000-0010-0000-0000-00000C000000}" name="Moon " dataDxfId="100" totalsRowDxfId="24">
      <calculatedColumnFormula>(Planet(F2,1))</calculatedColumnFormula>
    </tableColumn>
    <tableColumn id="13" xr3:uid="{00000000-0010-0000-0000-00000D000000}" name="Mars " dataDxfId="99" totalsRowDxfId="23">
      <calculatedColumnFormula>(Planet(F2,4))</calculatedColumnFormula>
    </tableColumn>
    <tableColumn id="14" xr3:uid="{00000000-0010-0000-0000-00000E000000}" name="Merc" dataDxfId="98" totalsRowDxfId="22">
      <calculatedColumnFormula>(Planet(F2,2))</calculatedColumnFormula>
    </tableColumn>
    <tableColumn id="15" xr3:uid="{00000000-0010-0000-0000-00000F000000}" name="Jupiter" dataDxfId="97" totalsRowDxfId="21">
      <calculatedColumnFormula>(Planet(F2,5))</calculatedColumnFormula>
    </tableColumn>
    <tableColumn id="16" xr3:uid="{00000000-0010-0000-0000-000010000000}" name="Venus " dataDxfId="96" totalsRowDxfId="20">
      <calculatedColumnFormula>Planet(F2,3)</calculatedColumnFormula>
    </tableColumn>
    <tableColumn id="17" xr3:uid="{00000000-0010-0000-0000-000011000000}" name="Saturn " dataDxfId="95" totalsRowDxfId="19">
      <calculatedColumnFormula>Planet(F2,6)</calculatedColumnFormula>
    </tableColumn>
    <tableColumn id="18" xr3:uid="{00000000-0010-0000-0000-000012000000}" name="Rahu " dataDxfId="94" totalsRowDxfId="18">
      <calculatedColumnFormula>Planet(F2,10)</calculatedColumnFormula>
    </tableColumn>
    <tableColumn id="28" xr3:uid="{00000000-0010-0000-0000-00001C000000}" name="D9" dataDxfId="93" totalsRowDxfId="17">
      <calculatedColumnFormula>FLOOR(MOD(divplanetlongitude(Charts2[[#This Row],[Asdt ]],9,1),30),1)</calculatedColumnFormula>
    </tableColumn>
    <tableColumn id="20" xr3:uid="{00000000-0010-0000-0000-000014000000}" name="Sun 2" dataDxfId="92" totalsRowDxfId="16">
      <calculatedColumnFormula>FLOOR(MOD(divplanetlongitude(Charts2[[#This Row],[Sun ]],9,1),30),1)</calculatedColumnFormula>
    </tableColumn>
    <tableColumn id="21" xr3:uid="{00000000-0010-0000-0000-000015000000}" name="Moon 3" dataDxfId="91" totalsRowDxfId="15">
      <calculatedColumnFormula>FLOOR(MOD(divplanetlongitude(Charts2[[#This Row],[Moon ]],9,1),30),1)</calculatedColumnFormula>
    </tableColumn>
    <tableColumn id="22" xr3:uid="{00000000-0010-0000-0000-000016000000}" name="Mars 4" dataDxfId="90" totalsRowDxfId="14">
      <calculatedColumnFormula>FLOOR(MOD(divplanetlongitude(Charts2[[#This Row],[Mars ]],9,1),30),1)</calculatedColumnFormula>
    </tableColumn>
    <tableColumn id="23" xr3:uid="{00000000-0010-0000-0000-000017000000}" name="Merc5" dataDxfId="89" totalsRowDxfId="13">
      <calculatedColumnFormula>FLOOR(MOD(divplanetlongitude(Charts2[[#This Row],[Merc]],9,1),30),1)</calculatedColumnFormula>
    </tableColumn>
    <tableColumn id="24" xr3:uid="{00000000-0010-0000-0000-000018000000}" name="Jupiter6" dataDxfId="88" totalsRowDxfId="12">
      <calculatedColumnFormula>FLOOR(MOD(divplanetlongitude(Charts2[[#This Row],[Jupiter]],9,1),30),1)</calculatedColumnFormula>
    </tableColumn>
    <tableColumn id="25" xr3:uid="{00000000-0010-0000-0000-000019000000}" name="Venus 7" dataDxfId="87" totalsRowDxfId="11">
      <calculatedColumnFormula>FLOOR(MOD(divplanetlongitude(Charts2[[#This Row],[Venus ]],9,1),30),1)</calculatedColumnFormula>
    </tableColumn>
    <tableColumn id="26" xr3:uid="{00000000-0010-0000-0000-00001A000000}" name="Saturn 8" dataDxfId="86" totalsRowDxfId="10">
      <calculatedColumnFormula>FLOOR(MOD(divplanetlongitude(Charts2[[#This Row],[Saturn ]],9,1),30),1)</calculatedColumnFormula>
    </tableColumn>
    <tableColumn id="27" xr3:uid="{00000000-0010-0000-0000-00001B000000}" name="Rahu 9" dataDxfId="85" totalsRowDxfId="9">
      <calculatedColumnFormula>FLOOR(MOD(divplanetlongitude(Charts2[[#This Row],[Rahu ]],9,1),30),1)</calculatedColumnFormula>
    </tableColumn>
    <tableColumn id="29" xr3:uid="{00000000-0010-0000-0000-00001D000000}" name="D1" dataDxfId="84" totalsRowDxfId="8">
      <calculatedColumnFormula>FLOOR(MOD(Charts2[[#This Row],[Asdt ]],30),1)</calculatedColumnFormula>
    </tableColumn>
    <tableColumn id="30" xr3:uid="{00000000-0010-0000-0000-00001E000000}" name="Sun 22" dataDxfId="83" totalsRowDxfId="7">
      <calculatedColumnFormula>FLOOR(MOD(Charts2[[#This Row],[Sun ]],30),1)</calculatedColumnFormula>
    </tableColumn>
    <tableColumn id="31" xr3:uid="{00000000-0010-0000-0000-00001F000000}" name="Moon 33" dataDxfId="82" totalsRowDxfId="6">
      <calculatedColumnFormula>FLOOR(MOD(Charts2[[#This Row],[Moon ]],30),1)</calculatedColumnFormula>
    </tableColumn>
    <tableColumn id="32" xr3:uid="{00000000-0010-0000-0000-000020000000}" name="Mars 44" dataDxfId="81" totalsRowDxfId="5">
      <calculatedColumnFormula>FLOOR(MOD(Charts2[[#This Row],[Mars ]],30),1)</calculatedColumnFormula>
    </tableColumn>
    <tableColumn id="33" xr3:uid="{00000000-0010-0000-0000-000021000000}" name="Merc55" dataDxfId="80" totalsRowDxfId="4">
      <calculatedColumnFormula>FLOOR(MOD(Charts2[[#This Row],[Merc]],30),1)</calculatedColumnFormula>
    </tableColumn>
    <tableColumn id="34" xr3:uid="{00000000-0010-0000-0000-000022000000}" name="Jupiter66" dataDxfId="79" totalsRowDxfId="3">
      <calculatedColumnFormula>FLOOR(MOD(Charts2[[#This Row],[Jupiter]],30),1)</calculatedColumnFormula>
    </tableColumn>
    <tableColumn id="35" xr3:uid="{00000000-0010-0000-0000-000023000000}" name="Venus 77" dataDxfId="78" totalsRowDxfId="2">
      <calculatedColumnFormula>FLOOR(MOD(Charts2[[#This Row],[Venus ]],30),1)</calculatedColumnFormula>
    </tableColumn>
    <tableColumn id="36" xr3:uid="{00000000-0010-0000-0000-000024000000}" name="Saturn 88" dataDxfId="77" totalsRowDxfId="1">
      <calculatedColumnFormula>FLOOR(MOD(Charts2[[#This Row],[Saturn ]],30),1)</calculatedColumnFormula>
    </tableColumn>
    <tableColumn id="37" xr3:uid="{00000000-0010-0000-0000-000025000000}" name="Rahu 99" dataDxfId="76" totalsRowDxfId="0">
      <calculatedColumnFormula>FLOOR(MOD(Charts2[[#This Row],[Rahu ]],30),1)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harts" displayName="Charts" ref="A1:X11" totalsRowCount="1" totalsRowDxfId="75">
  <autoFilter ref="A1:X10" xr:uid="{00000000-0009-0000-0100-000002000000}"/>
  <tableColumns count="24">
    <tableColumn id="1" xr3:uid="{00000000-0010-0000-0100-000001000000}" name="Name" totalsRowLabel="don’t use"/>
    <tableColumn id="2" xr3:uid="{00000000-0010-0000-0100-000002000000}" name="Date" dataDxfId="74" totalsRowDxfId="73"/>
    <tableColumn id="3" xr3:uid="{00000000-0010-0000-0100-000003000000}" name="Time" dataDxfId="72" totalsRowDxfId="71"/>
    <tableColumn id="4" xr3:uid="{00000000-0010-0000-0100-000004000000}" name="TZ"/>
    <tableColumn id="5" xr3:uid="{00000000-0010-0000-0100-000005000000}" name="Lat" totalsRowFunction="custom" dataDxfId="70" totalsRowDxfId="69">
      <calculatedColumnFormula>10+57/60</calculatedColumnFormula>
      <totalsRowFormula>19+4/60</totalsRowFormula>
    </tableColumn>
    <tableColumn id="6" xr3:uid="{00000000-0010-0000-0100-000006000000}" name="Long" totalsRowFunction="custom" dataDxfId="68" totalsRowDxfId="67">
      <calculatedColumnFormula>78+5/60</calculatedColumnFormula>
      <totalsRowFormula>72+52/60</totalsRowFormula>
    </tableColumn>
    <tableColumn id="7" xr3:uid="{00000000-0010-0000-0100-000007000000}" name="UT(GMT)" dataDxfId="66" totalsRowDxfId="65">
      <calculatedColumnFormula>B2+C2-D2/24</calculatedColumnFormula>
    </tableColumn>
    <tableColumn id="8" xr3:uid="{00000000-0010-0000-0100-000008000000}" name="Sunrise" dataDxfId="64" totalsRowDxfId="63">
      <calculatedColumnFormula>sunrise(E2,F2,G2)+D2/24</calculatedColumnFormula>
    </tableColumn>
    <tableColumn id="9" xr3:uid="{00000000-0010-0000-0100-000009000000}" name="Weekday">
      <calculatedColumnFormula>CHOOSE(WEEKDAY(G2),"Sunday","Monday","Tuesday","Wednesday","Thursday","Friday","Saturday")</calculatedColumnFormula>
    </tableColumn>
    <tableColumn id="10" xr3:uid="{00000000-0010-0000-0100-00000A000000}" name="Asdt " dataDxfId="62" totalsRowDxfId="61">
      <calculatedColumnFormula>Asdt(E2,F2,G2)</calculatedColumnFormula>
    </tableColumn>
    <tableColumn id="11" xr3:uid="{00000000-0010-0000-0100-00000B000000}" name="Sun " dataDxfId="60" totalsRowDxfId="59">
      <calculatedColumnFormula>Planet(G2,0)</calculatedColumnFormula>
    </tableColumn>
    <tableColumn id="12" xr3:uid="{00000000-0010-0000-0100-00000C000000}" name="Moon " dataDxfId="58" totalsRowDxfId="57">
      <calculatedColumnFormula>Planet(G2,1)</calculatedColumnFormula>
    </tableColumn>
    <tableColumn id="13" xr3:uid="{00000000-0010-0000-0100-00000D000000}" name="Mars " dataDxfId="56" totalsRowDxfId="55">
      <calculatedColumnFormula>Planet(G2,4)</calculatedColumnFormula>
    </tableColumn>
    <tableColumn id="14" xr3:uid="{00000000-0010-0000-0100-00000E000000}" name="Merc" dataDxfId="54" totalsRowDxfId="53">
      <calculatedColumnFormula>Planet(G2,2)</calculatedColumnFormula>
    </tableColumn>
    <tableColumn id="15" xr3:uid="{00000000-0010-0000-0100-00000F000000}" name="Jupiter" dataDxfId="52" totalsRowDxfId="51">
      <calculatedColumnFormula>Planet(G2,5)</calculatedColumnFormula>
    </tableColumn>
    <tableColumn id="16" xr3:uid="{00000000-0010-0000-0100-000010000000}" name="Venus " dataDxfId="50" totalsRowDxfId="49">
      <calculatedColumnFormula>Planet(G2,3)</calculatedColumnFormula>
    </tableColumn>
    <tableColumn id="17" xr3:uid="{00000000-0010-0000-0100-000011000000}" name="Saturn " dataDxfId="48" totalsRowDxfId="47">
      <calculatedColumnFormula>Planet(G2,6)</calculatedColumnFormula>
    </tableColumn>
    <tableColumn id="18" xr3:uid="{00000000-0010-0000-0100-000012000000}" name="Rahu " dataDxfId="46" totalsRowDxfId="45">
      <calculatedColumnFormula>Planet(G2,10)</calculatedColumnFormula>
    </tableColumn>
    <tableColumn id="19" xr3:uid="{00000000-0010-0000-0100-000013000000}" name="Ketu " dataDxfId="44" totalsRowDxfId="43">
      <calculatedColumnFormula>IF(R2&lt;180,R2+180,R2-180)</calculatedColumnFormula>
    </tableColumn>
    <tableColumn id="20" xr3:uid="{00000000-0010-0000-0100-000014000000}" name="Dhooma" dataDxfId="42" totalsRowDxfId="41">
      <calculatedColumnFormula>(K2+133.33)-FLOOR((K2+133.33)/360,1)*360</calculatedColumnFormula>
    </tableColumn>
    <tableColumn id="21" xr3:uid="{00000000-0010-0000-0100-000015000000}" name="Vyati" dataDxfId="40" totalsRowDxfId="39">
      <calculatedColumnFormula>360-T2</calculatedColumnFormula>
    </tableColumn>
    <tableColumn id="22" xr3:uid="{00000000-0010-0000-0100-000016000000}" name="Parivesha" dataDxfId="38" totalsRowDxfId="37">
      <calculatedColumnFormula>(180+U2)-FLOOR((180+U2)/360,1)*360</calculatedColumnFormula>
    </tableColumn>
    <tableColumn id="23" xr3:uid="{00000000-0010-0000-0100-000017000000}" name="I.Chapa" dataDxfId="36" totalsRowDxfId="35">
      <calculatedColumnFormula>360-V2</calculatedColumnFormula>
    </tableColumn>
    <tableColumn id="24" xr3:uid="{00000000-0010-0000-0100-000018000000}" name="Upaketu" dataDxfId="34" totalsRowDxfId="33">
      <calculatedColumnFormula>(W2+16.67)-FLOOR((W2+16.67)/360,1)*360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AL78"/>
  <sheetViews>
    <sheetView tabSelected="1" topLeftCell="B54" zoomScale="110" zoomScaleNormal="110" workbookViewId="0">
      <selection activeCell="L55" sqref="L55"/>
    </sheetView>
  </sheetViews>
  <sheetFormatPr defaultColWidth="8" defaultRowHeight="13.2" outlineLevelCol="1" x14ac:dyDescent="0.25"/>
  <cols>
    <col min="1" max="1" width="19.88671875" hidden="1" customWidth="1"/>
    <col min="2" max="2" width="11.6640625" customWidth="1" outlineLevel="1"/>
    <col min="3" max="3" width="8" customWidth="1" outlineLevel="1"/>
    <col min="4" max="4" width="5.44140625" customWidth="1" outlineLevel="1"/>
    <col min="5" max="5" width="8.109375" customWidth="1" outlineLevel="1"/>
    <col min="6" max="6" width="7.88671875" customWidth="1" outlineLevel="1"/>
    <col min="7" max="7" width="20" style="107" customWidth="1" outlineLevel="1"/>
    <col min="8" max="8" width="10.5546875" hidden="1" customWidth="1"/>
    <col min="9" max="9" width="11.5546875" bestFit="1" customWidth="1"/>
    <col min="10" max="10" width="13" customWidth="1" outlineLevel="1"/>
    <col min="11" max="18" width="8" customWidth="1" outlineLevel="1"/>
    <col min="19" max="19" width="3.88671875" style="118" customWidth="1"/>
    <col min="20" max="36" width="3.88671875" style="118" customWidth="1" collapsed="1"/>
    <col min="39" max="39" width="8.44140625" bestFit="1" customWidth="1"/>
  </cols>
  <sheetData>
    <row r="1" spans="1:38" x14ac:dyDescent="0.25">
      <c r="A1" t="s">
        <v>21</v>
      </c>
      <c r="B1" s="108" t="s">
        <v>57</v>
      </c>
      <c r="C1" s="108" t="s">
        <v>56</v>
      </c>
      <c r="D1" s="108" t="s">
        <v>59</v>
      </c>
      <c r="E1" s="108" t="s">
        <v>60</v>
      </c>
      <c r="F1" s="110" t="s">
        <v>61</v>
      </c>
      <c r="G1" t="s">
        <v>26</v>
      </c>
      <c r="H1" t="s">
        <v>20</v>
      </c>
      <c r="I1" s="108" t="s">
        <v>58</v>
      </c>
      <c r="J1" s="116" t="s">
        <v>9</v>
      </c>
      <c r="K1" s="116" t="s">
        <v>2</v>
      </c>
      <c r="L1" s="116" t="s">
        <v>3</v>
      </c>
      <c r="M1" s="116" t="s">
        <v>16</v>
      </c>
      <c r="N1" s="116" t="s">
        <v>62</v>
      </c>
      <c r="O1" s="116" t="s">
        <v>44</v>
      </c>
      <c r="P1" s="116" t="s">
        <v>5</v>
      </c>
      <c r="Q1" s="116" t="s">
        <v>6</v>
      </c>
      <c r="R1" s="116" t="s">
        <v>7</v>
      </c>
      <c r="S1" s="119" t="s">
        <v>74</v>
      </c>
      <c r="T1" s="119" t="s">
        <v>75</v>
      </c>
      <c r="U1" s="119" t="s">
        <v>76</v>
      </c>
      <c r="V1" s="119" t="s">
        <v>77</v>
      </c>
      <c r="W1" s="119" t="s">
        <v>78</v>
      </c>
      <c r="X1" s="119" t="s">
        <v>79</v>
      </c>
      <c r="Y1" s="119" t="s">
        <v>80</v>
      </c>
      <c r="Z1" s="119" t="s">
        <v>81</v>
      </c>
      <c r="AA1" s="119" t="s">
        <v>82</v>
      </c>
      <c r="AB1" s="119" t="s">
        <v>73</v>
      </c>
      <c r="AC1" s="119" t="s">
        <v>83</v>
      </c>
      <c r="AD1" s="119" t="s">
        <v>84</v>
      </c>
      <c r="AE1" s="119" t="s">
        <v>85</v>
      </c>
      <c r="AF1" s="119" t="s">
        <v>86</v>
      </c>
      <c r="AG1" s="119" t="s">
        <v>87</v>
      </c>
      <c r="AH1" s="119" t="s">
        <v>88</v>
      </c>
      <c r="AI1" s="119" t="s">
        <v>89</v>
      </c>
      <c r="AJ1" s="119" t="s">
        <v>90</v>
      </c>
    </row>
    <row r="2" spans="1:38" ht="15.6" x14ac:dyDescent="0.3">
      <c r="A2" s="114">
        <v>44571</v>
      </c>
      <c r="B2" s="114">
        <f>Charts2[[#This Row],[Name]]</f>
        <v>44571</v>
      </c>
      <c r="C2">
        <v>5.5</v>
      </c>
      <c r="D2" s="109">
        <f>19+4/60</f>
        <v>19.066666666666666</v>
      </c>
      <c r="E2" s="109">
        <f>72+52/60</f>
        <v>72.86666666666666</v>
      </c>
      <c r="F2" s="107">
        <f t="shared" ref="F2:F27" si="0">B2+I2-C2/24</f>
        <v>44571.15625</v>
      </c>
      <c r="G2" s="106">
        <f t="shared" ref="G2" si="1">sunrise(D2,E2,F2)+C2/24</f>
        <v>0.22916666666666666</v>
      </c>
      <c r="H2" t="str">
        <f>CHOOSE(WEEKDAY(F2),"Sunday","Monday","Tuesday","Wednesday","Thursday","Friday","Saturday")</f>
        <v>Monday</v>
      </c>
      <c r="I2" s="106">
        <v>0.38541666666666669</v>
      </c>
      <c r="J2" s="115" t="e">
        <f>(Asdt(D2,E2,F2))</f>
        <v>#VALUE!</v>
      </c>
      <c r="K2" s="115" t="e">
        <f t="shared" ref="K2:K27" si="2">(Planet(F2,0))</f>
        <v>#VALUE!</v>
      </c>
      <c r="L2" s="115" t="e">
        <f t="shared" ref="L2:L27" si="3">(Planet(F2,1))</f>
        <v>#VALUE!</v>
      </c>
      <c r="M2" s="115" t="e">
        <f t="shared" ref="M2:M27" si="4">(Planet(F2,4))</f>
        <v>#VALUE!</v>
      </c>
      <c r="N2" s="115" t="e">
        <f t="shared" ref="N2:N27" si="5">(Planet(F2,2))</f>
        <v>#VALUE!</v>
      </c>
      <c r="O2" s="115" t="e">
        <f t="shared" ref="O2:O27" si="6">(Planet(F2,5))</f>
        <v>#VALUE!</v>
      </c>
      <c r="P2" s="115" t="e">
        <f>Planet(F2,3)</f>
        <v>#VALUE!</v>
      </c>
      <c r="Q2" s="115" t="e">
        <f>Planet(F2,6)</f>
        <v>#VALUE!</v>
      </c>
      <c r="R2" s="115" t="e">
        <f>Planet(F2,10)</f>
        <v>#VALUE!</v>
      </c>
      <c r="S2" s="126" t="e">
        <f>FLOOR(MOD(divplanetlongitude(Charts2[[#This Row],[Asdt ]],9,1),30),1)</f>
        <v>#VALUE!</v>
      </c>
      <c r="T2" s="126" t="e">
        <f>FLOOR(MOD(divplanetlongitude(Charts2[[#This Row],[Sun ]],9,1),30),1)</f>
        <v>#VALUE!</v>
      </c>
      <c r="U2" s="126" t="e">
        <f>FLOOR(MOD(divplanetlongitude(Charts2[[#This Row],[Moon ]],9,1),30),1)</f>
        <v>#VALUE!</v>
      </c>
      <c r="V2" s="126" t="e">
        <f>FLOOR(MOD(divplanetlongitude(Charts2[[#This Row],[Mars ]],9,1),30),1)</f>
        <v>#VALUE!</v>
      </c>
      <c r="W2" s="126" t="e">
        <f>FLOOR(MOD(divplanetlongitude(Charts2[[#This Row],[Merc]],9,1),30),1)</f>
        <v>#VALUE!</v>
      </c>
      <c r="X2" s="126" t="e">
        <f>FLOOR(MOD(divplanetlongitude(Charts2[[#This Row],[Jupiter]],9,1),30),1)</f>
        <v>#VALUE!</v>
      </c>
      <c r="Y2" s="126" t="e">
        <f>FLOOR(MOD(divplanetlongitude(Charts2[[#This Row],[Venus ]],9,1),30),1)</f>
        <v>#VALUE!</v>
      </c>
      <c r="Z2" s="126" t="e">
        <f>FLOOR(MOD(divplanetlongitude(Charts2[[#This Row],[Saturn ]],9,1),30),1)</f>
        <v>#VALUE!</v>
      </c>
      <c r="AA2" s="126" t="e">
        <f>FLOOR(MOD(divplanetlongitude(Charts2[[#This Row],[Rahu ]],9,1),30),1)</f>
        <v>#VALUE!</v>
      </c>
      <c r="AB2" s="126" t="e">
        <f>FLOOR(MOD(Charts2[[#This Row],[Asdt ]],30),1)</f>
        <v>#VALUE!</v>
      </c>
      <c r="AC2" s="126" t="e">
        <f>FLOOR(MOD(Charts2[[#This Row],[Sun ]],30),1)</f>
        <v>#VALUE!</v>
      </c>
      <c r="AD2" s="126" t="e">
        <f>FLOOR(MOD(Charts2[[#This Row],[Moon ]],30),1)</f>
        <v>#VALUE!</v>
      </c>
      <c r="AE2" s="126" t="e">
        <f>FLOOR(MOD(Charts2[[#This Row],[Mars ]],30),1)</f>
        <v>#VALUE!</v>
      </c>
      <c r="AF2" s="126" t="e">
        <f>FLOOR(MOD(Charts2[[#This Row],[Merc]],30),1)</f>
        <v>#VALUE!</v>
      </c>
      <c r="AG2" s="126" t="e">
        <f>FLOOR(MOD(Charts2[[#This Row],[Jupiter]],30),1)</f>
        <v>#VALUE!</v>
      </c>
      <c r="AH2" s="126" t="e">
        <f>FLOOR(MOD(Charts2[[#This Row],[Venus ]],30),1)</f>
        <v>#VALUE!</v>
      </c>
      <c r="AI2" s="126" t="e">
        <f>FLOOR(MOD(Charts2[[#This Row],[Saturn ]],30),1)</f>
        <v>#VALUE!</v>
      </c>
      <c r="AJ2" s="126" t="e">
        <f>FLOOR(MOD(Charts2[[#This Row],[Rahu ]],30),1)</f>
        <v>#VALUE!</v>
      </c>
    </row>
    <row r="3" spans="1:38" ht="15.6" x14ac:dyDescent="0.3">
      <c r="B3" s="114">
        <f>B2</f>
        <v>44571</v>
      </c>
      <c r="C3">
        <f>C2</f>
        <v>5.5</v>
      </c>
      <c r="D3" s="109">
        <f>D2</f>
        <v>19.066666666666666</v>
      </c>
      <c r="E3" s="109">
        <f>E2</f>
        <v>72.86666666666666</v>
      </c>
      <c r="F3" s="107">
        <f t="shared" si="0"/>
        <v>44571.159722222226</v>
      </c>
      <c r="G3" s="106">
        <f t="shared" ref="G3:G14" si="7">sunrise(D3,E3,F3)+C3/24</f>
        <v>0.22916666666666666</v>
      </c>
      <c r="H3" t="str">
        <f t="shared" ref="H3:H14" si="8">CHOOSE(WEEKDAY(F3),"Sunday","Monday","Tuesday","Wednesday","Thursday","Friday","Saturday")</f>
        <v>Monday</v>
      </c>
      <c r="I3" s="106">
        <v>0.3888888888888889</v>
      </c>
      <c r="J3" s="115" t="e">
        <f t="shared" ref="J3:J27" si="9">(Asdt(D3,E3,F3))</f>
        <v>#VALUE!</v>
      </c>
      <c r="K3" s="115" t="e">
        <f t="shared" si="2"/>
        <v>#VALUE!</v>
      </c>
      <c r="L3" s="115" t="e">
        <f t="shared" si="3"/>
        <v>#VALUE!</v>
      </c>
      <c r="M3" s="115" t="e">
        <f t="shared" si="4"/>
        <v>#VALUE!</v>
      </c>
      <c r="N3" s="115" t="e">
        <f t="shared" si="5"/>
        <v>#VALUE!</v>
      </c>
      <c r="O3" s="115" t="e">
        <f t="shared" si="6"/>
        <v>#VALUE!</v>
      </c>
      <c r="P3" s="115" t="e">
        <f t="shared" ref="P3:P14" si="10">Planet(F3,3)</f>
        <v>#VALUE!</v>
      </c>
      <c r="Q3" s="115" t="e">
        <f t="shared" ref="Q3:Q14" si="11">Planet(F3,6)</f>
        <v>#VALUE!</v>
      </c>
      <c r="R3" s="115" t="e">
        <f t="shared" ref="R3:R14" si="12">Planet(F3,10)</f>
        <v>#VALUE!</v>
      </c>
      <c r="S3" s="126" t="e">
        <f>FLOOR(MOD(divplanetlongitude(Charts2[[#This Row],[Asdt ]],9,1),30),1)</f>
        <v>#VALUE!</v>
      </c>
      <c r="T3" s="126" t="e">
        <f>FLOOR(MOD(divplanetlongitude(Charts2[[#This Row],[Sun ]],9,1),30),1)</f>
        <v>#VALUE!</v>
      </c>
      <c r="U3" s="126" t="e">
        <f>FLOOR(MOD(divplanetlongitude(Charts2[[#This Row],[Moon ]],9,1),30),1)</f>
        <v>#VALUE!</v>
      </c>
      <c r="V3" s="126" t="e">
        <f>FLOOR(MOD(divplanetlongitude(Charts2[[#This Row],[Mars ]],9,1),30),1)</f>
        <v>#VALUE!</v>
      </c>
      <c r="W3" s="126" t="e">
        <f>FLOOR(MOD(divplanetlongitude(Charts2[[#This Row],[Merc]],9,1),30),1)</f>
        <v>#VALUE!</v>
      </c>
      <c r="X3" s="126" t="e">
        <f>FLOOR(MOD(divplanetlongitude(Charts2[[#This Row],[Jupiter]],9,1),30),1)</f>
        <v>#VALUE!</v>
      </c>
      <c r="Y3" s="126" t="e">
        <f>FLOOR(MOD(divplanetlongitude(Charts2[[#This Row],[Venus ]],9,1),30),1)</f>
        <v>#VALUE!</v>
      </c>
      <c r="Z3" s="126" t="e">
        <f>FLOOR(MOD(divplanetlongitude(Charts2[[#This Row],[Saturn ]],9,1),30),1)</f>
        <v>#VALUE!</v>
      </c>
      <c r="AA3" s="126" t="e">
        <f>FLOOR(MOD(divplanetlongitude(Charts2[[#This Row],[Rahu ]],9,1),30),1)</f>
        <v>#VALUE!</v>
      </c>
      <c r="AB3" s="126" t="e">
        <f>FLOOR(MOD(Charts2[[#This Row],[Asdt ]],30),1)</f>
        <v>#VALUE!</v>
      </c>
      <c r="AC3" s="126" t="e">
        <f>FLOOR(MOD(Charts2[[#This Row],[Sun ]],30),1)</f>
        <v>#VALUE!</v>
      </c>
      <c r="AD3" s="126" t="e">
        <f>FLOOR(MOD(Charts2[[#This Row],[Moon ]],30),1)</f>
        <v>#VALUE!</v>
      </c>
      <c r="AE3" s="126" t="e">
        <f>FLOOR(MOD(Charts2[[#This Row],[Mars ]],30),1)</f>
        <v>#VALUE!</v>
      </c>
      <c r="AF3" s="126" t="e">
        <f>FLOOR(MOD(Charts2[[#This Row],[Merc]],30),1)</f>
        <v>#VALUE!</v>
      </c>
      <c r="AG3" s="126" t="e">
        <f>FLOOR(MOD(Charts2[[#This Row],[Jupiter]],30),1)</f>
        <v>#VALUE!</v>
      </c>
      <c r="AH3" s="126" t="e">
        <f>FLOOR(MOD(Charts2[[#This Row],[Venus ]],30),1)</f>
        <v>#VALUE!</v>
      </c>
      <c r="AI3" s="126" t="e">
        <f>FLOOR(MOD(Charts2[[#This Row],[Saturn ]],30),1)</f>
        <v>#VALUE!</v>
      </c>
      <c r="AJ3" s="126" t="e">
        <f>FLOOR(MOD(Charts2[[#This Row],[Rahu ]],30),1)</f>
        <v>#VALUE!</v>
      </c>
      <c r="AK3" s="108"/>
      <c r="AL3" s="108"/>
    </row>
    <row r="4" spans="1:38" ht="15.6" x14ac:dyDescent="0.3">
      <c r="B4" s="114">
        <f t="shared" ref="B4:B67" si="13">B3</f>
        <v>44571</v>
      </c>
      <c r="C4">
        <f t="shared" ref="C4:C17" si="14">C3</f>
        <v>5.5</v>
      </c>
      <c r="D4" s="109">
        <f>19+4/60</f>
        <v>19.066666666666666</v>
      </c>
      <c r="E4" s="109">
        <f>72+52/60</f>
        <v>72.86666666666666</v>
      </c>
      <c r="F4" s="107">
        <f t="shared" si="0"/>
        <v>44571.163194444445</v>
      </c>
      <c r="G4" s="106">
        <f t="shared" si="7"/>
        <v>0.22916666666666666</v>
      </c>
      <c r="H4" t="str">
        <f t="shared" si="8"/>
        <v>Monday</v>
      </c>
      <c r="I4" s="106">
        <v>0.39236111111111099</v>
      </c>
      <c r="J4" s="115" t="e">
        <f t="shared" si="9"/>
        <v>#VALUE!</v>
      </c>
      <c r="K4" s="115" t="e">
        <f t="shared" si="2"/>
        <v>#VALUE!</v>
      </c>
      <c r="L4" s="115" t="e">
        <f t="shared" si="3"/>
        <v>#VALUE!</v>
      </c>
      <c r="M4" s="115" t="e">
        <f t="shared" si="4"/>
        <v>#VALUE!</v>
      </c>
      <c r="N4" s="115" t="e">
        <f t="shared" si="5"/>
        <v>#VALUE!</v>
      </c>
      <c r="O4" s="115" t="e">
        <f t="shared" si="6"/>
        <v>#VALUE!</v>
      </c>
      <c r="P4" s="115" t="e">
        <f t="shared" si="10"/>
        <v>#VALUE!</v>
      </c>
      <c r="Q4" s="115" t="e">
        <f t="shared" si="11"/>
        <v>#VALUE!</v>
      </c>
      <c r="R4" s="115" t="e">
        <f t="shared" si="12"/>
        <v>#VALUE!</v>
      </c>
      <c r="S4" s="126" t="e">
        <f>FLOOR(MOD(divplanetlongitude(Charts2[[#This Row],[Asdt ]],9,1),30),1)</f>
        <v>#VALUE!</v>
      </c>
      <c r="T4" s="126" t="e">
        <f>FLOOR(MOD(divplanetlongitude(Charts2[[#This Row],[Sun ]],9,1),30),1)</f>
        <v>#VALUE!</v>
      </c>
      <c r="U4" s="126" t="e">
        <f>FLOOR(MOD(divplanetlongitude(Charts2[[#This Row],[Moon ]],9,1),30),1)</f>
        <v>#VALUE!</v>
      </c>
      <c r="V4" s="126" t="e">
        <f>FLOOR(MOD(divplanetlongitude(Charts2[[#This Row],[Mars ]],9,1),30),1)</f>
        <v>#VALUE!</v>
      </c>
      <c r="W4" s="126" t="e">
        <f>FLOOR(MOD(divplanetlongitude(Charts2[[#This Row],[Merc]],9,1),30),1)</f>
        <v>#VALUE!</v>
      </c>
      <c r="X4" s="126" t="e">
        <f>FLOOR(MOD(divplanetlongitude(Charts2[[#This Row],[Jupiter]],9,1),30),1)</f>
        <v>#VALUE!</v>
      </c>
      <c r="Y4" s="126" t="e">
        <f>FLOOR(MOD(divplanetlongitude(Charts2[[#This Row],[Venus ]],9,1),30),1)</f>
        <v>#VALUE!</v>
      </c>
      <c r="Z4" s="126" t="e">
        <f>FLOOR(MOD(divplanetlongitude(Charts2[[#This Row],[Saturn ]],9,1),30),1)</f>
        <v>#VALUE!</v>
      </c>
      <c r="AA4" s="126" t="e">
        <f>FLOOR(MOD(divplanetlongitude(Charts2[[#This Row],[Rahu ]],9,1),30),1)</f>
        <v>#VALUE!</v>
      </c>
      <c r="AB4" s="126" t="e">
        <f>FLOOR(MOD(Charts2[[#This Row],[Asdt ]],30),1)</f>
        <v>#VALUE!</v>
      </c>
      <c r="AC4" s="126" t="e">
        <f>FLOOR(MOD(Charts2[[#This Row],[Sun ]],30),1)</f>
        <v>#VALUE!</v>
      </c>
      <c r="AD4" s="126" t="e">
        <f>FLOOR(MOD(Charts2[[#This Row],[Moon ]],30),1)</f>
        <v>#VALUE!</v>
      </c>
      <c r="AE4" s="126" t="e">
        <f>FLOOR(MOD(Charts2[[#This Row],[Mars ]],30),1)</f>
        <v>#VALUE!</v>
      </c>
      <c r="AF4" s="126" t="e">
        <f>FLOOR(MOD(Charts2[[#This Row],[Merc]],30),1)</f>
        <v>#VALUE!</v>
      </c>
      <c r="AG4" s="126" t="e">
        <f>FLOOR(MOD(Charts2[[#This Row],[Jupiter]],30),1)</f>
        <v>#VALUE!</v>
      </c>
      <c r="AH4" s="126" t="e">
        <f>FLOOR(MOD(Charts2[[#This Row],[Venus ]],30),1)</f>
        <v>#VALUE!</v>
      </c>
      <c r="AI4" s="126" t="e">
        <f>FLOOR(MOD(Charts2[[#This Row],[Saturn ]],30),1)</f>
        <v>#VALUE!</v>
      </c>
      <c r="AJ4" s="126" t="e">
        <f>FLOOR(MOD(Charts2[[#This Row],[Rahu ]],30),1)</f>
        <v>#VALUE!</v>
      </c>
    </row>
    <row r="5" spans="1:38" ht="15.6" x14ac:dyDescent="0.3">
      <c r="B5" s="114">
        <f t="shared" si="13"/>
        <v>44571</v>
      </c>
      <c r="C5">
        <f t="shared" si="14"/>
        <v>5.5</v>
      </c>
      <c r="D5" s="109">
        <f>D4</f>
        <v>19.066666666666666</v>
      </c>
      <c r="E5" s="109">
        <f>E4</f>
        <v>72.86666666666666</v>
      </c>
      <c r="F5" s="107">
        <f t="shared" si="0"/>
        <v>44571.166666666672</v>
      </c>
      <c r="G5" s="106">
        <f t="shared" si="7"/>
        <v>0.22916666666666666</v>
      </c>
      <c r="H5" t="str">
        <f t="shared" si="8"/>
        <v>Monday</v>
      </c>
      <c r="I5" s="106">
        <v>0.39583333333333298</v>
      </c>
      <c r="J5" s="115" t="e">
        <f t="shared" si="9"/>
        <v>#VALUE!</v>
      </c>
      <c r="K5" s="115" t="e">
        <f t="shared" si="2"/>
        <v>#VALUE!</v>
      </c>
      <c r="L5" s="115" t="e">
        <f t="shared" si="3"/>
        <v>#VALUE!</v>
      </c>
      <c r="M5" s="115" t="e">
        <f t="shared" si="4"/>
        <v>#VALUE!</v>
      </c>
      <c r="N5" s="115" t="e">
        <f t="shared" si="5"/>
        <v>#VALUE!</v>
      </c>
      <c r="O5" s="115" t="e">
        <f t="shared" si="6"/>
        <v>#VALUE!</v>
      </c>
      <c r="P5" s="115" t="e">
        <f t="shared" si="10"/>
        <v>#VALUE!</v>
      </c>
      <c r="Q5" s="115" t="e">
        <f t="shared" si="11"/>
        <v>#VALUE!</v>
      </c>
      <c r="R5" s="115" t="e">
        <f t="shared" si="12"/>
        <v>#VALUE!</v>
      </c>
      <c r="S5" s="126" t="e">
        <f>FLOOR(MOD(divplanetlongitude(Charts2[[#This Row],[Asdt ]],9,1),30),1)</f>
        <v>#VALUE!</v>
      </c>
      <c r="T5" s="126" t="e">
        <f>FLOOR(MOD(divplanetlongitude(Charts2[[#This Row],[Sun ]],9,1),30),1)</f>
        <v>#VALUE!</v>
      </c>
      <c r="U5" s="126" t="e">
        <f>FLOOR(MOD(divplanetlongitude(Charts2[[#This Row],[Moon ]],9,1),30),1)</f>
        <v>#VALUE!</v>
      </c>
      <c r="V5" s="126" t="e">
        <f>FLOOR(MOD(divplanetlongitude(Charts2[[#This Row],[Mars ]],9,1),30),1)</f>
        <v>#VALUE!</v>
      </c>
      <c r="W5" s="126" t="e">
        <f>FLOOR(MOD(divplanetlongitude(Charts2[[#This Row],[Merc]],9,1),30),1)</f>
        <v>#VALUE!</v>
      </c>
      <c r="X5" s="126" t="e">
        <f>FLOOR(MOD(divplanetlongitude(Charts2[[#This Row],[Jupiter]],9,1),30),1)</f>
        <v>#VALUE!</v>
      </c>
      <c r="Y5" s="126" t="e">
        <f>FLOOR(MOD(divplanetlongitude(Charts2[[#This Row],[Venus ]],9,1),30),1)</f>
        <v>#VALUE!</v>
      </c>
      <c r="Z5" s="126" t="e">
        <f>FLOOR(MOD(divplanetlongitude(Charts2[[#This Row],[Saturn ]],9,1),30),1)</f>
        <v>#VALUE!</v>
      </c>
      <c r="AA5" s="126" t="e">
        <f>FLOOR(MOD(divplanetlongitude(Charts2[[#This Row],[Rahu ]],9,1),30),1)</f>
        <v>#VALUE!</v>
      </c>
      <c r="AB5" s="126" t="e">
        <f>FLOOR(MOD(Charts2[[#This Row],[Asdt ]],30),1)</f>
        <v>#VALUE!</v>
      </c>
      <c r="AC5" s="126" t="e">
        <f>FLOOR(MOD(Charts2[[#This Row],[Sun ]],30),1)</f>
        <v>#VALUE!</v>
      </c>
      <c r="AD5" s="126" t="e">
        <f>FLOOR(MOD(Charts2[[#This Row],[Moon ]],30),1)</f>
        <v>#VALUE!</v>
      </c>
      <c r="AE5" s="126" t="e">
        <f>FLOOR(MOD(Charts2[[#This Row],[Mars ]],30),1)</f>
        <v>#VALUE!</v>
      </c>
      <c r="AF5" s="126" t="e">
        <f>FLOOR(MOD(Charts2[[#This Row],[Merc]],30),1)</f>
        <v>#VALUE!</v>
      </c>
      <c r="AG5" s="126" t="e">
        <f>FLOOR(MOD(Charts2[[#This Row],[Jupiter]],30),1)</f>
        <v>#VALUE!</v>
      </c>
      <c r="AH5" s="126" t="e">
        <f>FLOOR(MOD(Charts2[[#This Row],[Venus ]],30),1)</f>
        <v>#VALUE!</v>
      </c>
      <c r="AI5" s="126" t="e">
        <f>FLOOR(MOD(Charts2[[#This Row],[Saturn ]],30),1)</f>
        <v>#VALUE!</v>
      </c>
      <c r="AJ5" s="126" t="e">
        <f>FLOOR(MOD(Charts2[[#This Row],[Rahu ]],30),1)</f>
        <v>#VALUE!</v>
      </c>
    </row>
    <row r="6" spans="1:38" ht="15.6" x14ac:dyDescent="0.3">
      <c r="B6" s="114">
        <f t="shared" si="13"/>
        <v>44571</v>
      </c>
      <c r="C6">
        <f t="shared" si="14"/>
        <v>5.5</v>
      </c>
      <c r="D6" s="109">
        <f>19+4/60</f>
        <v>19.066666666666666</v>
      </c>
      <c r="E6" s="109">
        <f>72+52/60</f>
        <v>72.86666666666666</v>
      </c>
      <c r="F6" s="107">
        <f t="shared" si="0"/>
        <v>44571.170138888891</v>
      </c>
      <c r="G6" s="106">
        <f t="shared" si="7"/>
        <v>0.22916666666666666</v>
      </c>
      <c r="H6" t="str">
        <f t="shared" si="8"/>
        <v>Monday</v>
      </c>
      <c r="I6" s="106">
        <v>0.39930555555555503</v>
      </c>
      <c r="J6" s="115" t="e">
        <f t="shared" si="9"/>
        <v>#VALUE!</v>
      </c>
      <c r="K6" s="115" t="e">
        <f t="shared" si="2"/>
        <v>#VALUE!</v>
      </c>
      <c r="L6" s="115" t="e">
        <f t="shared" si="3"/>
        <v>#VALUE!</v>
      </c>
      <c r="M6" s="115" t="e">
        <f t="shared" si="4"/>
        <v>#VALUE!</v>
      </c>
      <c r="N6" s="115" t="e">
        <f t="shared" si="5"/>
        <v>#VALUE!</v>
      </c>
      <c r="O6" s="115" t="e">
        <f t="shared" si="6"/>
        <v>#VALUE!</v>
      </c>
      <c r="P6" s="115" t="e">
        <f t="shared" si="10"/>
        <v>#VALUE!</v>
      </c>
      <c r="Q6" s="115" t="e">
        <f t="shared" si="11"/>
        <v>#VALUE!</v>
      </c>
      <c r="R6" s="115" t="e">
        <f t="shared" si="12"/>
        <v>#VALUE!</v>
      </c>
      <c r="S6" s="126" t="e">
        <f>FLOOR(MOD(divplanetlongitude(Charts2[[#This Row],[Asdt ]],9,1),30),1)</f>
        <v>#VALUE!</v>
      </c>
      <c r="T6" s="126" t="e">
        <f>FLOOR(MOD(divplanetlongitude(Charts2[[#This Row],[Sun ]],9,1),30),1)</f>
        <v>#VALUE!</v>
      </c>
      <c r="U6" s="126" t="e">
        <f>FLOOR(MOD(divplanetlongitude(Charts2[[#This Row],[Moon ]],9,1),30),1)</f>
        <v>#VALUE!</v>
      </c>
      <c r="V6" s="126" t="e">
        <f>FLOOR(MOD(divplanetlongitude(Charts2[[#This Row],[Mars ]],9,1),30),1)</f>
        <v>#VALUE!</v>
      </c>
      <c r="W6" s="126" t="e">
        <f>FLOOR(MOD(divplanetlongitude(Charts2[[#This Row],[Merc]],9,1),30),1)</f>
        <v>#VALUE!</v>
      </c>
      <c r="X6" s="126" t="e">
        <f>FLOOR(MOD(divplanetlongitude(Charts2[[#This Row],[Jupiter]],9,1),30),1)</f>
        <v>#VALUE!</v>
      </c>
      <c r="Y6" s="126" t="e">
        <f>FLOOR(MOD(divplanetlongitude(Charts2[[#This Row],[Venus ]],9,1),30),1)</f>
        <v>#VALUE!</v>
      </c>
      <c r="Z6" s="126" t="e">
        <f>FLOOR(MOD(divplanetlongitude(Charts2[[#This Row],[Saturn ]],9,1),30),1)</f>
        <v>#VALUE!</v>
      </c>
      <c r="AA6" s="126" t="e">
        <f>FLOOR(MOD(divplanetlongitude(Charts2[[#This Row],[Rahu ]],9,1),30),1)</f>
        <v>#VALUE!</v>
      </c>
      <c r="AB6" s="126" t="e">
        <f>FLOOR(MOD(Charts2[[#This Row],[Asdt ]],30),1)</f>
        <v>#VALUE!</v>
      </c>
      <c r="AC6" s="126" t="e">
        <f>FLOOR(MOD(Charts2[[#This Row],[Sun ]],30),1)</f>
        <v>#VALUE!</v>
      </c>
      <c r="AD6" s="126" t="e">
        <f>FLOOR(MOD(Charts2[[#This Row],[Moon ]],30),1)</f>
        <v>#VALUE!</v>
      </c>
      <c r="AE6" s="126" t="e">
        <f>FLOOR(MOD(Charts2[[#This Row],[Mars ]],30),1)</f>
        <v>#VALUE!</v>
      </c>
      <c r="AF6" s="126" t="e">
        <f>FLOOR(MOD(Charts2[[#This Row],[Merc]],30),1)</f>
        <v>#VALUE!</v>
      </c>
      <c r="AG6" s="126" t="e">
        <f>FLOOR(MOD(Charts2[[#This Row],[Jupiter]],30),1)</f>
        <v>#VALUE!</v>
      </c>
      <c r="AH6" s="126" t="e">
        <f>FLOOR(MOD(Charts2[[#This Row],[Venus ]],30),1)</f>
        <v>#VALUE!</v>
      </c>
      <c r="AI6" s="126" t="e">
        <f>FLOOR(MOD(Charts2[[#This Row],[Saturn ]],30),1)</f>
        <v>#VALUE!</v>
      </c>
      <c r="AJ6" s="126" t="e">
        <f>FLOOR(MOD(Charts2[[#This Row],[Rahu ]],30),1)</f>
        <v>#VALUE!</v>
      </c>
    </row>
    <row r="7" spans="1:38" ht="15.6" x14ac:dyDescent="0.3">
      <c r="B7" s="114">
        <f t="shared" si="13"/>
        <v>44571</v>
      </c>
      <c r="C7">
        <f t="shared" si="14"/>
        <v>5.5</v>
      </c>
      <c r="D7" s="109">
        <f>D6</f>
        <v>19.066666666666666</v>
      </c>
      <c r="E7" s="109">
        <f>E6</f>
        <v>72.86666666666666</v>
      </c>
      <c r="F7" s="107">
        <f t="shared" si="0"/>
        <v>44571.173611111117</v>
      </c>
      <c r="G7" s="106">
        <f t="shared" si="7"/>
        <v>0.22916666666666666</v>
      </c>
      <c r="H7" t="str">
        <f t="shared" si="8"/>
        <v>Monday</v>
      </c>
      <c r="I7" s="106">
        <v>0.40277777777777801</v>
      </c>
      <c r="J7" s="115" t="e">
        <f t="shared" si="9"/>
        <v>#VALUE!</v>
      </c>
      <c r="K7" s="115" t="e">
        <f t="shared" si="2"/>
        <v>#VALUE!</v>
      </c>
      <c r="L7" s="115" t="e">
        <f t="shared" si="3"/>
        <v>#VALUE!</v>
      </c>
      <c r="M7" s="115" t="e">
        <f t="shared" si="4"/>
        <v>#VALUE!</v>
      </c>
      <c r="N7" s="115" t="e">
        <f t="shared" si="5"/>
        <v>#VALUE!</v>
      </c>
      <c r="O7" s="115" t="e">
        <f t="shared" si="6"/>
        <v>#VALUE!</v>
      </c>
      <c r="P7" s="115" t="e">
        <f t="shared" si="10"/>
        <v>#VALUE!</v>
      </c>
      <c r="Q7" s="115" t="e">
        <f t="shared" si="11"/>
        <v>#VALUE!</v>
      </c>
      <c r="R7" s="115" t="e">
        <f t="shared" si="12"/>
        <v>#VALUE!</v>
      </c>
      <c r="S7" s="126" t="e">
        <f>FLOOR(MOD(divplanetlongitude(Charts2[[#This Row],[Asdt ]],9,1),30),1)</f>
        <v>#VALUE!</v>
      </c>
      <c r="T7" s="126" t="e">
        <f>FLOOR(MOD(divplanetlongitude(Charts2[[#This Row],[Sun ]],9,1),30),1)</f>
        <v>#VALUE!</v>
      </c>
      <c r="U7" s="126" t="e">
        <f>FLOOR(MOD(divplanetlongitude(Charts2[[#This Row],[Moon ]],9,1),30),1)</f>
        <v>#VALUE!</v>
      </c>
      <c r="V7" s="126" t="e">
        <f>FLOOR(MOD(divplanetlongitude(Charts2[[#This Row],[Mars ]],9,1),30),1)</f>
        <v>#VALUE!</v>
      </c>
      <c r="W7" s="126" t="e">
        <f>FLOOR(MOD(divplanetlongitude(Charts2[[#This Row],[Merc]],9,1),30),1)</f>
        <v>#VALUE!</v>
      </c>
      <c r="X7" s="126" t="e">
        <f>FLOOR(MOD(divplanetlongitude(Charts2[[#This Row],[Jupiter]],9,1),30),1)</f>
        <v>#VALUE!</v>
      </c>
      <c r="Y7" s="126" t="e">
        <f>FLOOR(MOD(divplanetlongitude(Charts2[[#This Row],[Venus ]],9,1),30),1)</f>
        <v>#VALUE!</v>
      </c>
      <c r="Z7" s="126" t="e">
        <f>FLOOR(MOD(divplanetlongitude(Charts2[[#This Row],[Saturn ]],9,1),30),1)</f>
        <v>#VALUE!</v>
      </c>
      <c r="AA7" s="126" t="e">
        <f>FLOOR(MOD(divplanetlongitude(Charts2[[#This Row],[Rahu ]],9,1),30),1)</f>
        <v>#VALUE!</v>
      </c>
      <c r="AB7" s="126" t="e">
        <f>FLOOR(MOD(Charts2[[#This Row],[Asdt ]],30),1)</f>
        <v>#VALUE!</v>
      </c>
      <c r="AC7" s="126" t="e">
        <f>FLOOR(MOD(Charts2[[#This Row],[Sun ]],30),1)</f>
        <v>#VALUE!</v>
      </c>
      <c r="AD7" s="126" t="e">
        <f>FLOOR(MOD(Charts2[[#This Row],[Moon ]],30),1)</f>
        <v>#VALUE!</v>
      </c>
      <c r="AE7" s="126" t="e">
        <f>FLOOR(MOD(Charts2[[#This Row],[Mars ]],30),1)</f>
        <v>#VALUE!</v>
      </c>
      <c r="AF7" s="126" t="e">
        <f>FLOOR(MOD(Charts2[[#This Row],[Merc]],30),1)</f>
        <v>#VALUE!</v>
      </c>
      <c r="AG7" s="126" t="e">
        <f>FLOOR(MOD(Charts2[[#This Row],[Jupiter]],30),1)</f>
        <v>#VALUE!</v>
      </c>
      <c r="AH7" s="126" t="e">
        <f>FLOOR(MOD(Charts2[[#This Row],[Venus ]],30),1)</f>
        <v>#VALUE!</v>
      </c>
      <c r="AI7" s="126" t="e">
        <f>FLOOR(MOD(Charts2[[#This Row],[Saturn ]],30),1)</f>
        <v>#VALUE!</v>
      </c>
      <c r="AJ7" s="126" t="e">
        <f>FLOOR(MOD(Charts2[[#This Row],[Rahu ]],30),1)</f>
        <v>#VALUE!</v>
      </c>
    </row>
    <row r="8" spans="1:38" ht="15.6" x14ac:dyDescent="0.3">
      <c r="B8" s="114">
        <f t="shared" si="13"/>
        <v>44571</v>
      </c>
      <c r="C8">
        <f t="shared" si="14"/>
        <v>5.5</v>
      </c>
      <c r="D8" s="109">
        <f>19+4/60</f>
        <v>19.066666666666666</v>
      </c>
      <c r="E8" s="109">
        <f>72+52/60</f>
        <v>72.86666666666666</v>
      </c>
      <c r="F8" s="107">
        <f t="shared" si="0"/>
        <v>44571.177083333336</v>
      </c>
      <c r="G8" s="106">
        <f t="shared" si="7"/>
        <v>0.22916666666666666</v>
      </c>
      <c r="H8" t="str">
        <f t="shared" si="8"/>
        <v>Monday</v>
      </c>
      <c r="I8" s="106">
        <v>0.40625</v>
      </c>
      <c r="J8" s="115" t="e">
        <f t="shared" si="9"/>
        <v>#VALUE!</v>
      </c>
      <c r="K8" s="115" t="e">
        <f t="shared" si="2"/>
        <v>#VALUE!</v>
      </c>
      <c r="L8" s="115" t="e">
        <f t="shared" si="3"/>
        <v>#VALUE!</v>
      </c>
      <c r="M8" s="115" t="e">
        <f t="shared" si="4"/>
        <v>#VALUE!</v>
      </c>
      <c r="N8" s="115" t="e">
        <f t="shared" si="5"/>
        <v>#VALUE!</v>
      </c>
      <c r="O8" s="115" t="e">
        <f t="shared" si="6"/>
        <v>#VALUE!</v>
      </c>
      <c r="P8" s="115" t="e">
        <f t="shared" si="10"/>
        <v>#VALUE!</v>
      </c>
      <c r="Q8" s="115" t="e">
        <f t="shared" si="11"/>
        <v>#VALUE!</v>
      </c>
      <c r="R8" s="115" t="e">
        <f t="shared" si="12"/>
        <v>#VALUE!</v>
      </c>
      <c r="S8" s="126" t="e">
        <f>FLOOR(MOD(divplanetlongitude(Charts2[[#This Row],[Asdt ]],9,1),30),1)</f>
        <v>#VALUE!</v>
      </c>
      <c r="T8" s="126" t="e">
        <f>FLOOR(MOD(divplanetlongitude(Charts2[[#This Row],[Sun ]],9,1),30),1)</f>
        <v>#VALUE!</v>
      </c>
      <c r="U8" s="126" t="e">
        <f>FLOOR(MOD(divplanetlongitude(Charts2[[#This Row],[Moon ]],9,1),30),1)</f>
        <v>#VALUE!</v>
      </c>
      <c r="V8" s="126" t="e">
        <f>FLOOR(MOD(divplanetlongitude(Charts2[[#This Row],[Mars ]],9,1),30),1)</f>
        <v>#VALUE!</v>
      </c>
      <c r="W8" s="126" t="e">
        <f>FLOOR(MOD(divplanetlongitude(Charts2[[#This Row],[Merc]],9,1),30),1)</f>
        <v>#VALUE!</v>
      </c>
      <c r="X8" s="126" t="e">
        <f>FLOOR(MOD(divplanetlongitude(Charts2[[#This Row],[Jupiter]],9,1),30),1)</f>
        <v>#VALUE!</v>
      </c>
      <c r="Y8" s="126" t="e">
        <f>FLOOR(MOD(divplanetlongitude(Charts2[[#This Row],[Venus ]],9,1),30),1)</f>
        <v>#VALUE!</v>
      </c>
      <c r="Z8" s="126" t="e">
        <f>FLOOR(MOD(divplanetlongitude(Charts2[[#This Row],[Saturn ]],9,1),30),1)</f>
        <v>#VALUE!</v>
      </c>
      <c r="AA8" s="126" t="e">
        <f>FLOOR(MOD(divplanetlongitude(Charts2[[#This Row],[Rahu ]],9,1),30),1)</f>
        <v>#VALUE!</v>
      </c>
      <c r="AB8" s="126" t="e">
        <f>FLOOR(MOD(Charts2[[#This Row],[Asdt ]],30),1)</f>
        <v>#VALUE!</v>
      </c>
      <c r="AC8" s="126" t="e">
        <f>FLOOR(MOD(Charts2[[#This Row],[Sun ]],30),1)</f>
        <v>#VALUE!</v>
      </c>
      <c r="AD8" s="126" t="e">
        <f>FLOOR(MOD(Charts2[[#This Row],[Moon ]],30),1)</f>
        <v>#VALUE!</v>
      </c>
      <c r="AE8" s="126" t="e">
        <f>FLOOR(MOD(Charts2[[#This Row],[Mars ]],30),1)</f>
        <v>#VALUE!</v>
      </c>
      <c r="AF8" s="126" t="e">
        <f>FLOOR(MOD(Charts2[[#This Row],[Merc]],30),1)</f>
        <v>#VALUE!</v>
      </c>
      <c r="AG8" s="126" t="e">
        <f>FLOOR(MOD(Charts2[[#This Row],[Jupiter]],30),1)</f>
        <v>#VALUE!</v>
      </c>
      <c r="AH8" s="126" t="e">
        <f>FLOOR(MOD(Charts2[[#This Row],[Venus ]],30),1)</f>
        <v>#VALUE!</v>
      </c>
      <c r="AI8" s="126" t="e">
        <f>FLOOR(MOD(Charts2[[#This Row],[Saturn ]],30),1)</f>
        <v>#VALUE!</v>
      </c>
      <c r="AJ8" s="126" t="e">
        <f>FLOOR(MOD(Charts2[[#This Row],[Rahu ]],30),1)</f>
        <v>#VALUE!</v>
      </c>
    </row>
    <row r="9" spans="1:38" ht="15.6" x14ac:dyDescent="0.3">
      <c r="B9" s="114">
        <f t="shared" si="13"/>
        <v>44571</v>
      </c>
      <c r="C9">
        <f t="shared" si="14"/>
        <v>5.5</v>
      </c>
      <c r="D9" s="109">
        <f>D8</f>
        <v>19.066666666666666</v>
      </c>
      <c r="E9" s="109">
        <f>E8</f>
        <v>72.86666666666666</v>
      </c>
      <c r="F9" s="107">
        <f t="shared" si="0"/>
        <v>44571.180555555555</v>
      </c>
      <c r="G9" s="106">
        <f t="shared" si="7"/>
        <v>0.22916666666666666</v>
      </c>
      <c r="H9" t="str">
        <f t="shared" si="8"/>
        <v>Monday</v>
      </c>
      <c r="I9" s="106">
        <v>0.40972222222222199</v>
      </c>
      <c r="J9" s="115" t="e">
        <f t="shared" si="9"/>
        <v>#VALUE!</v>
      </c>
      <c r="K9" s="115" t="e">
        <f t="shared" si="2"/>
        <v>#VALUE!</v>
      </c>
      <c r="L9" s="115" t="e">
        <f t="shared" si="3"/>
        <v>#VALUE!</v>
      </c>
      <c r="M9" s="115" t="e">
        <f t="shared" si="4"/>
        <v>#VALUE!</v>
      </c>
      <c r="N9" s="115" t="e">
        <f t="shared" si="5"/>
        <v>#VALUE!</v>
      </c>
      <c r="O9" s="115" t="e">
        <f t="shared" si="6"/>
        <v>#VALUE!</v>
      </c>
      <c r="P9" s="115" t="e">
        <f t="shared" si="10"/>
        <v>#VALUE!</v>
      </c>
      <c r="Q9" s="115" t="e">
        <f t="shared" si="11"/>
        <v>#VALUE!</v>
      </c>
      <c r="R9" s="115" t="e">
        <f t="shared" si="12"/>
        <v>#VALUE!</v>
      </c>
      <c r="S9" s="126" t="e">
        <f>FLOOR(MOD(divplanetlongitude(Charts2[[#This Row],[Asdt ]],9,1),30),1)</f>
        <v>#VALUE!</v>
      </c>
      <c r="T9" s="126" t="e">
        <f>FLOOR(MOD(divplanetlongitude(Charts2[[#This Row],[Sun ]],9,1),30),1)</f>
        <v>#VALUE!</v>
      </c>
      <c r="U9" s="126" t="e">
        <f>FLOOR(MOD(divplanetlongitude(Charts2[[#This Row],[Moon ]],9,1),30),1)</f>
        <v>#VALUE!</v>
      </c>
      <c r="V9" s="126" t="e">
        <f>FLOOR(MOD(divplanetlongitude(Charts2[[#This Row],[Mars ]],9,1),30),1)</f>
        <v>#VALUE!</v>
      </c>
      <c r="W9" s="126" t="e">
        <f>FLOOR(MOD(divplanetlongitude(Charts2[[#This Row],[Merc]],9,1),30),1)</f>
        <v>#VALUE!</v>
      </c>
      <c r="X9" s="126" t="e">
        <f>FLOOR(MOD(divplanetlongitude(Charts2[[#This Row],[Jupiter]],9,1),30),1)</f>
        <v>#VALUE!</v>
      </c>
      <c r="Y9" s="126" t="e">
        <f>FLOOR(MOD(divplanetlongitude(Charts2[[#This Row],[Venus ]],9,1),30),1)</f>
        <v>#VALUE!</v>
      </c>
      <c r="Z9" s="126" t="e">
        <f>FLOOR(MOD(divplanetlongitude(Charts2[[#This Row],[Saturn ]],9,1),30),1)</f>
        <v>#VALUE!</v>
      </c>
      <c r="AA9" s="126" t="e">
        <f>FLOOR(MOD(divplanetlongitude(Charts2[[#This Row],[Rahu ]],9,1),30),1)</f>
        <v>#VALUE!</v>
      </c>
      <c r="AB9" s="126" t="e">
        <f>FLOOR(MOD(Charts2[[#This Row],[Asdt ]],30),1)</f>
        <v>#VALUE!</v>
      </c>
      <c r="AC9" s="126" t="e">
        <f>FLOOR(MOD(Charts2[[#This Row],[Sun ]],30),1)</f>
        <v>#VALUE!</v>
      </c>
      <c r="AD9" s="126" t="e">
        <f>FLOOR(MOD(Charts2[[#This Row],[Moon ]],30),1)</f>
        <v>#VALUE!</v>
      </c>
      <c r="AE9" s="126" t="e">
        <f>FLOOR(MOD(Charts2[[#This Row],[Mars ]],30),1)</f>
        <v>#VALUE!</v>
      </c>
      <c r="AF9" s="126" t="e">
        <f>FLOOR(MOD(Charts2[[#This Row],[Merc]],30),1)</f>
        <v>#VALUE!</v>
      </c>
      <c r="AG9" s="126" t="e">
        <f>FLOOR(MOD(Charts2[[#This Row],[Jupiter]],30),1)</f>
        <v>#VALUE!</v>
      </c>
      <c r="AH9" s="126" t="e">
        <f>FLOOR(MOD(Charts2[[#This Row],[Venus ]],30),1)</f>
        <v>#VALUE!</v>
      </c>
      <c r="AI9" s="126" t="e">
        <f>FLOOR(MOD(Charts2[[#This Row],[Saturn ]],30),1)</f>
        <v>#VALUE!</v>
      </c>
      <c r="AJ9" s="126" t="e">
        <f>FLOOR(MOD(Charts2[[#This Row],[Rahu ]],30),1)</f>
        <v>#VALUE!</v>
      </c>
    </row>
    <row r="10" spans="1:38" ht="15.6" x14ac:dyDescent="0.3">
      <c r="B10" s="114">
        <f t="shared" si="13"/>
        <v>44571</v>
      </c>
      <c r="C10">
        <f t="shared" si="14"/>
        <v>5.5</v>
      </c>
      <c r="D10" s="109">
        <f>19+4/60</f>
        <v>19.066666666666666</v>
      </c>
      <c r="E10" s="109">
        <f>72+52/60</f>
        <v>72.86666666666666</v>
      </c>
      <c r="F10" s="107">
        <f t="shared" si="0"/>
        <v>44571.184027777781</v>
      </c>
      <c r="G10" s="106">
        <f t="shared" si="7"/>
        <v>0.22916666666666666</v>
      </c>
      <c r="H10" t="str">
        <f t="shared" si="8"/>
        <v>Monday</v>
      </c>
      <c r="I10" s="106">
        <v>0.41319444444444398</v>
      </c>
      <c r="J10" s="115" t="e">
        <f t="shared" si="9"/>
        <v>#VALUE!</v>
      </c>
      <c r="K10" s="115" t="e">
        <f t="shared" si="2"/>
        <v>#VALUE!</v>
      </c>
      <c r="L10" s="115" t="e">
        <f t="shared" si="3"/>
        <v>#VALUE!</v>
      </c>
      <c r="M10" s="115" t="e">
        <f t="shared" si="4"/>
        <v>#VALUE!</v>
      </c>
      <c r="N10" s="115" t="e">
        <f t="shared" si="5"/>
        <v>#VALUE!</v>
      </c>
      <c r="O10" s="115" t="e">
        <f t="shared" si="6"/>
        <v>#VALUE!</v>
      </c>
      <c r="P10" s="115" t="e">
        <f t="shared" si="10"/>
        <v>#VALUE!</v>
      </c>
      <c r="Q10" s="115" t="e">
        <f t="shared" si="11"/>
        <v>#VALUE!</v>
      </c>
      <c r="R10" s="115" t="e">
        <f t="shared" si="12"/>
        <v>#VALUE!</v>
      </c>
      <c r="S10" s="126" t="e">
        <f>FLOOR(MOD(divplanetlongitude(Charts2[[#This Row],[Asdt ]],9,1),30),1)</f>
        <v>#VALUE!</v>
      </c>
      <c r="T10" s="126" t="e">
        <f>FLOOR(MOD(divplanetlongitude(Charts2[[#This Row],[Sun ]],9,1),30),1)</f>
        <v>#VALUE!</v>
      </c>
      <c r="U10" s="126" t="e">
        <f>FLOOR(MOD(divplanetlongitude(Charts2[[#This Row],[Moon ]],9,1),30),1)</f>
        <v>#VALUE!</v>
      </c>
      <c r="V10" s="126" t="e">
        <f>FLOOR(MOD(divplanetlongitude(Charts2[[#This Row],[Mars ]],9,1),30),1)</f>
        <v>#VALUE!</v>
      </c>
      <c r="W10" s="126" t="e">
        <f>FLOOR(MOD(divplanetlongitude(Charts2[[#This Row],[Merc]],9,1),30),1)</f>
        <v>#VALUE!</v>
      </c>
      <c r="X10" s="126" t="e">
        <f>FLOOR(MOD(divplanetlongitude(Charts2[[#This Row],[Jupiter]],9,1),30),1)</f>
        <v>#VALUE!</v>
      </c>
      <c r="Y10" s="126" t="e">
        <f>FLOOR(MOD(divplanetlongitude(Charts2[[#This Row],[Venus ]],9,1),30),1)</f>
        <v>#VALUE!</v>
      </c>
      <c r="Z10" s="126" t="e">
        <f>FLOOR(MOD(divplanetlongitude(Charts2[[#This Row],[Saturn ]],9,1),30),1)</f>
        <v>#VALUE!</v>
      </c>
      <c r="AA10" s="126" t="e">
        <f>FLOOR(MOD(divplanetlongitude(Charts2[[#This Row],[Rahu ]],9,1),30),1)</f>
        <v>#VALUE!</v>
      </c>
      <c r="AB10" s="126" t="e">
        <f>FLOOR(MOD(Charts2[[#This Row],[Asdt ]],30),1)</f>
        <v>#VALUE!</v>
      </c>
      <c r="AC10" s="126" t="e">
        <f>FLOOR(MOD(Charts2[[#This Row],[Sun ]],30),1)</f>
        <v>#VALUE!</v>
      </c>
      <c r="AD10" s="126" t="e">
        <f>FLOOR(MOD(Charts2[[#This Row],[Moon ]],30),1)</f>
        <v>#VALUE!</v>
      </c>
      <c r="AE10" s="126" t="e">
        <f>FLOOR(MOD(Charts2[[#This Row],[Mars ]],30),1)</f>
        <v>#VALUE!</v>
      </c>
      <c r="AF10" s="126" t="e">
        <f>FLOOR(MOD(Charts2[[#This Row],[Merc]],30),1)</f>
        <v>#VALUE!</v>
      </c>
      <c r="AG10" s="126" t="e">
        <f>FLOOR(MOD(Charts2[[#This Row],[Jupiter]],30),1)</f>
        <v>#VALUE!</v>
      </c>
      <c r="AH10" s="126" t="e">
        <f>FLOOR(MOD(Charts2[[#This Row],[Venus ]],30),1)</f>
        <v>#VALUE!</v>
      </c>
      <c r="AI10" s="126" t="e">
        <f>FLOOR(MOD(Charts2[[#This Row],[Saturn ]],30),1)</f>
        <v>#VALUE!</v>
      </c>
      <c r="AJ10" s="126" t="e">
        <f>FLOOR(MOD(Charts2[[#This Row],[Rahu ]],30),1)</f>
        <v>#VALUE!</v>
      </c>
    </row>
    <row r="11" spans="1:38" ht="15.6" x14ac:dyDescent="0.3">
      <c r="B11" s="114">
        <f t="shared" si="13"/>
        <v>44571</v>
      </c>
      <c r="C11">
        <f t="shared" si="14"/>
        <v>5.5</v>
      </c>
      <c r="D11" s="109">
        <f>D10</f>
        <v>19.066666666666666</v>
      </c>
      <c r="E11" s="109">
        <f>E10</f>
        <v>72.86666666666666</v>
      </c>
      <c r="F11" s="107">
        <f t="shared" si="0"/>
        <v>44571.1875</v>
      </c>
      <c r="G11" s="106">
        <f t="shared" si="7"/>
        <v>0.22916666666666666</v>
      </c>
      <c r="H11" t="str">
        <f t="shared" si="8"/>
        <v>Monday</v>
      </c>
      <c r="I11" s="106">
        <v>0.41666666666666702</v>
      </c>
      <c r="J11" s="115" t="e">
        <f t="shared" si="9"/>
        <v>#VALUE!</v>
      </c>
      <c r="K11" s="115" t="e">
        <f t="shared" si="2"/>
        <v>#VALUE!</v>
      </c>
      <c r="L11" s="115" t="e">
        <f t="shared" si="3"/>
        <v>#VALUE!</v>
      </c>
      <c r="M11" s="115" t="e">
        <f t="shared" si="4"/>
        <v>#VALUE!</v>
      </c>
      <c r="N11" s="115" t="e">
        <f t="shared" si="5"/>
        <v>#VALUE!</v>
      </c>
      <c r="O11" s="115" t="e">
        <f t="shared" si="6"/>
        <v>#VALUE!</v>
      </c>
      <c r="P11" s="115" t="e">
        <f t="shared" si="10"/>
        <v>#VALUE!</v>
      </c>
      <c r="Q11" s="115" t="e">
        <f t="shared" si="11"/>
        <v>#VALUE!</v>
      </c>
      <c r="R11" s="115" t="e">
        <f t="shared" si="12"/>
        <v>#VALUE!</v>
      </c>
      <c r="S11" s="126" t="e">
        <f>FLOOR(MOD(divplanetlongitude(Charts2[[#This Row],[Asdt ]],9,1),30),1)</f>
        <v>#VALUE!</v>
      </c>
      <c r="T11" s="126" t="e">
        <f>FLOOR(MOD(divplanetlongitude(Charts2[[#This Row],[Sun ]],9,1),30),1)</f>
        <v>#VALUE!</v>
      </c>
      <c r="U11" s="126" t="e">
        <f>FLOOR(MOD(divplanetlongitude(Charts2[[#This Row],[Moon ]],9,1),30),1)</f>
        <v>#VALUE!</v>
      </c>
      <c r="V11" s="126" t="e">
        <f>FLOOR(MOD(divplanetlongitude(Charts2[[#This Row],[Mars ]],9,1),30),1)</f>
        <v>#VALUE!</v>
      </c>
      <c r="W11" s="126" t="e">
        <f>FLOOR(MOD(divplanetlongitude(Charts2[[#This Row],[Merc]],9,1),30),1)</f>
        <v>#VALUE!</v>
      </c>
      <c r="X11" s="126" t="e">
        <f>FLOOR(MOD(divplanetlongitude(Charts2[[#This Row],[Jupiter]],9,1),30),1)</f>
        <v>#VALUE!</v>
      </c>
      <c r="Y11" s="126" t="e">
        <f>FLOOR(MOD(divplanetlongitude(Charts2[[#This Row],[Venus ]],9,1),30),1)</f>
        <v>#VALUE!</v>
      </c>
      <c r="Z11" s="126" t="e">
        <f>FLOOR(MOD(divplanetlongitude(Charts2[[#This Row],[Saturn ]],9,1),30),1)</f>
        <v>#VALUE!</v>
      </c>
      <c r="AA11" s="126" t="e">
        <f>FLOOR(MOD(divplanetlongitude(Charts2[[#This Row],[Rahu ]],9,1),30),1)</f>
        <v>#VALUE!</v>
      </c>
      <c r="AB11" s="126" t="e">
        <f>FLOOR(MOD(Charts2[[#This Row],[Asdt ]],30),1)</f>
        <v>#VALUE!</v>
      </c>
      <c r="AC11" s="126" t="e">
        <f>FLOOR(MOD(Charts2[[#This Row],[Sun ]],30),1)</f>
        <v>#VALUE!</v>
      </c>
      <c r="AD11" s="126" t="e">
        <f>FLOOR(MOD(Charts2[[#This Row],[Moon ]],30),1)</f>
        <v>#VALUE!</v>
      </c>
      <c r="AE11" s="126" t="e">
        <f>FLOOR(MOD(Charts2[[#This Row],[Mars ]],30),1)</f>
        <v>#VALUE!</v>
      </c>
      <c r="AF11" s="126" t="e">
        <f>FLOOR(MOD(Charts2[[#This Row],[Merc]],30),1)</f>
        <v>#VALUE!</v>
      </c>
      <c r="AG11" s="126" t="e">
        <f>FLOOR(MOD(Charts2[[#This Row],[Jupiter]],30),1)</f>
        <v>#VALUE!</v>
      </c>
      <c r="AH11" s="126" t="e">
        <f>FLOOR(MOD(Charts2[[#This Row],[Venus ]],30),1)</f>
        <v>#VALUE!</v>
      </c>
      <c r="AI11" s="126" t="e">
        <f>FLOOR(MOD(Charts2[[#This Row],[Saturn ]],30),1)</f>
        <v>#VALUE!</v>
      </c>
      <c r="AJ11" s="126" t="e">
        <f>FLOOR(MOD(Charts2[[#This Row],[Rahu ]],30),1)</f>
        <v>#VALUE!</v>
      </c>
    </row>
    <row r="12" spans="1:38" ht="15.6" x14ac:dyDescent="0.3">
      <c r="B12" s="114">
        <f t="shared" si="13"/>
        <v>44571</v>
      </c>
      <c r="C12">
        <f t="shared" si="14"/>
        <v>5.5</v>
      </c>
      <c r="D12" s="109">
        <f>19+4/60</f>
        <v>19.066666666666666</v>
      </c>
      <c r="E12" s="109">
        <f>72+52/60</f>
        <v>72.86666666666666</v>
      </c>
      <c r="F12" s="107">
        <f t="shared" si="0"/>
        <v>44571.190972222226</v>
      </c>
      <c r="G12" s="106">
        <f t="shared" si="7"/>
        <v>0.22916666666666666</v>
      </c>
      <c r="H12" t="str">
        <f t="shared" si="8"/>
        <v>Monday</v>
      </c>
      <c r="I12" s="106">
        <v>0.42013888888888901</v>
      </c>
      <c r="J12" s="115" t="e">
        <f t="shared" si="9"/>
        <v>#VALUE!</v>
      </c>
      <c r="K12" s="115" t="e">
        <f t="shared" si="2"/>
        <v>#VALUE!</v>
      </c>
      <c r="L12" s="115" t="e">
        <f t="shared" si="3"/>
        <v>#VALUE!</v>
      </c>
      <c r="M12" s="115" t="e">
        <f t="shared" si="4"/>
        <v>#VALUE!</v>
      </c>
      <c r="N12" s="115" t="e">
        <f t="shared" si="5"/>
        <v>#VALUE!</v>
      </c>
      <c r="O12" s="115" t="e">
        <f t="shared" si="6"/>
        <v>#VALUE!</v>
      </c>
      <c r="P12" s="115" t="e">
        <f t="shared" si="10"/>
        <v>#VALUE!</v>
      </c>
      <c r="Q12" s="115" t="e">
        <f t="shared" si="11"/>
        <v>#VALUE!</v>
      </c>
      <c r="R12" s="115" t="e">
        <f t="shared" si="12"/>
        <v>#VALUE!</v>
      </c>
      <c r="S12" s="126" t="e">
        <f>FLOOR(MOD(divplanetlongitude(Charts2[[#This Row],[Asdt ]],9,1),30),1)</f>
        <v>#VALUE!</v>
      </c>
      <c r="T12" s="126" t="e">
        <f>FLOOR(MOD(divplanetlongitude(Charts2[[#This Row],[Sun ]],9,1),30),1)</f>
        <v>#VALUE!</v>
      </c>
      <c r="U12" s="126" t="e">
        <f>FLOOR(MOD(divplanetlongitude(Charts2[[#This Row],[Moon ]],9,1),30),1)</f>
        <v>#VALUE!</v>
      </c>
      <c r="V12" s="126" t="e">
        <f>FLOOR(MOD(divplanetlongitude(Charts2[[#This Row],[Mars ]],9,1),30),1)</f>
        <v>#VALUE!</v>
      </c>
      <c r="W12" s="126" t="e">
        <f>FLOOR(MOD(divplanetlongitude(Charts2[[#This Row],[Merc]],9,1),30),1)</f>
        <v>#VALUE!</v>
      </c>
      <c r="X12" s="126" t="e">
        <f>FLOOR(MOD(divplanetlongitude(Charts2[[#This Row],[Jupiter]],9,1),30),1)</f>
        <v>#VALUE!</v>
      </c>
      <c r="Y12" s="126" t="e">
        <f>FLOOR(MOD(divplanetlongitude(Charts2[[#This Row],[Venus ]],9,1),30),1)</f>
        <v>#VALUE!</v>
      </c>
      <c r="Z12" s="126" t="e">
        <f>FLOOR(MOD(divplanetlongitude(Charts2[[#This Row],[Saturn ]],9,1),30),1)</f>
        <v>#VALUE!</v>
      </c>
      <c r="AA12" s="126" t="e">
        <f>FLOOR(MOD(divplanetlongitude(Charts2[[#This Row],[Rahu ]],9,1),30),1)</f>
        <v>#VALUE!</v>
      </c>
      <c r="AB12" s="126" t="e">
        <f>FLOOR(MOD(Charts2[[#This Row],[Asdt ]],30),1)</f>
        <v>#VALUE!</v>
      </c>
      <c r="AC12" s="126" t="e">
        <f>FLOOR(MOD(Charts2[[#This Row],[Sun ]],30),1)</f>
        <v>#VALUE!</v>
      </c>
      <c r="AD12" s="126" t="e">
        <f>FLOOR(MOD(Charts2[[#This Row],[Moon ]],30),1)</f>
        <v>#VALUE!</v>
      </c>
      <c r="AE12" s="126" t="e">
        <f>FLOOR(MOD(Charts2[[#This Row],[Mars ]],30),1)</f>
        <v>#VALUE!</v>
      </c>
      <c r="AF12" s="126" t="e">
        <f>FLOOR(MOD(Charts2[[#This Row],[Merc]],30),1)</f>
        <v>#VALUE!</v>
      </c>
      <c r="AG12" s="126" t="e">
        <f>FLOOR(MOD(Charts2[[#This Row],[Jupiter]],30),1)</f>
        <v>#VALUE!</v>
      </c>
      <c r="AH12" s="126" t="e">
        <f>FLOOR(MOD(Charts2[[#This Row],[Venus ]],30),1)</f>
        <v>#VALUE!</v>
      </c>
      <c r="AI12" s="126" t="e">
        <f>FLOOR(MOD(Charts2[[#This Row],[Saturn ]],30),1)</f>
        <v>#VALUE!</v>
      </c>
      <c r="AJ12" s="126" t="e">
        <f>FLOOR(MOD(Charts2[[#This Row],[Rahu ]],30),1)</f>
        <v>#VALUE!</v>
      </c>
    </row>
    <row r="13" spans="1:38" ht="15.6" x14ac:dyDescent="0.3">
      <c r="B13" s="114">
        <f t="shared" si="13"/>
        <v>44571</v>
      </c>
      <c r="C13">
        <f t="shared" si="14"/>
        <v>5.5</v>
      </c>
      <c r="D13" s="109">
        <f>D12</f>
        <v>19.066666666666666</v>
      </c>
      <c r="E13" s="109">
        <f>E12</f>
        <v>72.86666666666666</v>
      </c>
      <c r="F13" s="107">
        <f t="shared" si="0"/>
        <v>44571.194444444445</v>
      </c>
      <c r="G13" s="106">
        <f t="shared" si="7"/>
        <v>0.22916666666666666</v>
      </c>
      <c r="H13" t="str">
        <f t="shared" si="8"/>
        <v>Monday</v>
      </c>
      <c r="I13" s="106">
        <v>0.42361111111111099</v>
      </c>
      <c r="J13" s="115" t="e">
        <f t="shared" si="9"/>
        <v>#VALUE!</v>
      </c>
      <c r="K13" s="115" t="e">
        <f t="shared" si="2"/>
        <v>#VALUE!</v>
      </c>
      <c r="L13" s="115" t="e">
        <f t="shared" si="3"/>
        <v>#VALUE!</v>
      </c>
      <c r="M13" s="115" t="e">
        <f t="shared" si="4"/>
        <v>#VALUE!</v>
      </c>
      <c r="N13" s="115" t="e">
        <f t="shared" si="5"/>
        <v>#VALUE!</v>
      </c>
      <c r="O13" s="115" t="e">
        <f t="shared" si="6"/>
        <v>#VALUE!</v>
      </c>
      <c r="P13" s="115" t="e">
        <f t="shared" si="10"/>
        <v>#VALUE!</v>
      </c>
      <c r="Q13" s="115" t="e">
        <f t="shared" si="11"/>
        <v>#VALUE!</v>
      </c>
      <c r="R13" s="115" t="e">
        <f t="shared" si="12"/>
        <v>#VALUE!</v>
      </c>
      <c r="S13" s="126" t="e">
        <f>FLOOR(MOD(divplanetlongitude(Charts2[[#This Row],[Asdt ]],9,1),30),1)</f>
        <v>#VALUE!</v>
      </c>
      <c r="T13" s="126" t="e">
        <f>FLOOR(MOD(divplanetlongitude(Charts2[[#This Row],[Sun ]],9,1),30),1)</f>
        <v>#VALUE!</v>
      </c>
      <c r="U13" s="126" t="e">
        <f>FLOOR(MOD(divplanetlongitude(Charts2[[#This Row],[Moon ]],9,1),30),1)</f>
        <v>#VALUE!</v>
      </c>
      <c r="V13" s="126" t="e">
        <f>FLOOR(MOD(divplanetlongitude(Charts2[[#This Row],[Mars ]],9,1),30),1)</f>
        <v>#VALUE!</v>
      </c>
      <c r="W13" s="126" t="e">
        <f>FLOOR(MOD(divplanetlongitude(Charts2[[#This Row],[Merc]],9,1),30),1)</f>
        <v>#VALUE!</v>
      </c>
      <c r="X13" s="126" t="e">
        <f>FLOOR(MOD(divplanetlongitude(Charts2[[#This Row],[Jupiter]],9,1),30),1)</f>
        <v>#VALUE!</v>
      </c>
      <c r="Y13" s="126" t="e">
        <f>FLOOR(MOD(divplanetlongitude(Charts2[[#This Row],[Venus ]],9,1),30),1)</f>
        <v>#VALUE!</v>
      </c>
      <c r="Z13" s="126" t="e">
        <f>FLOOR(MOD(divplanetlongitude(Charts2[[#This Row],[Saturn ]],9,1),30),1)</f>
        <v>#VALUE!</v>
      </c>
      <c r="AA13" s="126" t="e">
        <f>FLOOR(MOD(divplanetlongitude(Charts2[[#This Row],[Rahu ]],9,1),30),1)</f>
        <v>#VALUE!</v>
      </c>
      <c r="AB13" s="126" t="e">
        <f>FLOOR(MOD(Charts2[[#This Row],[Asdt ]],30),1)</f>
        <v>#VALUE!</v>
      </c>
      <c r="AC13" s="126" t="e">
        <f>FLOOR(MOD(Charts2[[#This Row],[Sun ]],30),1)</f>
        <v>#VALUE!</v>
      </c>
      <c r="AD13" s="126" t="e">
        <f>FLOOR(MOD(Charts2[[#This Row],[Moon ]],30),1)</f>
        <v>#VALUE!</v>
      </c>
      <c r="AE13" s="126" t="e">
        <f>FLOOR(MOD(Charts2[[#This Row],[Mars ]],30),1)</f>
        <v>#VALUE!</v>
      </c>
      <c r="AF13" s="126" t="e">
        <f>FLOOR(MOD(Charts2[[#This Row],[Merc]],30),1)</f>
        <v>#VALUE!</v>
      </c>
      <c r="AG13" s="126" t="e">
        <f>FLOOR(MOD(Charts2[[#This Row],[Jupiter]],30),1)</f>
        <v>#VALUE!</v>
      </c>
      <c r="AH13" s="126" t="e">
        <f>FLOOR(MOD(Charts2[[#This Row],[Venus ]],30),1)</f>
        <v>#VALUE!</v>
      </c>
      <c r="AI13" s="126" t="e">
        <f>FLOOR(MOD(Charts2[[#This Row],[Saturn ]],30),1)</f>
        <v>#VALUE!</v>
      </c>
      <c r="AJ13" s="126" t="e">
        <f>FLOOR(MOD(Charts2[[#This Row],[Rahu ]],30),1)</f>
        <v>#VALUE!</v>
      </c>
    </row>
    <row r="14" spans="1:38" ht="15.6" x14ac:dyDescent="0.3">
      <c r="B14" s="114">
        <f t="shared" si="13"/>
        <v>44571</v>
      </c>
      <c r="C14">
        <f t="shared" si="14"/>
        <v>5.5</v>
      </c>
      <c r="D14" s="109">
        <f>19+4/60</f>
        <v>19.066666666666666</v>
      </c>
      <c r="E14" s="109">
        <f>72+52/60</f>
        <v>72.86666666666666</v>
      </c>
      <c r="F14" s="107">
        <f t="shared" si="0"/>
        <v>44571.197916666672</v>
      </c>
      <c r="G14" s="106">
        <f t="shared" si="7"/>
        <v>0.22916666666666666</v>
      </c>
      <c r="H14" t="str">
        <f t="shared" si="8"/>
        <v>Monday</v>
      </c>
      <c r="I14" s="106">
        <v>0.42708333333333298</v>
      </c>
      <c r="J14" s="115" t="e">
        <f t="shared" si="9"/>
        <v>#VALUE!</v>
      </c>
      <c r="K14" s="115" t="e">
        <f t="shared" si="2"/>
        <v>#VALUE!</v>
      </c>
      <c r="L14" s="115" t="e">
        <f t="shared" si="3"/>
        <v>#VALUE!</v>
      </c>
      <c r="M14" s="115" t="e">
        <f t="shared" si="4"/>
        <v>#VALUE!</v>
      </c>
      <c r="N14" s="115" t="e">
        <f t="shared" si="5"/>
        <v>#VALUE!</v>
      </c>
      <c r="O14" s="115" t="e">
        <f t="shared" si="6"/>
        <v>#VALUE!</v>
      </c>
      <c r="P14" s="115" t="e">
        <f t="shared" si="10"/>
        <v>#VALUE!</v>
      </c>
      <c r="Q14" s="115" t="e">
        <f t="shared" si="11"/>
        <v>#VALUE!</v>
      </c>
      <c r="R14" s="115" t="e">
        <f t="shared" si="12"/>
        <v>#VALUE!</v>
      </c>
      <c r="S14" s="126" t="e">
        <f>FLOOR(MOD(divplanetlongitude(Charts2[[#This Row],[Asdt ]],9,1),30),1)</f>
        <v>#VALUE!</v>
      </c>
      <c r="T14" s="126" t="e">
        <f>FLOOR(MOD(divplanetlongitude(Charts2[[#This Row],[Sun ]],9,1),30),1)</f>
        <v>#VALUE!</v>
      </c>
      <c r="U14" s="126" t="e">
        <f>FLOOR(MOD(divplanetlongitude(Charts2[[#This Row],[Moon ]],9,1),30),1)</f>
        <v>#VALUE!</v>
      </c>
      <c r="V14" s="126" t="e">
        <f>FLOOR(MOD(divplanetlongitude(Charts2[[#This Row],[Mars ]],9,1),30),1)</f>
        <v>#VALUE!</v>
      </c>
      <c r="W14" s="126" t="e">
        <f>FLOOR(MOD(divplanetlongitude(Charts2[[#This Row],[Merc]],9,1),30),1)</f>
        <v>#VALUE!</v>
      </c>
      <c r="X14" s="126" t="e">
        <f>FLOOR(MOD(divplanetlongitude(Charts2[[#This Row],[Jupiter]],9,1),30),1)</f>
        <v>#VALUE!</v>
      </c>
      <c r="Y14" s="126" t="e">
        <f>FLOOR(MOD(divplanetlongitude(Charts2[[#This Row],[Venus ]],9,1),30),1)</f>
        <v>#VALUE!</v>
      </c>
      <c r="Z14" s="126" t="e">
        <f>FLOOR(MOD(divplanetlongitude(Charts2[[#This Row],[Saturn ]],9,1),30),1)</f>
        <v>#VALUE!</v>
      </c>
      <c r="AA14" s="126" t="e">
        <f>FLOOR(MOD(divplanetlongitude(Charts2[[#This Row],[Rahu ]],9,1),30),1)</f>
        <v>#VALUE!</v>
      </c>
      <c r="AB14" s="126" t="e">
        <f>FLOOR(MOD(Charts2[[#This Row],[Asdt ]],30),1)</f>
        <v>#VALUE!</v>
      </c>
      <c r="AC14" s="126" t="e">
        <f>FLOOR(MOD(Charts2[[#This Row],[Sun ]],30),1)</f>
        <v>#VALUE!</v>
      </c>
      <c r="AD14" s="126" t="e">
        <f>FLOOR(MOD(Charts2[[#This Row],[Moon ]],30),1)</f>
        <v>#VALUE!</v>
      </c>
      <c r="AE14" s="126" t="e">
        <f>FLOOR(MOD(Charts2[[#This Row],[Mars ]],30),1)</f>
        <v>#VALUE!</v>
      </c>
      <c r="AF14" s="126" t="e">
        <f>FLOOR(MOD(Charts2[[#This Row],[Merc]],30),1)</f>
        <v>#VALUE!</v>
      </c>
      <c r="AG14" s="126" t="e">
        <f>FLOOR(MOD(Charts2[[#This Row],[Jupiter]],30),1)</f>
        <v>#VALUE!</v>
      </c>
      <c r="AH14" s="126" t="e">
        <f>FLOOR(MOD(Charts2[[#This Row],[Venus ]],30),1)</f>
        <v>#VALUE!</v>
      </c>
      <c r="AI14" s="126" t="e">
        <f>FLOOR(MOD(Charts2[[#This Row],[Saturn ]],30),1)</f>
        <v>#VALUE!</v>
      </c>
      <c r="AJ14" s="126" t="e">
        <f>FLOOR(MOD(Charts2[[#This Row],[Rahu ]],30),1)</f>
        <v>#VALUE!</v>
      </c>
    </row>
    <row r="15" spans="1:38" ht="15.6" x14ac:dyDescent="0.3">
      <c r="B15" s="114">
        <f t="shared" si="13"/>
        <v>44571</v>
      </c>
      <c r="C15">
        <f t="shared" si="14"/>
        <v>5.5</v>
      </c>
      <c r="D15" s="109">
        <f>D14</f>
        <v>19.066666666666666</v>
      </c>
      <c r="E15" s="109">
        <f>E14</f>
        <v>72.86666666666666</v>
      </c>
      <c r="F15" s="107">
        <f t="shared" si="0"/>
        <v>44571.201388888891</v>
      </c>
      <c r="G15" s="106">
        <f>sunrise(D15,E15,F15)+C15/24</f>
        <v>0.22916666666666666</v>
      </c>
      <c r="H15" t="str">
        <f>CHOOSE(WEEKDAY(F15),"Sunday","Monday","Tuesday","Wednesday","Thursday","Friday","Saturday")</f>
        <v>Monday</v>
      </c>
      <c r="I15" s="106">
        <v>0.43055555555555503</v>
      </c>
      <c r="J15" s="115" t="e">
        <f t="shared" si="9"/>
        <v>#VALUE!</v>
      </c>
      <c r="K15" s="115" t="e">
        <f t="shared" si="2"/>
        <v>#VALUE!</v>
      </c>
      <c r="L15" s="115" t="e">
        <f t="shared" si="3"/>
        <v>#VALUE!</v>
      </c>
      <c r="M15" s="115" t="e">
        <f t="shared" si="4"/>
        <v>#VALUE!</v>
      </c>
      <c r="N15" s="115" t="e">
        <f t="shared" si="5"/>
        <v>#VALUE!</v>
      </c>
      <c r="O15" s="115" t="e">
        <f t="shared" si="6"/>
        <v>#VALUE!</v>
      </c>
      <c r="P15" s="115" t="e">
        <f>Planet(F15,3)</f>
        <v>#VALUE!</v>
      </c>
      <c r="Q15" s="115" t="e">
        <f>Planet(F15,6)</f>
        <v>#VALUE!</v>
      </c>
      <c r="R15" s="115" t="e">
        <f>Planet(F15,10)</f>
        <v>#VALUE!</v>
      </c>
      <c r="S15" s="126" t="e">
        <f>FLOOR(MOD(divplanetlongitude(Charts2[[#This Row],[Asdt ]],9,1),30),1)</f>
        <v>#VALUE!</v>
      </c>
      <c r="T15" s="126" t="e">
        <f>FLOOR(MOD(divplanetlongitude(Charts2[[#This Row],[Sun ]],9,1),30),1)</f>
        <v>#VALUE!</v>
      </c>
      <c r="U15" s="126" t="e">
        <f>FLOOR(MOD(divplanetlongitude(Charts2[[#This Row],[Moon ]],9,1),30),1)</f>
        <v>#VALUE!</v>
      </c>
      <c r="V15" s="126" t="e">
        <f>FLOOR(MOD(divplanetlongitude(Charts2[[#This Row],[Mars ]],9,1),30),1)</f>
        <v>#VALUE!</v>
      </c>
      <c r="W15" s="126" t="e">
        <f>FLOOR(MOD(divplanetlongitude(Charts2[[#This Row],[Merc]],9,1),30),1)</f>
        <v>#VALUE!</v>
      </c>
      <c r="X15" s="126" t="e">
        <f>FLOOR(MOD(divplanetlongitude(Charts2[[#This Row],[Jupiter]],9,1),30),1)</f>
        <v>#VALUE!</v>
      </c>
      <c r="Y15" s="126" t="e">
        <f>FLOOR(MOD(divplanetlongitude(Charts2[[#This Row],[Venus ]],9,1),30),1)</f>
        <v>#VALUE!</v>
      </c>
      <c r="Z15" s="126" t="e">
        <f>FLOOR(MOD(divplanetlongitude(Charts2[[#This Row],[Saturn ]],9,1),30),1)</f>
        <v>#VALUE!</v>
      </c>
      <c r="AA15" s="126" t="e">
        <f>FLOOR(MOD(divplanetlongitude(Charts2[[#This Row],[Rahu ]],9,1),30),1)</f>
        <v>#VALUE!</v>
      </c>
      <c r="AB15" s="126" t="e">
        <f>FLOOR(MOD(Charts2[[#This Row],[Asdt ]],30),1)</f>
        <v>#VALUE!</v>
      </c>
      <c r="AC15" s="126" t="e">
        <f>FLOOR(MOD(Charts2[[#This Row],[Sun ]],30),1)</f>
        <v>#VALUE!</v>
      </c>
      <c r="AD15" s="126" t="e">
        <f>FLOOR(MOD(Charts2[[#This Row],[Moon ]],30),1)</f>
        <v>#VALUE!</v>
      </c>
      <c r="AE15" s="126" t="e">
        <f>FLOOR(MOD(Charts2[[#This Row],[Mars ]],30),1)</f>
        <v>#VALUE!</v>
      </c>
      <c r="AF15" s="126" t="e">
        <f>FLOOR(MOD(Charts2[[#This Row],[Merc]],30),1)</f>
        <v>#VALUE!</v>
      </c>
      <c r="AG15" s="126" t="e">
        <f>FLOOR(MOD(Charts2[[#This Row],[Jupiter]],30),1)</f>
        <v>#VALUE!</v>
      </c>
      <c r="AH15" s="126" t="e">
        <f>FLOOR(MOD(Charts2[[#This Row],[Venus ]],30),1)</f>
        <v>#VALUE!</v>
      </c>
      <c r="AI15" s="126" t="e">
        <f>FLOOR(MOD(Charts2[[#This Row],[Saturn ]],30),1)</f>
        <v>#VALUE!</v>
      </c>
      <c r="AJ15" s="126" t="e">
        <f>FLOOR(MOD(Charts2[[#This Row],[Rahu ]],30),1)</f>
        <v>#VALUE!</v>
      </c>
    </row>
    <row r="16" spans="1:38" ht="15.6" x14ac:dyDescent="0.3">
      <c r="B16" s="114">
        <f t="shared" si="13"/>
        <v>44571</v>
      </c>
      <c r="C16">
        <f t="shared" si="14"/>
        <v>5.5</v>
      </c>
      <c r="D16" s="109">
        <f>19+4/60</f>
        <v>19.066666666666666</v>
      </c>
      <c r="E16" s="109">
        <f>72+52/60</f>
        <v>72.86666666666666</v>
      </c>
      <c r="F16" s="107">
        <f t="shared" si="0"/>
        <v>44571.204861111117</v>
      </c>
      <c r="G16" s="106">
        <f>sunrise(D16,E16,F16)+C16/24</f>
        <v>0.22916666666666666</v>
      </c>
      <c r="H16" t="str">
        <f>CHOOSE(WEEKDAY(F16),"Sunday","Monday","Tuesday","Wednesday","Thursday","Friday","Saturday")</f>
        <v>Monday</v>
      </c>
      <c r="I16" s="106">
        <v>0.43402777777777801</v>
      </c>
      <c r="J16" s="115" t="e">
        <f t="shared" si="9"/>
        <v>#VALUE!</v>
      </c>
      <c r="K16" s="115" t="e">
        <f t="shared" si="2"/>
        <v>#VALUE!</v>
      </c>
      <c r="L16" s="115" t="e">
        <f t="shared" si="3"/>
        <v>#VALUE!</v>
      </c>
      <c r="M16" s="115" t="e">
        <f t="shared" si="4"/>
        <v>#VALUE!</v>
      </c>
      <c r="N16" s="115" t="e">
        <f t="shared" si="5"/>
        <v>#VALUE!</v>
      </c>
      <c r="O16" s="115" t="e">
        <f t="shared" si="6"/>
        <v>#VALUE!</v>
      </c>
      <c r="P16" s="115" t="e">
        <f>Planet(F16,3)</f>
        <v>#VALUE!</v>
      </c>
      <c r="Q16" s="115" t="e">
        <f>Planet(F16,6)</f>
        <v>#VALUE!</v>
      </c>
      <c r="R16" s="115" t="e">
        <f>Planet(F16,10)</f>
        <v>#VALUE!</v>
      </c>
      <c r="S16" s="126" t="e">
        <f>FLOOR(MOD(divplanetlongitude(Charts2[[#This Row],[Asdt ]],9,1),30),1)</f>
        <v>#VALUE!</v>
      </c>
      <c r="T16" s="126" t="e">
        <f>FLOOR(MOD(divplanetlongitude(Charts2[[#This Row],[Sun ]],9,1),30),1)</f>
        <v>#VALUE!</v>
      </c>
      <c r="U16" s="126" t="e">
        <f>FLOOR(MOD(divplanetlongitude(Charts2[[#This Row],[Moon ]],9,1),30),1)</f>
        <v>#VALUE!</v>
      </c>
      <c r="V16" s="126" t="e">
        <f>FLOOR(MOD(divplanetlongitude(Charts2[[#This Row],[Mars ]],9,1),30),1)</f>
        <v>#VALUE!</v>
      </c>
      <c r="W16" s="126" t="e">
        <f>FLOOR(MOD(divplanetlongitude(Charts2[[#This Row],[Merc]],9,1),30),1)</f>
        <v>#VALUE!</v>
      </c>
      <c r="X16" s="126" t="e">
        <f>FLOOR(MOD(divplanetlongitude(Charts2[[#This Row],[Jupiter]],9,1),30),1)</f>
        <v>#VALUE!</v>
      </c>
      <c r="Y16" s="126" t="e">
        <f>FLOOR(MOD(divplanetlongitude(Charts2[[#This Row],[Venus ]],9,1),30),1)</f>
        <v>#VALUE!</v>
      </c>
      <c r="Z16" s="126" t="e">
        <f>FLOOR(MOD(divplanetlongitude(Charts2[[#This Row],[Saturn ]],9,1),30),1)</f>
        <v>#VALUE!</v>
      </c>
      <c r="AA16" s="126" t="e">
        <f>FLOOR(MOD(divplanetlongitude(Charts2[[#This Row],[Rahu ]],9,1),30),1)</f>
        <v>#VALUE!</v>
      </c>
      <c r="AB16" s="126" t="e">
        <f>FLOOR(MOD(Charts2[[#This Row],[Asdt ]],30),1)</f>
        <v>#VALUE!</v>
      </c>
      <c r="AC16" s="126" t="e">
        <f>FLOOR(MOD(Charts2[[#This Row],[Sun ]],30),1)</f>
        <v>#VALUE!</v>
      </c>
      <c r="AD16" s="126" t="e">
        <f>FLOOR(MOD(Charts2[[#This Row],[Moon ]],30),1)</f>
        <v>#VALUE!</v>
      </c>
      <c r="AE16" s="126" t="e">
        <f>FLOOR(MOD(Charts2[[#This Row],[Mars ]],30),1)</f>
        <v>#VALUE!</v>
      </c>
      <c r="AF16" s="126" t="e">
        <f>FLOOR(MOD(Charts2[[#This Row],[Merc]],30),1)</f>
        <v>#VALUE!</v>
      </c>
      <c r="AG16" s="126" t="e">
        <f>FLOOR(MOD(Charts2[[#This Row],[Jupiter]],30),1)</f>
        <v>#VALUE!</v>
      </c>
      <c r="AH16" s="126" t="e">
        <f>FLOOR(MOD(Charts2[[#This Row],[Venus ]],30),1)</f>
        <v>#VALUE!</v>
      </c>
      <c r="AI16" s="126" t="e">
        <f>FLOOR(MOD(Charts2[[#This Row],[Saturn ]],30),1)</f>
        <v>#VALUE!</v>
      </c>
      <c r="AJ16" s="126" t="e">
        <f>FLOOR(MOD(Charts2[[#This Row],[Rahu ]],30),1)</f>
        <v>#VALUE!</v>
      </c>
    </row>
    <row r="17" spans="2:36" ht="15.6" x14ac:dyDescent="0.3">
      <c r="B17" s="114">
        <f t="shared" si="13"/>
        <v>44571</v>
      </c>
      <c r="C17">
        <f t="shared" si="14"/>
        <v>5.5</v>
      </c>
      <c r="D17" s="109">
        <f>D16</f>
        <v>19.066666666666666</v>
      </c>
      <c r="E17" s="109">
        <f>E16</f>
        <v>72.86666666666666</v>
      </c>
      <c r="F17" s="107">
        <f t="shared" si="0"/>
        <v>44571.208333333336</v>
      </c>
      <c r="G17" s="106">
        <f>sunrise(D17,E17,F17)+C17/24</f>
        <v>0.22916666666666666</v>
      </c>
      <c r="H17" t="str">
        <f>CHOOSE(WEEKDAY(F17),"Sunday","Monday","Tuesday","Wednesday","Thursday","Friday","Saturday")</f>
        <v>Monday</v>
      </c>
      <c r="I17" s="106">
        <v>0.4375</v>
      </c>
      <c r="J17" s="115" t="e">
        <f t="shared" si="9"/>
        <v>#VALUE!</v>
      </c>
      <c r="K17" s="115" t="e">
        <f t="shared" si="2"/>
        <v>#VALUE!</v>
      </c>
      <c r="L17" s="115" t="e">
        <f t="shared" si="3"/>
        <v>#VALUE!</v>
      </c>
      <c r="M17" s="115" t="e">
        <f t="shared" si="4"/>
        <v>#VALUE!</v>
      </c>
      <c r="N17" s="115" t="e">
        <f t="shared" si="5"/>
        <v>#VALUE!</v>
      </c>
      <c r="O17" s="115" t="e">
        <f t="shared" si="6"/>
        <v>#VALUE!</v>
      </c>
      <c r="P17" s="115" t="e">
        <f>Planet(F17,3)</f>
        <v>#VALUE!</v>
      </c>
      <c r="Q17" s="115" t="e">
        <f>Planet(F17,6)</f>
        <v>#VALUE!</v>
      </c>
      <c r="R17" s="115" t="e">
        <f>Planet(F17,10)</f>
        <v>#VALUE!</v>
      </c>
      <c r="S17" s="126" t="e">
        <f>FLOOR(MOD(divplanetlongitude(Charts2[[#This Row],[Asdt ]],9,1),30),1)</f>
        <v>#VALUE!</v>
      </c>
      <c r="T17" s="126" t="e">
        <f>FLOOR(MOD(divplanetlongitude(Charts2[[#This Row],[Sun ]],9,1),30),1)</f>
        <v>#VALUE!</v>
      </c>
      <c r="U17" s="126" t="e">
        <f>FLOOR(MOD(divplanetlongitude(Charts2[[#This Row],[Moon ]],9,1),30),1)</f>
        <v>#VALUE!</v>
      </c>
      <c r="V17" s="126" t="e">
        <f>FLOOR(MOD(divplanetlongitude(Charts2[[#This Row],[Mars ]],9,1),30),1)</f>
        <v>#VALUE!</v>
      </c>
      <c r="W17" s="126" t="e">
        <f>FLOOR(MOD(divplanetlongitude(Charts2[[#This Row],[Merc]],9,1),30),1)</f>
        <v>#VALUE!</v>
      </c>
      <c r="X17" s="126" t="e">
        <f>FLOOR(MOD(divplanetlongitude(Charts2[[#This Row],[Jupiter]],9,1),30),1)</f>
        <v>#VALUE!</v>
      </c>
      <c r="Y17" s="126" t="e">
        <f>FLOOR(MOD(divplanetlongitude(Charts2[[#This Row],[Venus ]],9,1),30),1)</f>
        <v>#VALUE!</v>
      </c>
      <c r="Z17" s="126" t="e">
        <f>FLOOR(MOD(divplanetlongitude(Charts2[[#This Row],[Saturn ]],9,1),30),1)</f>
        <v>#VALUE!</v>
      </c>
      <c r="AA17" s="126" t="e">
        <f>FLOOR(MOD(divplanetlongitude(Charts2[[#This Row],[Rahu ]],9,1),30),1)</f>
        <v>#VALUE!</v>
      </c>
      <c r="AB17" s="126" t="e">
        <f>FLOOR(MOD(Charts2[[#This Row],[Asdt ]],30),1)</f>
        <v>#VALUE!</v>
      </c>
      <c r="AC17" s="126" t="e">
        <f>FLOOR(MOD(Charts2[[#This Row],[Sun ]],30),1)</f>
        <v>#VALUE!</v>
      </c>
      <c r="AD17" s="126" t="e">
        <f>FLOOR(MOD(Charts2[[#This Row],[Moon ]],30),1)</f>
        <v>#VALUE!</v>
      </c>
      <c r="AE17" s="126" t="e">
        <f>FLOOR(MOD(Charts2[[#This Row],[Mars ]],30),1)</f>
        <v>#VALUE!</v>
      </c>
      <c r="AF17" s="126" t="e">
        <f>FLOOR(MOD(Charts2[[#This Row],[Merc]],30),1)</f>
        <v>#VALUE!</v>
      </c>
      <c r="AG17" s="126" t="e">
        <f>FLOOR(MOD(Charts2[[#This Row],[Jupiter]],30),1)</f>
        <v>#VALUE!</v>
      </c>
      <c r="AH17" s="126" t="e">
        <f>FLOOR(MOD(Charts2[[#This Row],[Venus ]],30),1)</f>
        <v>#VALUE!</v>
      </c>
      <c r="AI17" s="126" t="e">
        <f>FLOOR(MOD(Charts2[[#This Row],[Saturn ]],30),1)</f>
        <v>#VALUE!</v>
      </c>
      <c r="AJ17" s="126" t="e">
        <f>FLOOR(MOD(Charts2[[#This Row],[Rahu ]],30),1)</f>
        <v>#VALUE!</v>
      </c>
    </row>
    <row r="18" spans="2:36" ht="15.6" x14ac:dyDescent="0.3">
      <c r="B18" s="114">
        <f t="shared" si="13"/>
        <v>44571</v>
      </c>
      <c r="C18">
        <f t="shared" ref="C18:C77" si="15">C17</f>
        <v>5.5</v>
      </c>
      <c r="D18" s="109">
        <f t="shared" ref="D18:D77" si="16">D17</f>
        <v>19.066666666666666</v>
      </c>
      <c r="E18" s="109">
        <f t="shared" ref="E18:E77" si="17">E17</f>
        <v>72.86666666666666</v>
      </c>
      <c r="F18" s="107">
        <f t="shared" si="0"/>
        <v>44571.211805555555</v>
      </c>
      <c r="G18" s="106">
        <f t="shared" ref="G18:G49" si="18">sunrise(D18,E18,F18)+C18/24</f>
        <v>0.22916666666666666</v>
      </c>
      <c r="H18" t="str">
        <f t="shared" ref="H18:H49" si="19">CHOOSE(WEEKDAY(F18),"Sunday","Monday","Tuesday","Wednesday","Thursday","Friday","Saturday")</f>
        <v>Monday</v>
      </c>
      <c r="I18" s="106">
        <v>0.44097222222222199</v>
      </c>
      <c r="J18" s="115" t="e">
        <f t="shared" si="9"/>
        <v>#VALUE!</v>
      </c>
      <c r="K18" s="115" t="e">
        <f t="shared" si="2"/>
        <v>#VALUE!</v>
      </c>
      <c r="L18" s="115" t="e">
        <f t="shared" si="3"/>
        <v>#VALUE!</v>
      </c>
      <c r="M18" s="115" t="e">
        <f t="shared" si="4"/>
        <v>#VALUE!</v>
      </c>
      <c r="N18" s="115" t="e">
        <f t="shared" si="5"/>
        <v>#VALUE!</v>
      </c>
      <c r="O18" s="115" t="e">
        <f t="shared" si="6"/>
        <v>#VALUE!</v>
      </c>
      <c r="P18" s="115" t="e">
        <f t="shared" ref="P18:P49" si="20">Planet(F18,3)</f>
        <v>#VALUE!</v>
      </c>
      <c r="Q18" s="115" t="e">
        <f t="shared" ref="Q18:Q49" si="21">Planet(F18,6)</f>
        <v>#VALUE!</v>
      </c>
      <c r="R18" s="115" t="e">
        <f t="shared" ref="R18:R49" si="22">Planet(F18,10)</f>
        <v>#VALUE!</v>
      </c>
      <c r="S18" s="126" t="e">
        <f>FLOOR(MOD(divplanetlongitude(Charts2[[#This Row],[Asdt ]],9,1),30),1)</f>
        <v>#VALUE!</v>
      </c>
      <c r="T18" s="126" t="e">
        <f>FLOOR(MOD(divplanetlongitude(Charts2[[#This Row],[Sun ]],9,1),30),1)</f>
        <v>#VALUE!</v>
      </c>
      <c r="U18" s="126" t="e">
        <f>FLOOR(MOD(divplanetlongitude(Charts2[[#This Row],[Moon ]],9,1),30),1)</f>
        <v>#VALUE!</v>
      </c>
      <c r="V18" s="126" t="e">
        <f>FLOOR(MOD(divplanetlongitude(Charts2[[#This Row],[Mars ]],9,1),30),1)</f>
        <v>#VALUE!</v>
      </c>
      <c r="W18" s="126" t="e">
        <f>FLOOR(MOD(divplanetlongitude(Charts2[[#This Row],[Merc]],9,1),30),1)</f>
        <v>#VALUE!</v>
      </c>
      <c r="X18" s="126" t="e">
        <f>FLOOR(MOD(divplanetlongitude(Charts2[[#This Row],[Jupiter]],9,1),30),1)</f>
        <v>#VALUE!</v>
      </c>
      <c r="Y18" s="126" t="e">
        <f>FLOOR(MOD(divplanetlongitude(Charts2[[#This Row],[Venus ]],9,1),30),1)</f>
        <v>#VALUE!</v>
      </c>
      <c r="Z18" s="126" t="e">
        <f>FLOOR(MOD(divplanetlongitude(Charts2[[#This Row],[Saturn ]],9,1),30),1)</f>
        <v>#VALUE!</v>
      </c>
      <c r="AA18" s="126" t="e">
        <f>FLOOR(MOD(divplanetlongitude(Charts2[[#This Row],[Rahu ]],9,1),30),1)</f>
        <v>#VALUE!</v>
      </c>
      <c r="AB18" s="126" t="e">
        <f>FLOOR(MOD(Charts2[[#This Row],[Asdt ]],30),1)</f>
        <v>#VALUE!</v>
      </c>
      <c r="AC18" s="126" t="e">
        <f>FLOOR(MOD(Charts2[[#This Row],[Sun ]],30),1)</f>
        <v>#VALUE!</v>
      </c>
      <c r="AD18" s="126" t="e">
        <f>FLOOR(MOD(Charts2[[#This Row],[Moon ]],30),1)</f>
        <v>#VALUE!</v>
      </c>
      <c r="AE18" s="126" t="e">
        <f>FLOOR(MOD(Charts2[[#This Row],[Mars ]],30),1)</f>
        <v>#VALUE!</v>
      </c>
      <c r="AF18" s="126" t="e">
        <f>FLOOR(MOD(Charts2[[#This Row],[Merc]],30),1)</f>
        <v>#VALUE!</v>
      </c>
      <c r="AG18" s="126" t="e">
        <f>FLOOR(MOD(Charts2[[#This Row],[Jupiter]],30),1)</f>
        <v>#VALUE!</v>
      </c>
      <c r="AH18" s="126" t="e">
        <f>FLOOR(MOD(Charts2[[#This Row],[Venus ]],30),1)</f>
        <v>#VALUE!</v>
      </c>
      <c r="AI18" s="126" t="e">
        <f>FLOOR(MOD(Charts2[[#This Row],[Saturn ]],30),1)</f>
        <v>#VALUE!</v>
      </c>
      <c r="AJ18" s="126" t="e">
        <f>FLOOR(MOD(Charts2[[#This Row],[Rahu ]],30),1)</f>
        <v>#VALUE!</v>
      </c>
    </row>
    <row r="19" spans="2:36" ht="15.6" x14ac:dyDescent="0.3">
      <c r="B19" s="114">
        <f t="shared" si="13"/>
        <v>44571</v>
      </c>
      <c r="C19">
        <f t="shared" si="15"/>
        <v>5.5</v>
      </c>
      <c r="D19" s="109">
        <f t="shared" si="16"/>
        <v>19.066666666666666</v>
      </c>
      <c r="E19" s="109">
        <f t="shared" si="17"/>
        <v>72.86666666666666</v>
      </c>
      <c r="F19" s="107">
        <f t="shared" si="0"/>
        <v>44571.215277777781</v>
      </c>
      <c r="G19" s="106">
        <f t="shared" si="18"/>
        <v>0.22916666666666666</v>
      </c>
      <c r="H19" t="str">
        <f t="shared" si="19"/>
        <v>Monday</v>
      </c>
      <c r="I19" s="106">
        <v>0.44444444444444398</v>
      </c>
      <c r="J19" s="115" t="e">
        <f t="shared" si="9"/>
        <v>#VALUE!</v>
      </c>
      <c r="K19" s="115" t="e">
        <f t="shared" si="2"/>
        <v>#VALUE!</v>
      </c>
      <c r="L19" s="115" t="e">
        <f t="shared" si="3"/>
        <v>#VALUE!</v>
      </c>
      <c r="M19" s="115" t="e">
        <f t="shared" si="4"/>
        <v>#VALUE!</v>
      </c>
      <c r="N19" s="115" t="e">
        <f t="shared" si="5"/>
        <v>#VALUE!</v>
      </c>
      <c r="O19" s="115" t="e">
        <f t="shared" si="6"/>
        <v>#VALUE!</v>
      </c>
      <c r="P19" s="115" t="e">
        <f t="shared" si="20"/>
        <v>#VALUE!</v>
      </c>
      <c r="Q19" s="115" t="e">
        <f t="shared" si="21"/>
        <v>#VALUE!</v>
      </c>
      <c r="R19" s="115" t="e">
        <f t="shared" si="22"/>
        <v>#VALUE!</v>
      </c>
      <c r="S19" s="126" t="e">
        <f>FLOOR(MOD(divplanetlongitude(Charts2[[#This Row],[Asdt ]],9,1),30),1)</f>
        <v>#VALUE!</v>
      </c>
      <c r="T19" s="126" t="e">
        <f>FLOOR(MOD(divplanetlongitude(Charts2[[#This Row],[Sun ]],9,1),30),1)</f>
        <v>#VALUE!</v>
      </c>
      <c r="U19" s="126" t="e">
        <f>FLOOR(MOD(divplanetlongitude(Charts2[[#This Row],[Moon ]],9,1),30),1)</f>
        <v>#VALUE!</v>
      </c>
      <c r="V19" s="126" t="e">
        <f>FLOOR(MOD(divplanetlongitude(Charts2[[#This Row],[Mars ]],9,1),30),1)</f>
        <v>#VALUE!</v>
      </c>
      <c r="W19" s="126" t="e">
        <f>FLOOR(MOD(divplanetlongitude(Charts2[[#This Row],[Merc]],9,1),30),1)</f>
        <v>#VALUE!</v>
      </c>
      <c r="X19" s="126" t="e">
        <f>FLOOR(MOD(divplanetlongitude(Charts2[[#This Row],[Jupiter]],9,1),30),1)</f>
        <v>#VALUE!</v>
      </c>
      <c r="Y19" s="126" t="e">
        <f>FLOOR(MOD(divplanetlongitude(Charts2[[#This Row],[Venus ]],9,1),30),1)</f>
        <v>#VALUE!</v>
      </c>
      <c r="Z19" s="126" t="e">
        <f>FLOOR(MOD(divplanetlongitude(Charts2[[#This Row],[Saturn ]],9,1),30),1)</f>
        <v>#VALUE!</v>
      </c>
      <c r="AA19" s="126" t="e">
        <f>FLOOR(MOD(divplanetlongitude(Charts2[[#This Row],[Rahu ]],9,1),30),1)</f>
        <v>#VALUE!</v>
      </c>
      <c r="AB19" s="126" t="e">
        <f>FLOOR(MOD(Charts2[[#This Row],[Asdt ]],30),1)</f>
        <v>#VALUE!</v>
      </c>
      <c r="AC19" s="126" t="e">
        <f>FLOOR(MOD(Charts2[[#This Row],[Sun ]],30),1)</f>
        <v>#VALUE!</v>
      </c>
      <c r="AD19" s="126" t="e">
        <f>FLOOR(MOD(Charts2[[#This Row],[Moon ]],30),1)</f>
        <v>#VALUE!</v>
      </c>
      <c r="AE19" s="126" t="e">
        <f>FLOOR(MOD(Charts2[[#This Row],[Mars ]],30),1)</f>
        <v>#VALUE!</v>
      </c>
      <c r="AF19" s="126" t="e">
        <f>FLOOR(MOD(Charts2[[#This Row],[Merc]],30),1)</f>
        <v>#VALUE!</v>
      </c>
      <c r="AG19" s="126" t="e">
        <f>FLOOR(MOD(Charts2[[#This Row],[Jupiter]],30),1)</f>
        <v>#VALUE!</v>
      </c>
      <c r="AH19" s="126" t="e">
        <f>FLOOR(MOD(Charts2[[#This Row],[Venus ]],30),1)</f>
        <v>#VALUE!</v>
      </c>
      <c r="AI19" s="126" t="e">
        <f>FLOOR(MOD(Charts2[[#This Row],[Saturn ]],30),1)</f>
        <v>#VALUE!</v>
      </c>
      <c r="AJ19" s="126" t="e">
        <f>FLOOR(MOD(Charts2[[#This Row],[Rahu ]],30),1)</f>
        <v>#VALUE!</v>
      </c>
    </row>
    <row r="20" spans="2:36" ht="15.6" x14ac:dyDescent="0.3">
      <c r="B20" s="114">
        <f t="shared" si="13"/>
        <v>44571</v>
      </c>
      <c r="C20">
        <f t="shared" si="15"/>
        <v>5.5</v>
      </c>
      <c r="D20" s="109">
        <f t="shared" si="16"/>
        <v>19.066666666666666</v>
      </c>
      <c r="E20" s="109">
        <f t="shared" si="17"/>
        <v>72.86666666666666</v>
      </c>
      <c r="F20" s="107">
        <f t="shared" si="0"/>
        <v>44571.21875</v>
      </c>
      <c r="G20" s="106">
        <f t="shared" si="18"/>
        <v>0.22916666666666666</v>
      </c>
      <c r="H20" t="str">
        <f t="shared" si="19"/>
        <v>Monday</v>
      </c>
      <c r="I20" s="106">
        <v>0.44791666666666602</v>
      </c>
      <c r="J20" s="115" t="e">
        <f t="shared" si="9"/>
        <v>#VALUE!</v>
      </c>
      <c r="K20" s="115" t="e">
        <f t="shared" si="2"/>
        <v>#VALUE!</v>
      </c>
      <c r="L20" s="115" t="e">
        <f t="shared" si="3"/>
        <v>#VALUE!</v>
      </c>
      <c r="M20" s="115" t="e">
        <f t="shared" si="4"/>
        <v>#VALUE!</v>
      </c>
      <c r="N20" s="115" t="e">
        <f t="shared" si="5"/>
        <v>#VALUE!</v>
      </c>
      <c r="O20" s="115" t="e">
        <f t="shared" si="6"/>
        <v>#VALUE!</v>
      </c>
      <c r="P20" s="115" t="e">
        <f t="shared" si="20"/>
        <v>#VALUE!</v>
      </c>
      <c r="Q20" s="115" t="e">
        <f t="shared" si="21"/>
        <v>#VALUE!</v>
      </c>
      <c r="R20" s="115" t="e">
        <f t="shared" si="22"/>
        <v>#VALUE!</v>
      </c>
      <c r="S20" s="126" t="e">
        <f>FLOOR(MOD(divplanetlongitude(Charts2[[#This Row],[Asdt ]],9,1),30),1)</f>
        <v>#VALUE!</v>
      </c>
      <c r="T20" s="126" t="e">
        <f>FLOOR(MOD(divplanetlongitude(Charts2[[#This Row],[Sun ]],9,1),30),1)</f>
        <v>#VALUE!</v>
      </c>
      <c r="U20" s="126" t="e">
        <f>FLOOR(MOD(divplanetlongitude(Charts2[[#This Row],[Moon ]],9,1),30),1)</f>
        <v>#VALUE!</v>
      </c>
      <c r="V20" s="126" t="e">
        <f>FLOOR(MOD(divplanetlongitude(Charts2[[#This Row],[Mars ]],9,1),30),1)</f>
        <v>#VALUE!</v>
      </c>
      <c r="W20" s="126" t="e">
        <f>FLOOR(MOD(divplanetlongitude(Charts2[[#This Row],[Merc]],9,1),30),1)</f>
        <v>#VALUE!</v>
      </c>
      <c r="X20" s="126" t="e">
        <f>FLOOR(MOD(divplanetlongitude(Charts2[[#This Row],[Jupiter]],9,1),30),1)</f>
        <v>#VALUE!</v>
      </c>
      <c r="Y20" s="126" t="e">
        <f>FLOOR(MOD(divplanetlongitude(Charts2[[#This Row],[Venus ]],9,1),30),1)</f>
        <v>#VALUE!</v>
      </c>
      <c r="Z20" s="126" t="e">
        <f>FLOOR(MOD(divplanetlongitude(Charts2[[#This Row],[Saturn ]],9,1),30),1)</f>
        <v>#VALUE!</v>
      </c>
      <c r="AA20" s="126" t="e">
        <f>FLOOR(MOD(divplanetlongitude(Charts2[[#This Row],[Rahu ]],9,1),30),1)</f>
        <v>#VALUE!</v>
      </c>
      <c r="AB20" s="126" t="e">
        <f>FLOOR(MOD(Charts2[[#This Row],[Asdt ]],30),1)</f>
        <v>#VALUE!</v>
      </c>
      <c r="AC20" s="126" t="e">
        <f>FLOOR(MOD(Charts2[[#This Row],[Sun ]],30),1)</f>
        <v>#VALUE!</v>
      </c>
      <c r="AD20" s="126" t="e">
        <f>FLOOR(MOD(Charts2[[#This Row],[Moon ]],30),1)</f>
        <v>#VALUE!</v>
      </c>
      <c r="AE20" s="126" t="e">
        <f>FLOOR(MOD(Charts2[[#This Row],[Mars ]],30),1)</f>
        <v>#VALUE!</v>
      </c>
      <c r="AF20" s="126" t="e">
        <f>FLOOR(MOD(Charts2[[#This Row],[Merc]],30),1)</f>
        <v>#VALUE!</v>
      </c>
      <c r="AG20" s="126" t="e">
        <f>FLOOR(MOD(Charts2[[#This Row],[Jupiter]],30),1)</f>
        <v>#VALUE!</v>
      </c>
      <c r="AH20" s="126" t="e">
        <f>FLOOR(MOD(Charts2[[#This Row],[Venus ]],30),1)</f>
        <v>#VALUE!</v>
      </c>
      <c r="AI20" s="126" t="e">
        <f>FLOOR(MOD(Charts2[[#This Row],[Saturn ]],30),1)</f>
        <v>#VALUE!</v>
      </c>
      <c r="AJ20" s="126" t="e">
        <f>FLOOR(MOD(Charts2[[#This Row],[Rahu ]],30),1)</f>
        <v>#VALUE!</v>
      </c>
    </row>
    <row r="21" spans="2:36" ht="15.6" x14ac:dyDescent="0.3">
      <c r="B21" s="114">
        <f t="shared" si="13"/>
        <v>44571</v>
      </c>
      <c r="C21">
        <f t="shared" si="15"/>
        <v>5.5</v>
      </c>
      <c r="D21" s="109">
        <f t="shared" si="16"/>
        <v>19.066666666666666</v>
      </c>
      <c r="E21" s="109">
        <f t="shared" si="17"/>
        <v>72.86666666666666</v>
      </c>
      <c r="F21" s="107">
        <f t="shared" si="0"/>
        <v>44571.222222222226</v>
      </c>
      <c r="G21" s="106">
        <f t="shared" si="18"/>
        <v>0.22916666666666666</v>
      </c>
      <c r="H21" t="str">
        <f t="shared" si="19"/>
        <v>Monday</v>
      </c>
      <c r="I21" s="106">
        <v>0.45138888888888801</v>
      </c>
      <c r="J21" s="115" t="e">
        <f t="shared" si="9"/>
        <v>#VALUE!</v>
      </c>
      <c r="K21" s="115" t="e">
        <f t="shared" si="2"/>
        <v>#VALUE!</v>
      </c>
      <c r="L21" s="115" t="e">
        <f t="shared" si="3"/>
        <v>#VALUE!</v>
      </c>
      <c r="M21" s="115" t="e">
        <f t="shared" si="4"/>
        <v>#VALUE!</v>
      </c>
      <c r="N21" s="115" t="e">
        <f t="shared" si="5"/>
        <v>#VALUE!</v>
      </c>
      <c r="O21" s="115" t="e">
        <f t="shared" si="6"/>
        <v>#VALUE!</v>
      </c>
      <c r="P21" s="115" t="e">
        <f t="shared" si="20"/>
        <v>#VALUE!</v>
      </c>
      <c r="Q21" s="115" t="e">
        <f t="shared" si="21"/>
        <v>#VALUE!</v>
      </c>
      <c r="R21" s="115" t="e">
        <f t="shared" si="22"/>
        <v>#VALUE!</v>
      </c>
      <c r="S21" s="126" t="e">
        <f>FLOOR(MOD(divplanetlongitude(Charts2[[#This Row],[Asdt ]],9,1),30),1)</f>
        <v>#VALUE!</v>
      </c>
      <c r="T21" s="126" t="e">
        <f>FLOOR(MOD(divplanetlongitude(Charts2[[#This Row],[Sun ]],9,1),30),1)</f>
        <v>#VALUE!</v>
      </c>
      <c r="U21" s="126" t="e">
        <f>FLOOR(MOD(divplanetlongitude(Charts2[[#This Row],[Moon ]],9,1),30),1)</f>
        <v>#VALUE!</v>
      </c>
      <c r="V21" s="126" t="e">
        <f>FLOOR(MOD(divplanetlongitude(Charts2[[#This Row],[Mars ]],9,1),30),1)</f>
        <v>#VALUE!</v>
      </c>
      <c r="W21" s="126" t="e">
        <f>FLOOR(MOD(divplanetlongitude(Charts2[[#This Row],[Merc]],9,1),30),1)</f>
        <v>#VALUE!</v>
      </c>
      <c r="X21" s="126" t="e">
        <f>FLOOR(MOD(divplanetlongitude(Charts2[[#This Row],[Jupiter]],9,1),30),1)</f>
        <v>#VALUE!</v>
      </c>
      <c r="Y21" s="126" t="e">
        <f>FLOOR(MOD(divplanetlongitude(Charts2[[#This Row],[Venus ]],9,1),30),1)</f>
        <v>#VALUE!</v>
      </c>
      <c r="Z21" s="126" t="e">
        <f>FLOOR(MOD(divplanetlongitude(Charts2[[#This Row],[Saturn ]],9,1),30),1)</f>
        <v>#VALUE!</v>
      </c>
      <c r="AA21" s="126" t="e">
        <f>FLOOR(MOD(divplanetlongitude(Charts2[[#This Row],[Rahu ]],9,1),30),1)</f>
        <v>#VALUE!</v>
      </c>
      <c r="AB21" s="126" t="e">
        <f>FLOOR(MOD(Charts2[[#This Row],[Asdt ]],30),1)</f>
        <v>#VALUE!</v>
      </c>
      <c r="AC21" s="126" t="e">
        <f>FLOOR(MOD(Charts2[[#This Row],[Sun ]],30),1)</f>
        <v>#VALUE!</v>
      </c>
      <c r="AD21" s="126" t="e">
        <f>FLOOR(MOD(Charts2[[#This Row],[Moon ]],30),1)</f>
        <v>#VALUE!</v>
      </c>
      <c r="AE21" s="126" t="e">
        <f>FLOOR(MOD(Charts2[[#This Row],[Mars ]],30),1)</f>
        <v>#VALUE!</v>
      </c>
      <c r="AF21" s="126" t="e">
        <f>FLOOR(MOD(Charts2[[#This Row],[Merc]],30),1)</f>
        <v>#VALUE!</v>
      </c>
      <c r="AG21" s="126" t="e">
        <f>FLOOR(MOD(Charts2[[#This Row],[Jupiter]],30),1)</f>
        <v>#VALUE!</v>
      </c>
      <c r="AH21" s="126" t="e">
        <f>FLOOR(MOD(Charts2[[#This Row],[Venus ]],30),1)</f>
        <v>#VALUE!</v>
      </c>
      <c r="AI21" s="126" t="e">
        <f>FLOOR(MOD(Charts2[[#This Row],[Saturn ]],30),1)</f>
        <v>#VALUE!</v>
      </c>
      <c r="AJ21" s="126" t="e">
        <f>FLOOR(MOD(Charts2[[#This Row],[Rahu ]],30),1)</f>
        <v>#VALUE!</v>
      </c>
    </row>
    <row r="22" spans="2:36" ht="15.6" x14ac:dyDescent="0.3">
      <c r="B22" s="114">
        <f t="shared" si="13"/>
        <v>44571</v>
      </c>
      <c r="C22">
        <f t="shared" si="15"/>
        <v>5.5</v>
      </c>
      <c r="D22" s="109">
        <f t="shared" si="16"/>
        <v>19.066666666666666</v>
      </c>
      <c r="E22" s="109">
        <f t="shared" si="17"/>
        <v>72.86666666666666</v>
      </c>
      <c r="F22" s="107">
        <f t="shared" si="0"/>
        <v>44571.225694444445</v>
      </c>
      <c r="G22" s="106">
        <f t="shared" si="18"/>
        <v>0.22916666666666666</v>
      </c>
      <c r="H22" t="str">
        <f t="shared" si="19"/>
        <v>Monday</v>
      </c>
      <c r="I22" s="106">
        <v>0.45486111111110999</v>
      </c>
      <c r="J22" s="115" t="e">
        <f t="shared" si="9"/>
        <v>#VALUE!</v>
      </c>
      <c r="K22" s="115" t="e">
        <f t="shared" si="2"/>
        <v>#VALUE!</v>
      </c>
      <c r="L22" s="115" t="e">
        <f t="shared" si="3"/>
        <v>#VALUE!</v>
      </c>
      <c r="M22" s="115" t="e">
        <f t="shared" si="4"/>
        <v>#VALUE!</v>
      </c>
      <c r="N22" s="115" t="e">
        <f t="shared" si="5"/>
        <v>#VALUE!</v>
      </c>
      <c r="O22" s="115" t="e">
        <f t="shared" si="6"/>
        <v>#VALUE!</v>
      </c>
      <c r="P22" s="115" t="e">
        <f t="shared" si="20"/>
        <v>#VALUE!</v>
      </c>
      <c r="Q22" s="115" t="e">
        <f t="shared" si="21"/>
        <v>#VALUE!</v>
      </c>
      <c r="R22" s="115" t="e">
        <f t="shared" si="22"/>
        <v>#VALUE!</v>
      </c>
      <c r="S22" s="126" t="e">
        <f>FLOOR(MOD(divplanetlongitude(Charts2[[#This Row],[Asdt ]],9,1),30),1)</f>
        <v>#VALUE!</v>
      </c>
      <c r="T22" s="126" t="e">
        <f>FLOOR(MOD(divplanetlongitude(Charts2[[#This Row],[Sun ]],9,1),30),1)</f>
        <v>#VALUE!</v>
      </c>
      <c r="U22" s="126" t="e">
        <f>FLOOR(MOD(divplanetlongitude(Charts2[[#This Row],[Moon ]],9,1),30),1)</f>
        <v>#VALUE!</v>
      </c>
      <c r="V22" s="126" t="e">
        <f>FLOOR(MOD(divplanetlongitude(Charts2[[#This Row],[Mars ]],9,1),30),1)</f>
        <v>#VALUE!</v>
      </c>
      <c r="W22" s="126" t="e">
        <f>FLOOR(MOD(divplanetlongitude(Charts2[[#This Row],[Merc]],9,1),30),1)</f>
        <v>#VALUE!</v>
      </c>
      <c r="X22" s="126" t="e">
        <f>FLOOR(MOD(divplanetlongitude(Charts2[[#This Row],[Jupiter]],9,1),30),1)</f>
        <v>#VALUE!</v>
      </c>
      <c r="Y22" s="126" t="e">
        <f>FLOOR(MOD(divplanetlongitude(Charts2[[#This Row],[Venus ]],9,1),30),1)</f>
        <v>#VALUE!</v>
      </c>
      <c r="Z22" s="126" t="e">
        <f>FLOOR(MOD(divplanetlongitude(Charts2[[#This Row],[Saturn ]],9,1),30),1)</f>
        <v>#VALUE!</v>
      </c>
      <c r="AA22" s="126" t="e">
        <f>FLOOR(MOD(divplanetlongitude(Charts2[[#This Row],[Rahu ]],9,1),30),1)</f>
        <v>#VALUE!</v>
      </c>
      <c r="AB22" s="126" t="e">
        <f>FLOOR(MOD(Charts2[[#This Row],[Asdt ]],30),1)</f>
        <v>#VALUE!</v>
      </c>
      <c r="AC22" s="126" t="e">
        <f>FLOOR(MOD(Charts2[[#This Row],[Sun ]],30),1)</f>
        <v>#VALUE!</v>
      </c>
      <c r="AD22" s="126" t="e">
        <f>FLOOR(MOD(Charts2[[#This Row],[Moon ]],30),1)</f>
        <v>#VALUE!</v>
      </c>
      <c r="AE22" s="126" t="e">
        <f>FLOOR(MOD(Charts2[[#This Row],[Mars ]],30),1)</f>
        <v>#VALUE!</v>
      </c>
      <c r="AF22" s="126" t="e">
        <f>FLOOR(MOD(Charts2[[#This Row],[Merc]],30),1)</f>
        <v>#VALUE!</v>
      </c>
      <c r="AG22" s="126" t="e">
        <f>FLOOR(MOD(Charts2[[#This Row],[Jupiter]],30),1)</f>
        <v>#VALUE!</v>
      </c>
      <c r="AH22" s="126" t="e">
        <f>FLOOR(MOD(Charts2[[#This Row],[Venus ]],30),1)</f>
        <v>#VALUE!</v>
      </c>
      <c r="AI22" s="126" t="e">
        <f>FLOOR(MOD(Charts2[[#This Row],[Saturn ]],30),1)</f>
        <v>#VALUE!</v>
      </c>
      <c r="AJ22" s="126" t="e">
        <f>FLOOR(MOD(Charts2[[#This Row],[Rahu ]],30),1)</f>
        <v>#VALUE!</v>
      </c>
    </row>
    <row r="23" spans="2:36" ht="15.6" x14ac:dyDescent="0.3">
      <c r="B23" s="114">
        <f t="shared" si="13"/>
        <v>44571</v>
      </c>
      <c r="C23">
        <f t="shared" si="15"/>
        <v>5.5</v>
      </c>
      <c r="D23" s="109">
        <f t="shared" si="16"/>
        <v>19.066666666666666</v>
      </c>
      <c r="E23" s="109">
        <f t="shared" si="17"/>
        <v>72.86666666666666</v>
      </c>
      <c r="F23" s="107">
        <f t="shared" si="0"/>
        <v>44571.229166666672</v>
      </c>
      <c r="G23" s="106">
        <f t="shared" si="18"/>
        <v>0.22916666666666666</v>
      </c>
      <c r="H23" t="str">
        <f t="shared" si="19"/>
        <v>Monday</v>
      </c>
      <c r="I23" s="106">
        <v>0.45833333333333198</v>
      </c>
      <c r="J23" s="115" t="e">
        <f t="shared" si="9"/>
        <v>#VALUE!</v>
      </c>
      <c r="K23" s="115" t="e">
        <f t="shared" si="2"/>
        <v>#VALUE!</v>
      </c>
      <c r="L23" s="115" t="e">
        <f t="shared" si="3"/>
        <v>#VALUE!</v>
      </c>
      <c r="M23" s="115" t="e">
        <f t="shared" si="4"/>
        <v>#VALUE!</v>
      </c>
      <c r="N23" s="115" t="e">
        <f t="shared" si="5"/>
        <v>#VALUE!</v>
      </c>
      <c r="O23" s="115" t="e">
        <f t="shared" si="6"/>
        <v>#VALUE!</v>
      </c>
      <c r="P23" s="115" t="e">
        <f t="shared" si="20"/>
        <v>#VALUE!</v>
      </c>
      <c r="Q23" s="115" t="e">
        <f t="shared" si="21"/>
        <v>#VALUE!</v>
      </c>
      <c r="R23" s="115" t="e">
        <f t="shared" si="22"/>
        <v>#VALUE!</v>
      </c>
      <c r="S23" s="126" t="e">
        <f>FLOOR(MOD(divplanetlongitude(Charts2[[#This Row],[Asdt ]],9,1),30),1)</f>
        <v>#VALUE!</v>
      </c>
      <c r="T23" s="126" t="e">
        <f>FLOOR(MOD(divplanetlongitude(Charts2[[#This Row],[Sun ]],9,1),30),1)</f>
        <v>#VALUE!</v>
      </c>
      <c r="U23" s="126" t="e">
        <f>FLOOR(MOD(divplanetlongitude(Charts2[[#This Row],[Moon ]],9,1),30),1)</f>
        <v>#VALUE!</v>
      </c>
      <c r="V23" s="126" t="e">
        <f>FLOOR(MOD(divplanetlongitude(Charts2[[#This Row],[Mars ]],9,1),30),1)</f>
        <v>#VALUE!</v>
      </c>
      <c r="W23" s="126" t="e">
        <f>FLOOR(MOD(divplanetlongitude(Charts2[[#This Row],[Merc]],9,1),30),1)</f>
        <v>#VALUE!</v>
      </c>
      <c r="X23" s="126" t="e">
        <f>FLOOR(MOD(divplanetlongitude(Charts2[[#This Row],[Jupiter]],9,1),30),1)</f>
        <v>#VALUE!</v>
      </c>
      <c r="Y23" s="126" t="e">
        <f>FLOOR(MOD(divplanetlongitude(Charts2[[#This Row],[Venus ]],9,1),30),1)</f>
        <v>#VALUE!</v>
      </c>
      <c r="Z23" s="126" t="e">
        <f>FLOOR(MOD(divplanetlongitude(Charts2[[#This Row],[Saturn ]],9,1),30),1)</f>
        <v>#VALUE!</v>
      </c>
      <c r="AA23" s="126" t="e">
        <f>FLOOR(MOD(divplanetlongitude(Charts2[[#This Row],[Rahu ]],9,1),30),1)</f>
        <v>#VALUE!</v>
      </c>
      <c r="AB23" s="126" t="e">
        <f>FLOOR(MOD(Charts2[[#This Row],[Asdt ]],30),1)</f>
        <v>#VALUE!</v>
      </c>
      <c r="AC23" s="126" t="e">
        <f>FLOOR(MOD(Charts2[[#This Row],[Sun ]],30),1)</f>
        <v>#VALUE!</v>
      </c>
      <c r="AD23" s="126" t="e">
        <f>FLOOR(MOD(Charts2[[#This Row],[Moon ]],30),1)</f>
        <v>#VALUE!</v>
      </c>
      <c r="AE23" s="126" t="e">
        <f>FLOOR(MOD(Charts2[[#This Row],[Mars ]],30),1)</f>
        <v>#VALUE!</v>
      </c>
      <c r="AF23" s="126" t="e">
        <f>FLOOR(MOD(Charts2[[#This Row],[Merc]],30),1)</f>
        <v>#VALUE!</v>
      </c>
      <c r="AG23" s="126" t="e">
        <f>FLOOR(MOD(Charts2[[#This Row],[Jupiter]],30),1)</f>
        <v>#VALUE!</v>
      </c>
      <c r="AH23" s="126" t="e">
        <f>FLOOR(MOD(Charts2[[#This Row],[Venus ]],30),1)</f>
        <v>#VALUE!</v>
      </c>
      <c r="AI23" s="126" t="e">
        <f>FLOOR(MOD(Charts2[[#This Row],[Saturn ]],30),1)</f>
        <v>#VALUE!</v>
      </c>
      <c r="AJ23" s="126" t="e">
        <f>FLOOR(MOD(Charts2[[#This Row],[Rahu ]],30),1)</f>
        <v>#VALUE!</v>
      </c>
    </row>
    <row r="24" spans="2:36" ht="15.6" x14ac:dyDescent="0.3">
      <c r="B24" s="114">
        <f t="shared" si="13"/>
        <v>44571</v>
      </c>
      <c r="C24">
        <f t="shared" si="15"/>
        <v>5.5</v>
      </c>
      <c r="D24" s="109">
        <f t="shared" si="16"/>
        <v>19.066666666666666</v>
      </c>
      <c r="E24" s="109">
        <f t="shared" si="17"/>
        <v>72.86666666666666</v>
      </c>
      <c r="F24" s="107">
        <f t="shared" si="0"/>
        <v>44571.232638888891</v>
      </c>
      <c r="G24" s="106">
        <f t="shared" si="18"/>
        <v>0.22916666666666666</v>
      </c>
      <c r="H24" t="str">
        <f t="shared" si="19"/>
        <v>Monday</v>
      </c>
      <c r="I24" s="106">
        <v>0.46180555555555403</v>
      </c>
      <c r="J24" s="115" t="e">
        <f t="shared" si="9"/>
        <v>#VALUE!</v>
      </c>
      <c r="K24" s="115" t="e">
        <f t="shared" si="2"/>
        <v>#VALUE!</v>
      </c>
      <c r="L24" s="115" t="e">
        <f t="shared" si="3"/>
        <v>#VALUE!</v>
      </c>
      <c r="M24" s="115" t="e">
        <f t="shared" si="4"/>
        <v>#VALUE!</v>
      </c>
      <c r="N24" s="115" t="e">
        <f t="shared" si="5"/>
        <v>#VALUE!</v>
      </c>
      <c r="O24" s="115" t="e">
        <f t="shared" si="6"/>
        <v>#VALUE!</v>
      </c>
      <c r="P24" s="115" t="e">
        <f t="shared" si="20"/>
        <v>#VALUE!</v>
      </c>
      <c r="Q24" s="115" t="e">
        <f t="shared" si="21"/>
        <v>#VALUE!</v>
      </c>
      <c r="R24" s="115" t="e">
        <f t="shared" si="22"/>
        <v>#VALUE!</v>
      </c>
      <c r="S24" s="126" t="e">
        <f>FLOOR(MOD(divplanetlongitude(Charts2[[#This Row],[Asdt ]],9,1),30),1)</f>
        <v>#VALUE!</v>
      </c>
      <c r="T24" s="126" t="e">
        <f>FLOOR(MOD(divplanetlongitude(Charts2[[#This Row],[Sun ]],9,1),30),1)</f>
        <v>#VALUE!</v>
      </c>
      <c r="U24" s="126" t="e">
        <f>FLOOR(MOD(divplanetlongitude(Charts2[[#This Row],[Moon ]],9,1),30),1)</f>
        <v>#VALUE!</v>
      </c>
      <c r="V24" s="126" t="e">
        <f>FLOOR(MOD(divplanetlongitude(Charts2[[#This Row],[Mars ]],9,1),30),1)</f>
        <v>#VALUE!</v>
      </c>
      <c r="W24" s="126" t="e">
        <f>FLOOR(MOD(divplanetlongitude(Charts2[[#This Row],[Merc]],9,1),30),1)</f>
        <v>#VALUE!</v>
      </c>
      <c r="X24" s="126" t="e">
        <f>FLOOR(MOD(divplanetlongitude(Charts2[[#This Row],[Jupiter]],9,1),30),1)</f>
        <v>#VALUE!</v>
      </c>
      <c r="Y24" s="126" t="e">
        <f>FLOOR(MOD(divplanetlongitude(Charts2[[#This Row],[Venus ]],9,1),30),1)</f>
        <v>#VALUE!</v>
      </c>
      <c r="Z24" s="126" t="e">
        <f>FLOOR(MOD(divplanetlongitude(Charts2[[#This Row],[Saturn ]],9,1),30),1)</f>
        <v>#VALUE!</v>
      </c>
      <c r="AA24" s="126" t="e">
        <f>FLOOR(MOD(divplanetlongitude(Charts2[[#This Row],[Rahu ]],9,1),30),1)</f>
        <v>#VALUE!</v>
      </c>
      <c r="AB24" s="126" t="e">
        <f>FLOOR(MOD(Charts2[[#This Row],[Asdt ]],30),1)</f>
        <v>#VALUE!</v>
      </c>
      <c r="AC24" s="126" t="e">
        <f>FLOOR(MOD(Charts2[[#This Row],[Sun ]],30),1)</f>
        <v>#VALUE!</v>
      </c>
      <c r="AD24" s="126" t="e">
        <f>FLOOR(MOD(Charts2[[#This Row],[Moon ]],30),1)</f>
        <v>#VALUE!</v>
      </c>
      <c r="AE24" s="126" t="e">
        <f>FLOOR(MOD(Charts2[[#This Row],[Mars ]],30),1)</f>
        <v>#VALUE!</v>
      </c>
      <c r="AF24" s="126" t="e">
        <f>FLOOR(MOD(Charts2[[#This Row],[Merc]],30),1)</f>
        <v>#VALUE!</v>
      </c>
      <c r="AG24" s="126" t="e">
        <f>FLOOR(MOD(Charts2[[#This Row],[Jupiter]],30),1)</f>
        <v>#VALUE!</v>
      </c>
      <c r="AH24" s="126" t="e">
        <f>FLOOR(MOD(Charts2[[#This Row],[Venus ]],30),1)</f>
        <v>#VALUE!</v>
      </c>
      <c r="AI24" s="126" t="e">
        <f>FLOOR(MOD(Charts2[[#This Row],[Saturn ]],30),1)</f>
        <v>#VALUE!</v>
      </c>
      <c r="AJ24" s="126" t="e">
        <f>FLOOR(MOD(Charts2[[#This Row],[Rahu ]],30),1)</f>
        <v>#VALUE!</v>
      </c>
    </row>
    <row r="25" spans="2:36" ht="15.6" x14ac:dyDescent="0.3">
      <c r="B25" s="114">
        <f t="shared" si="13"/>
        <v>44571</v>
      </c>
      <c r="C25">
        <f t="shared" si="15"/>
        <v>5.5</v>
      </c>
      <c r="D25" s="109">
        <f t="shared" si="16"/>
        <v>19.066666666666666</v>
      </c>
      <c r="E25" s="109">
        <f t="shared" si="17"/>
        <v>72.86666666666666</v>
      </c>
      <c r="F25" s="107">
        <f t="shared" si="0"/>
        <v>44571.236111111117</v>
      </c>
      <c r="G25" s="106">
        <f t="shared" si="18"/>
        <v>0.22916666666666666</v>
      </c>
      <c r="H25" t="str">
        <f t="shared" si="19"/>
        <v>Monday</v>
      </c>
      <c r="I25" s="106">
        <v>0.46527777777777601</v>
      </c>
      <c r="J25" s="115" t="e">
        <f t="shared" si="9"/>
        <v>#VALUE!</v>
      </c>
      <c r="K25" s="115" t="e">
        <f t="shared" si="2"/>
        <v>#VALUE!</v>
      </c>
      <c r="L25" s="115" t="e">
        <f t="shared" si="3"/>
        <v>#VALUE!</v>
      </c>
      <c r="M25" s="115" t="e">
        <f t="shared" si="4"/>
        <v>#VALUE!</v>
      </c>
      <c r="N25" s="115" t="e">
        <f t="shared" si="5"/>
        <v>#VALUE!</v>
      </c>
      <c r="O25" s="115" t="e">
        <f t="shared" si="6"/>
        <v>#VALUE!</v>
      </c>
      <c r="P25" s="115" t="e">
        <f t="shared" si="20"/>
        <v>#VALUE!</v>
      </c>
      <c r="Q25" s="115" t="e">
        <f t="shared" si="21"/>
        <v>#VALUE!</v>
      </c>
      <c r="R25" s="115" t="e">
        <f t="shared" si="22"/>
        <v>#VALUE!</v>
      </c>
      <c r="S25" s="126" t="e">
        <f>FLOOR(MOD(divplanetlongitude(Charts2[[#This Row],[Asdt ]],9,1),30),1)</f>
        <v>#VALUE!</v>
      </c>
      <c r="T25" s="126" t="e">
        <f>FLOOR(MOD(divplanetlongitude(Charts2[[#This Row],[Sun ]],9,1),30),1)</f>
        <v>#VALUE!</v>
      </c>
      <c r="U25" s="126" t="e">
        <f>FLOOR(MOD(divplanetlongitude(Charts2[[#This Row],[Moon ]],9,1),30),1)</f>
        <v>#VALUE!</v>
      </c>
      <c r="V25" s="126" t="e">
        <f>FLOOR(MOD(divplanetlongitude(Charts2[[#This Row],[Mars ]],9,1),30),1)</f>
        <v>#VALUE!</v>
      </c>
      <c r="W25" s="126" t="e">
        <f>FLOOR(MOD(divplanetlongitude(Charts2[[#This Row],[Merc]],9,1),30),1)</f>
        <v>#VALUE!</v>
      </c>
      <c r="X25" s="126" t="e">
        <f>FLOOR(MOD(divplanetlongitude(Charts2[[#This Row],[Jupiter]],9,1),30),1)</f>
        <v>#VALUE!</v>
      </c>
      <c r="Y25" s="126" t="e">
        <f>FLOOR(MOD(divplanetlongitude(Charts2[[#This Row],[Venus ]],9,1),30),1)</f>
        <v>#VALUE!</v>
      </c>
      <c r="Z25" s="126" t="e">
        <f>FLOOR(MOD(divplanetlongitude(Charts2[[#This Row],[Saturn ]],9,1),30),1)</f>
        <v>#VALUE!</v>
      </c>
      <c r="AA25" s="126" t="e">
        <f>FLOOR(MOD(divplanetlongitude(Charts2[[#This Row],[Rahu ]],9,1),30),1)</f>
        <v>#VALUE!</v>
      </c>
      <c r="AB25" s="126" t="e">
        <f>FLOOR(MOD(Charts2[[#This Row],[Asdt ]],30),1)</f>
        <v>#VALUE!</v>
      </c>
      <c r="AC25" s="126" t="e">
        <f>FLOOR(MOD(Charts2[[#This Row],[Sun ]],30),1)</f>
        <v>#VALUE!</v>
      </c>
      <c r="AD25" s="126" t="e">
        <f>FLOOR(MOD(Charts2[[#This Row],[Moon ]],30),1)</f>
        <v>#VALUE!</v>
      </c>
      <c r="AE25" s="126" t="e">
        <f>FLOOR(MOD(Charts2[[#This Row],[Mars ]],30),1)</f>
        <v>#VALUE!</v>
      </c>
      <c r="AF25" s="126" t="e">
        <f>FLOOR(MOD(Charts2[[#This Row],[Merc]],30),1)</f>
        <v>#VALUE!</v>
      </c>
      <c r="AG25" s="126" t="e">
        <f>FLOOR(MOD(Charts2[[#This Row],[Jupiter]],30),1)</f>
        <v>#VALUE!</v>
      </c>
      <c r="AH25" s="126" t="e">
        <f>FLOOR(MOD(Charts2[[#This Row],[Venus ]],30),1)</f>
        <v>#VALUE!</v>
      </c>
      <c r="AI25" s="126" t="e">
        <f>FLOOR(MOD(Charts2[[#This Row],[Saturn ]],30),1)</f>
        <v>#VALUE!</v>
      </c>
      <c r="AJ25" s="126" t="e">
        <f>FLOOR(MOD(Charts2[[#This Row],[Rahu ]],30),1)</f>
        <v>#VALUE!</v>
      </c>
    </row>
    <row r="26" spans="2:36" ht="15.6" x14ac:dyDescent="0.3">
      <c r="B26" s="114">
        <f t="shared" si="13"/>
        <v>44571</v>
      </c>
      <c r="C26">
        <f t="shared" si="15"/>
        <v>5.5</v>
      </c>
      <c r="D26" s="109">
        <f t="shared" si="16"/>
        <v>19.066666666666666</v>
      </c>
      <c r="E26" s="109">
        <f t="shared" si="17"/>
        <v>72.86666666666666</v>
      </c>
      <c r="F26" s="107">
        <f t="shared" si="0"/>
        <v>44571.239583333336</v>
      </c>
      <c r="G26" s="106">
        <f t="shared" si="18"/>
        <v>0.22916666666666666</v>
      </c>
      <c r="H26" t="str">
        <f t="shared" si="19"/>
        <v>Monday</v>
      </c>
      <c r="I26" s="106">
        <v>0.468749999999998</v>
      </c>
      <c r="J26" s="115" t="e">
        <f t="shared" si="9"/>
        <v>#VALUE!</v>
      </c>
      <c r="K26" s="115" t="e">
        <f t="shared" si="2"/>
        <v>#VALUE!</v>
      </c>
      <c r="L26" s="115" t="e">
        <f t="shared" si="3"/>
        <v>#VALUE!</v>
      </c>
      <c r="M26" s="115" t="e">
        <f t="shared" si="4"/>
        <v>#VALUE!</v>
      </c>
      <c r="N26" s="115" t="e">
        <f t="shared" si="5"/>
        <v>#VALUE!</v>
      </c>
      <c r="O26" s="115" t="e">
        <f t="shared" si="6"/>
        <v>#VALUE!</v>
      </c>
      <c r="P26" s="115" t="e">
        <f t="shared" si="20"/>
        <v>#VALUE!</v>
      </c>
      <c r="Q26" s="115" t="e">
        <f t="shared" si="21"/>
        <v>#VALUE!</v>
      </c>
      <c r="R26" s="115" t="e">
        <f t="shared" si="22"/>
        <v>#VALUE!</v>
      </c>
      <c r="S26" s="126" t="e">
        <f>FLOOR(MOD(divplanetlongitude(Charts2[[#This Row],[Asdt ]],9,1),30),1)</f>
        <v>#VALUE!</v>
      </c>
      <c r="T26" s="126" t="e">
        <f>FLOOR(MOD(divplanetlongitude(Charts2[[#This Row],[Sun ]],9,1),30),1)</f>
        <v>#VALUE!</v>
      </c>
      <c r="U26" s="126" t="e">
        <f>FLOOR(MOD(divplanetlongitude(Charts2[[#This Row],[Moon ]],9,1),30),1)</f>
        <v>#VALUE!</v>
      </c>
      <c r="V26" s="126" t="e">
        <f>FLOOR(MOD(divplanetlongitude(Charts2[[#This Row],[Mars ]],9,1),30),1)</f>
        <v>#VALUE!</v>
      </c>
      <c r="W26" s="126" t="e">
        <f>FLOOR(MOD(divplanetlongitude(Charts2[[#This Row],[Merc]],9,1),30),1)</f>
        <v>#VALUE!</v>
      </c>
      <c r="X26" s="126" t="e">
        <f>FLOOR(MOD(divplanetlongitude(Charts2[[#This Row],[Jupiter]],9,1),30),1)</f>
        <v>#VALUE!</v>
      </c>
      <c r="Y26" s="126" t="e">
        <f>FLOOR(MOD(divplanetlongitude(Charts2[[#This Row],[Venus ]],9,1),30),1)</f>
        <v>#VALUE!</v>
      </c>
      <c r="Z26" s="126" t="e">
        <f>FLOOR(MOD(divplanetlongitude(Charts2[[#This Row],[Saturn ]],9,1),30),1)</f>
        <v>#VALUE!</v>
      </c>
      <c r="AA26" s="126" t="e">
        <f>FLOOR(MOD(divplanetlongitude(Charts2[[#This Row],[Rahu ]],9,1),30),1)</f>
        <v>#VALUE!</v>
      </c>
      <c r="AB26" s="126" t="e">
        <f>FLOOR(MOD(Charts2[[#This Row],[Asdt ]],30),1)</f>
        <v>#VALUE!</v>
      </c>
      <c r="AC26" s="126" t="e">
        <f>FLOOR(MOD(Charts2[[#This Row],[Sun ]],30),1)</f>
        <v>#VALUE!</v>
      </c>
      <c r="AD26" s="126" t="e">
        <f>FLOOR(MOD(Charts2[[#This Row],[Moon ]],30),1)</f>
        <v>#VALUE!</v>
      </c>
      <c r="AE26" s="126" t="e">
        <f>FLOOR(MOD(Charts2[[#This Row],[Mars ]],30),1)</f>
        <v>#VALUE!</v>
      </c>
      <c r="AF26" s="126" t="e">
        <f>FLOOR(MOD(Charts2[[#This Row],[Merc]],30),1)</f>
        <v>#VALUE!</v>
      </c>
      <c r="AG26" s="126" t="e">
        <f>FLOOR(MOD(Charts2[[#This Row],[Jupiter]],30),1)</f>
        <v>#VALUE!</v>
      </c>
      <c r="AH26" s="126" t="e">
        <f>FLOOR(MOD(Charts2[[#This Row],[Venus ]],30),1)</f>
        <v>#VALUE!</v>
      </c>
      <c r="AI26" s="126" t="e">
        <f>FLOOR(MOD(Charts2[[#This Row],[Saturn ]],30),1)</f>
        <v>#VALUE!</v>
      </c>
      <c r="AJ26" s="126" t="e">
        <f>FLOOR(MOD(Charts2[[#This Row],[Rahu ]],30),1)</f>
        <v>#VALUE!</v>
      </c>
    </row>
    <row r="27" spans="2:36" ht="15.6" x14ac:dyDescent="0.3">
      <c r="B27" s="114">
        <f t="shared" si="13"/>
        <v>44571</v>
      </c>
      <c r="C27">
        <f t="shared" si="15"/>
        <v>5.5</v>
      </c>
      <c r="D27" s="109">
        <f t="shared" si="16"/>
        <v>19.066666666666666</v>
      </c>
      <c r="E27" s="109">
        <f t="shared" si="17"/>
        <v>72.86666666666666</v>
      </c>
      <c r="F27" s="107">
        <f t="shared" si="0"/>
        <v>44571.243055555555</v>
      </c>
      <c r="G27" s="106">
        <f t="shared" si="18"/>
        <v>0.22916666666666666</v>
      </c>
      <c r="H27" t="str">
        <f t="shared" si="19"/>
        <v>Monday</v>
      </c>
      <c r="I27" s="106">
        <v>0.47222222222221999</v>
      </c>
      <c r="J27" s="115" t="e">
        <f t="shared" si="9"/>
        <v>#VALUE!</v>
      </c>
      <c r="K27" s="115" t="e">
        <f t="shared" si="2"/>
        <v>#VALUE!</v>
      </c>
      <c r="L27" s="115" t="e">
        <f t="shared" si="3"/>
        <v>#VALUE!</v>
      </c>
      <c r="M27" s="115" t="e">
        <f t="shared" si="4"/>
        <v>#VALUE!</v>
      </c>
      <c r="N27" s="115" t="e">
        <f t="shared" si="5"/>
        <v>#VALUE!</v>
      </c>
      <c r="O27" s="115" t="e">
        <f t="shared" si="6"/>
        <v>#VALUE!</v>
      </c>
      <c r="P27" s="115" t="e">
        <f t="shared" si="20"/>
        <v>#VALUE!</v>
      </c>
      <c r="Q27" s="115" t="e">
        <f t="shared" si="21"/>
        <v>#VALUE!</v>
      </c>
      <c r="R27" s="115" t="e">
        <f t="shared" si="22"/>
        <v>#VALUE!</v>
      </c>
      <c r="S27" s="126" t="e">
        <f>FLOOR(MOD(divplanetlongitude(Charts2[[#This Row],[Asdt ]],9,1),30),1)</f>
        <v>#VALUE!</v>
      </c>
      <c r="T27" s="126" t="e">
        <f>FLOOR(MOD(divplanetlongitude(Charts2[[#This Row],[Sun ]],9,1),30),1)</f>
        <v>#VALUE!</v>
      </c>
      <c r="U27" s="126" t="e">
        <f>FLOOR(MOD(divplanetlongitude(Charts2[[#This Row],[Moon ]],9,1),30),1)</f>
        <v>#VALUE!</v>
      </c>
      <c r="V27" s="126" t="e">
        <f>FLOOR(MOD(divplanetlongitude(Charts2[[#This Row],[Mars ]],9,1),30),1)</f>
        <v>#VALUE!</v>
      </c>
      <c r="W27" s="126" t="e">
        <f>FLOOR(MOD(divplanetlongitude(Charts2[[#This Row],[Merc]],9,1),30),1)</f>
        <v>#VALUE!</v>
      </c>
      <c r="X27" s="126" t="e">
        <f>FLOOR(MOD(divplanetlongitude(Charts2[[#This Row],[Jupiter]],9,1),30),1)</f>
        <v>#VALUE!</v>
      </c>
      <c r="Y27" s="126" t="e">
        <f>FLOOR(MOD(divplanetlongitude(Charts2[[#This Row],[Venus ]],9,1),30),1)</f>
        <v>#VALUE!</v>
      </c>
      <c r="Z27" s="126" t="e">
        <f>FLOOR(MOD(divplanetlongitude(Charts2[[#This Row],[Saturn ]],9,1),30),1)</f>
        <v>#VALUE!</v>
      </c>
      <c r="AA27" s="126" t="e">
        <f>FLOOR(MOD(divplanetlongitude(Charts2[[#This Row],[Rahu ]],9,1),30),1)</f>
        <v>#VALUE!</v>
      </c>
      <c r="AB27" s="126" t="e">
        <f>FLOOR(MOD(Charts2[[#This Row],[Asdt ]],30),1)</f>
        <v>#VALUE!</v>
      </c>
      <c r="AC27" s="126" t="e">
        <f>FLOOR(MOD(Charts2[[#This Row],[Sun ]],30),1)</f>
        <v>#VALUE!</v>
      </c>
      <c r="AD27" s="126" t="e">
        <f>FLOOR(MOD(Charts2[[#This Row],[Moon ]],30),1)</f>
        <v>#VALUE!</v>
      </c>
      <c r="AE27" s="126" t="e">
        <f>FLOOR(MOD(Charts2[[#This Row],[Mars ]],30),1)</f>
        <v>#VALUE!</v>
      </c>
      <c r="AF27" s="126" t="e">
        <f>FLOOR(MOD(Charts2[[#This Row],[Merc]],30),1)</f>
        <v>#VALUE!</v>
      </c>
      <c r="AG27" s="126" t="e">
        <f>FLOOR(MOD(Charts2[[#This Row],[Jupiter]],30),1)</f>
        <v>#VALUE!</v>
      </c>
      <c r="AH27" s="126" t="e">
        <f>FLOOR(MOD(Charts2[[#This Row],[Venus ]],30),1)</f>
        <v>#VALUE!</v>
      </c>
      <c r="AI27" s="126" t="e">
        <f>FLOOR(MOD(Charts2[[#This Row],[Saturn ]],30),1)</f>
        <v>#VALUE!</v>
      </c>
      <c r="AJ27" s="126" t="e">
        <f>FLOOR(MOD(Charts2[[#This Row],[Rahu ]],30),1)</f>
        <v>#VALUE!</v>
      </c>
    </row>
    <row r="28" spans="2:36" ht="15.6" x14ac:dyDescent="0.3">
      <c r="B28" s="114">
        <f t="shared" si="13"/>
        <v>44571</v>
      </c>
      <c r="C28">
        <f t="shared" si="15"/>
        <v>5.5</v>
      </c>
      <c r="D28" s="109">
        <f t="shared" si="16"/>
        <v>19.066666666666666</v>
      </c>
      <c r="E28" s="109">
        <f t="shared" si="17"/>
        <v>72.86666666666666</v>
      </c>
      <c r="F28" s="107">
        <f t="shared" ref="F28:F59" si="23">B28+I28-C28/24</f>
        <v>44571.246527777781</v>
      </c>
      <c r="G28" s="106">
        <f t="shared" si="18"/>
        <v>0.22916666666666666</v>
      </c>
      <c r="H28" t="str">
        <f t="shared" si="19"/>
        <v>Monday</v>
      </c>
      <c r="I28" s="106">
        <v>0.47569444444444198</v>
      </c>
      <c r="J28" s="115" t="e">
        <f t="shared" ref="J28:J59" si="24">(Asdt(D28,E28,F28))</f>
        <v>#VALUE!</v>
      </c>
      <c r="K28" s="115" t="e">
        <f t="shared" ref="K28:K59" si="25">(Planet(F28,0))</f>
        <v>#VALUE!</v>
      </c>
      <c r="L28" s="115" t="e">
        <f t="shared" ref="L28:L59" si="26">(Planet(F28,1))</f>
        <v>#VALUE!</v>
      </c>
      <c r="M28" s="115" t="e">
        <f t="shared" ref="M28:M59" si="27">(Planet(F28,4))</f>
        <v>#VALUE!</v>
      </c>
      <c r="N28" s="115" t="e">
        <f t="shared" ref="N28:N59" si="28">(Planet(F28,2))</f>
        <v>#VALUE!</v>
      </c>
      <c r="O28" s="115" t="e">
        <f t="shared" ref="O28:O59" si="29">(Planet(F28,5))</f>
        <v>#VALUE!</v>
      </c>
      <c r="P28" s="115" t="e">
        <f t="shared" si="20"/>
        <v>#VALUE!</v>
      </c>
      <c r="Q28" s="115" t="e">
        <f t="shared" si="21"/>
        <v>#VALUE!</v>
      </c>
      <c r="R28" s="115" t="e">
        <f t="shared" si="22"/>
        <v>#VALUE!</v>
      </c>
      <c r="S28" s="126" t="e">
        <f>FLOOR(MOD(divplanetlongitude(Charts2[[#This Row],[Asdt ]],9,1),30),1)</f>
        <v>#VALUE!</v>
      </c>
      <c r="T28" s="126" t="e">
        <f>FLOOR(MOD(divplanetlongitude(Charts2[[#This Row],[Sun ]],9,1),30),1)</f>
        <v>#VALUE!</v>
      </c>
      <c r="U28" s="126" t="e">
        <f>FLOOR(MOD(divplanetlongitude(Charts2[[#This Row],[Moon ]],9,1),30),1)</f>
        <v>#VALUE!</v>
      </c>
      <c r="V28" s="126" t="e">
        <f>FLOOR(MOD(divplanetlongitude(Charts2[[#This Row],[Mars ]],9,1),30),1)</f>
        <v>#VALUE!</v>
      </c>
      <c r="W28" s="126" t="e">
        <f>FLOOR(MOD(divplanetlongitude(Charts2[[#This Row],[Merc]],9,1),30),1)</f>
        <v>#VALUE!</v>
      </c>
      <c r="X28" s="126" t="e">
        <f>FLOOR(MOD(divplanetlongitude(Charts2[[#This Row],[Jupiter]],9,1),30),1)</f>
        <v>#VALUE!</v>
      </c>
      <c r="Y28" s="126" t="e">
        <f>FLOOR(MOD(divplanetlongitude(Charts2[[#This Row],[Venus ]],9,1),30),1)</f>
        <v>#VALUE!</v>
      </c>
      <c r="Z28" s="126" t="e">
        <f>FLOOR(MOD(divplanetlongitude(Charts2[[#This Row],[Saturn ]],9,1),30),1)</f>
        <v>#VALUE!</v>
      </c>
      <c r="AA28" s="126" t="e">
        <f>FLOOR(MOD(divplanetlongitude(Charts2[[#This Row],[Rahu ]],9,1),30),1)</f>
        <v>#VALUE!</v>
      </c>
      <c r="AB28" s="126" t="e">
        <f>FLOOR(MOD(Charts2[[#This Row],[Asdt ]],30),1)</f>
        <v>#VALUE!</v>
      </c>
      <c r="AC28" s="126" t="e">
        <f>FLOOR(MOD(Charts2[[#This Row],[Sun ]],30),1)</f>
        <v>#VALUE!</v>
      </c>
      <c r="AD28" s="126" t="e">
        <f>FLOOR(MOD(Charts2[[#This Row],[Moon ]],30),1)</f>
        <v>#VALUE!</v>
      </c>
      <c r="AE28" s="126" t="e">
        <f>FLOOR(MOD(Charts2[[#This Row],[Mars ]],30),1)</f>
        <v>#VALUE!</v>
      </c>
      <c r="AF28" s="126" t="e">
        <f>FLOOR(MOD(Charts2[[#This Row],[Merc]],30),1)</f>
        <v>#VALUE!</v>
      </c>
      <c r="AG28" s="126" t="e">
        <f>FLOOR(MOD(Charts2[[#This Row],[Jupiter]],30),1)</f>
        <v>#VALUE!</v>
      </c>
      <c r="AH28" s="126" t="e">
        <f>FLOOR(MOD(Charts2[[#This Row],[Venus ]],30),1)</f>
        <v>#VALUE!</v>
      </c>
      <c r="AI28" s="126" t="e">
        <f>FLOOR(MOD(Charts2[[#This Row],[Saturn ]],30),1)</f>
        <v>#VALUE!</v>
      </c>
      <c r="AJ28" s="126" t="e">
        <f>FLOOR(MOD(Charts2[[#This Row],[Rahu ]],30),1)</f>
        <v>#VALUE!</v>
      </c>
    </row>
    <row r="29" spans="2:36" ht="15.6" x14ac:dyDescent="0.3">
      <c r="B29" s="114">
        <f t="shared" si="13"/>
        <v>44571</v>
      </c>
      <c r="C29">
        <f t="shared" si="15"/>
        <v>5.5</v>
      </c>
      <c r="D29" s="109">
        <f t="shared" si="16"/>
        <v>19.066666666666666</v>
      </c>
      <c r="E29" s="109">
        <f t="shared" si="17"/>
        <v>72.86666666666666</v>
      </c>
      <c r="F29" s="107">
        <f t="shared" si="23"/>
        <v>44571.25</v>
      </c>
      <c r="G29" s="106">
        <f t="shared" si="18"/>
        <v>0.22916666666666666</v>
      </c>
      <c r="H29" t="str">
        <f t="shared" si="19"/>
        <v>Monday</v>
      </c>
      <c r="I29" s="106">
        <v>0.47916666666666402</v>
      </c>
      <c r="J29" s="115" t="e">
        <f t="shared" si="24"/>
        <v>#VALUE!</v>
      </c>
      <c r="K29" s="115" t="e">
        <f t="shared" si="25"/>
        <v>#VALUE!</v>
      </c>
      <c r="L29" s="115" t="e">
        <f t="shared" si="26"/>
        <v>#VALUE!</v>
      </c>
      <c r="M29" s="115" t="e">
        <f t="shared" si="27"/>
        <v>#VALUE!</v>
      </c>
      <c r="N29" s="115" t="e">
        <f t="shared" si="28"/>
        <v>#VALUE!</v>
      </c>
      <c r="O29" s="115" t="e">
        <f t="shared" si="29"/>
        <v>#VALUE!</v>
      </c>
      <c r="P29" s="115" t="e">
        <f t="shared" si="20"/>
        <v>#VALUE!</v>
      </c>
      <c r="Q29" s="115" t="e">
        <f t="shared" si="21"/>
        <v>#VALUE!</v>
      </c>
      <c r="R29" s="115" t="e">
        <f t="shared" si="22"/>
        <v>#VALUE!</v>
      </c>
      <c r="S29" s="126" t="e">
        <f>FLOOR(MOD(divplanetlongitude(Charts2[[#This Row],[Asdt ]],9,1),30),1)</f>
        <v>#VALUE!</v>
      </c>
      <c r="T29" s="126" t="e">
        <f>FLOOR(MOD(divplanetlongitude(Charts2[[#This Row],[Sun ]],9,1),30),1)</f>
        <v>#VALUE!</v>
      </c>
      <c r="U29" s="126" t="e">
        <f>FLOOR(MOD(divplanetlongitude(Charts2[[#This Row],[Moon ]],9,1),30),1)</f>
        <v>#VALUE!</v>
      </c>
      <c r="V29" s="126" t="e">
        <f>FLOOR(MOD(divplanetlongitude(Charts2[[#This Row],[Mars ]],9,1),30),1)</f>
        <v>#VALUE!</v>
      </c>
      <c r="W29" s="126" t="e">
        <f>FLOOR(MOD(divplanetlongitude(Charts2[[#This Row],[Merc]],9,1),30),1)</f>
        <v>#VALUE!</v>
      </c>
      <c r="X29" s="126" t="e">
        <f>FLOOR(MOD(divplanetlongitude(Charts2[[#This Row],[Jupiter]],9,1),30),1)</f>
        <v>#VALUE!</v>
      </c>
      <c r="Y29" s="126" t="e">
        <f>FLOOR(MOD(divplanetlongitude(Charts2[[#This Row],[Venus ]],9,1),30),1)</f>
        <v>#VALUE!</v>
      </c>
      <c r="Z29" s="126" t="e">
        <f>FLOOR(MOD(divplanetlongitude(Charts2[[#This Row],[Saturn ]],9,1),30),1)</f>
        <v>#VALUE!</v>
      </c>
      <c r="AA29" s="126" t="e">
        <f>FLOOR(MOD(divplanetlongitude(Charts2[[#This Row],[Rahu ]],9,1),30),1)</f>
        <v>#VALUE!</v>
      </c>
      <c r="AB29" s="126" t="e">
        <f>FLOOR(MOD(Charts2[[#This Row],[Asdt ]],30),1)</f>
        <v>#VALUE!</v>
      </c>
      <c r="AC29" s="126" t="e">
        <f>FLOOR(MOD(Charts2[[#This Row],[Sun ]],30),1)</f>
        <v>#VALUE!</v>
      </c>
      <c r="AD29" s="126" t="e">
        <f>FLOOR(MOD(Charts2[[#This Row],[Moon ]],30),1)</f>
        <v>#VALUE!</v>
      </c>
      <c r="AE29" s="126" t="e">
        <f>FLOOR(MOD(Charts2[[#This Row],[Mars ]],30),1)</f>
        <v>#VALUE!</v>
      </c>
      <c r="AF29" s="126" t="e">
        <f>FLOOR(MOD(Charts2[[#This Row],[Merc]],30),1)</f>
        <v>#VALUE!</v>
      </c>
      <c r="AG29" s="126" t="e">
        <f>FLOOR(MOD(Charts2[[#This Row],[Jupiter]],30),1)</f>
        <v>#VALUE!</v>
      </c>
      <c r="AH29" s="126" t="e">
        <f>FLOOR(MOD(Charts2[[#This Row],[Venus ]],30),1)</f>
        <v>#VALUE!</v>
      </c>
      <c r="AI29" s="126" t="e">
        <f>FLOOR(MOD(Charts2[[#This Row],[Saturn ]],30),1)</f>
        <v>#VALUE!</v>
      </c>
      <c r="AJ29" s="126" t="e">
        <f>FLOOR(MOD(Charts2[[#This Row],[Rahu ]],30),1)</f>
        <v>#VALUE!</v>
      </c>
    </row>
    <row r="30" spans="2:36" ht="15.6" x14ac:dyDescent="0.3">
      <c r="B30" s="114">
        <f t="shared" si="13"/>
        <v>44571</v>
      </c>
      <c r="C30">
        <f t="shared" si="15"/>
        <v>5.5</v>
      </c>
      <c r="D30" s="109">
        <f t="shared" si="16"/>
        <v>19.066666666666666</v>
      </c>
      <c r="E30" s="109">
        <f t="shared" si="17"/>
        <v>72.86666666666666</v>
      </c>
      <c r="F30" s="107">
        <f t="shared" si="23"/>
        <v>44571.253472222226</v>
      </c>
      <c r="G30" s="106">
        <f t="shared" si="18"/>
        <v>0.22916666666666666</v>
      </c>
      <c r="H30" t="str">
        <f t="shared" si="19"/>
        <v>Monday</v>
      </c>
      <c r="I30" s="106">
        <v>0.48263888888888601</v>
      </c>
      <c r="J30" s="115" t="e">
        <f t="shared" si="24"/>
        <v>#VALUE!</v>
      </c>
      <c r="K30" s="115" t="e">
        <f t="shared" si="25"/>
        <v>#VALUE!</v>
      </c>
      <c r="L30" s="115" t="e">
        <f t="shared" si="26"/>
        <v>#VALUE!</v>
      </c>
      <c r="M30" s="115" t="e">
        <f t="shared" si="27"/>
        <v>#VALUE!</v>
      </c>
      <c r="N30" s="115" t="e">
        <f t="shared" si="28"/>
        <v>#VALUE!</v>
      </c>
      <c r="O30" s="115" t="e">
        <f t="shared" si="29"/>
        <v>#VALUE!</v>
      </c>
      <c r="P30" s="115" t="e">
        <f t="shared" si="20"/>
        <v>#VALUE!</v>
      </c>
      <c r="Q30" s="115" t="e">
        <f t="shared" si="21"/>
        <v>#VALUE!</v>
      </c>
      <c r="R30" s="115" t="e">
        <f t="shared" si="22"/>
        <v>#VALUE!</v>
      </c>
      <c r="S30" s="126" t="e">
        <f>FLOOR(MOD(divplanetlongitude(Charts2[[#This Row],[Asdt ]],9,1),30),1)</f>
        <v>#VALUE!</v>
      </c>
      <c r="T30" s="126" t="e">
        <f>FLOOR(MOD(divplanetlongitude(Charts2[[#This Row],[Sun ]],9,1),30),1)</f>
        <v>#VALUE!</v>
      </c>
      <c r="U30" s="126" t="e">
        <f>FLOOR(MOD(divplanetlongitude(Charts2[[#This Row],[Moon ]],9,1),30),1)</f>
        <v>#VALUE!</v>
      </c>
      <c r="V30" s="126" t="e">
        <f>FLOOR(MOD(divplanetlongitude(Charts2[[#This Row],[Mars ]],9,1),30),1)</f>
        <v>#VALUE!</v>
      </c>
      <c r="W30" s="126" t="e">
        <f>FLOOR(MOD(divplanetlongitude(Charts2[[#This Row],[Merc]],9,1),30),1)</f>
        <v>#VALUE!</v>
      </c>
      <c r="X30" s="126" t="e">
        <f>FLOOR(MOD(divplanetlongitude(Charts2[[#This Row],[Jupiter]],9,1),30),1)</f>
        <v>#VALUE!</v>
      </c>
      <c r="Y30" s="126" t="e">
        <f>FLOOR(MOD(divplanetlongitude(Charts2[[#This Row],[Venus ]],9,1),30),1)</f>
        <v>#VALUE!</v>
      </c>
      <c r="Z30" s="126" t="e">
        <f>FLOOR(MOD(divplanetlongitude(Charts2[[#This Row],[Saturn ]],9,1),30),1)</f>
        <v>#VALUE!</v>
      </c>
      <c r="AA30" s="126" t="e">
        <f>FLOOR(MOD(divplanetlongitude(Charts2[[#This Row],[Rahu ]],9,1),30),1)</f>
        <v>#VALUE!</v>
      </c>
      <c r="AB30" s="126" t="e">
        <f>FLOOR(MOD(Charts2[[#This Row],[Asdt ]],30),1)</f>
        <v>#VALUE!</v>
      </c>
      <c r="AC30" s="126" t="e">
        <f>FLOOR(MOD(Charts2[[#This Row],[Sun ]],30),1)</f>
        <v>#VALUE!</v>
      </c>
      <c r="AD30" s="126" t="e">
        <f>FLOOR(MOD(Charts2[[#This Row],[Moon ]],30),1)</f>
        <v>#VALUE!</v>
      </c>
      <c r="AE30" s="126" t="e">
        <f>FLOOR(MOD(Charts2[[#This Row],[Mars ]],30),1)</f>
        <v>#VALUE!</v>
      </c>
      <c r="AF30" s="126" t="e">
        <f>FLOOR(MOD(Charts2[[#This Row],[Merc]],30),1)</f>
        <v>#VALUE!</v>
      </c>
      <c r="AG30" s="126" t="e">
        <f>FLOOR(MOD(Charts2[[#This Row],[Jupiter]],30),1)</f>
        <v>#VALUE!</v>
      </c>
      <c r="AH30" s="126" t="e">
        <f>FLOOR(MOD(Charts2[[#This Row],[Venus ]],30),1)</f>
        <v>#VALUE!</v>
      </c>
      <c r="AI30" s="126" t="e">
        <f>FLOOR(MOD(Charts2[[#This Row],[Saturn ]],30),1)</f>
        <v>#VALUE!</v>
      </c>
      <c r="AJ30" s="126" t="e">
        <f>FLOOR(MOD(Charts2[[#This Row],[Rahu ]],30),1)</f>
        <v>#VALUE!</v>
      </c>
    </row>
    <row r="31" spans="2:36" ht="15.6" x14ac:dyDescent="0.3">
      <c r="B31" s="114">
        <f t="shared" si="13"/>
        <v>44571</v>
      </c>
      <c r="C31">
        <f t="shared" si="15"/>
        <v>5.5</v>
      </c>
      <c r="D31" s="109">
        <f t="shared" si="16"/>
        <v>19.066666666666666</v>
      </c>
      <c r="E31" s="109">
        <f t="shared" si="17"/>
        <v>72.86666666666666</v>
      </c>
      <c r="F31" s="107">
        <f t="shared" si="23"/>
        <v>44571.256944444445</v>
      </c>
      <c r="G31" s="106">
        <f t="shared" si="18"/>
        <v>0.22916666666666666</v>
      </c>
      <c r="H31" t="str">
        <f t="shared" si="19"/>
        <v>Monday</v>
      </c>
      <c r="I31" s="106">
        <v>0.486111111111108</v>
      </c>
      <c r="J31" s="115" t="e">
        <f t="shared" si="24"/>
        <v>#VALUE!</v>
      </c>
      <c r="K31" s="115" t="e">
        <f t="shared" si="25"/>
        <v>#VALUE!</v>
      </c>
      <c r="L31" s="115" t="e">
        <f t="shared" si="26"/>
        <v>#VALUE!</v>
      </c>
      <c r="M31" s="115" t="e">
        <f t="shared" si="27"/>
        <v>#VALUE!</v>
      </c>
      <c r="N31" s="115" t="e">
        <f t="shared" si="28"/>
        <v>#VALUE!</v>
      </c>
      <c r="O31" s="115" t="e">
        <f t="shared" si="29"/>
        <v>#VALUE!</v>
      </c>
      <c r="P31" s="115" t="e">
        <f t="shared" si="20"/>
        <v>#VALUE!</v>
      </c>
      <c r="Q31" s="115" t="e">
        <f t="shared" si="21"/>
        <v>#VALUE!</v>
      </c>
      <c r="R31" s="115" t="e">
        <f t="shared" si="22"/>
        <v>#VALUE!</v>
      </c>
      <c r="S31" s="126" t="e">
        <f>FLOOR(MOD(divplanetlongitude(Charts2[[#This Row],[Asdt ]],9,1),30),1)</f>
        <v>#VALUE!</v>
      </c>
      <c r="T31" s="126" t="e">
        <f>FLOOR(MOD(divplanetlongitude(Charts2[[#This Row],[Sun ]],9,1),30),1)</f>
        <v>#VALUE!</v>
      </c>
      <c r="U31" s="126" t="e">
        <f>FLOOR(MOD(divplanetlongitude(Charts2[[#This Row],[Moon ]],9,1),30),1)</f>
        <v>#VALUE!</v>
      </c>
      <c r="V31" s="126" t="e">
        <f>FLOOR(MOD(divplanetlongitude(Charts2[[#This Row],[Mars ]],9,1),30),1)</f>
        <v>#VALUE!</v>
      </c>
      <c r="W31" s="126" t="e">
        <f>FLOOR(MOD(divplanetlongitude(Charts2[[#This Row],[Merc]],9,1),30),1)</f>
        <v>#VALUE!</v>
      </c>
      <c r="X31" s="126" t="e">
        <f>FLOOR(MOD(divplanetlongitude(Charts2[[#This Row],[Jupiter]],9,1),30),1)</f>
        <v>#VALUE!</v>
      </c>
      <c r="Y31" s="126" t="e">
        <f>FLOOR(MOD(divplanetlongitude(Charts2[[#This Row],[Venus ]],9,1),30),1)</f>
        <v>#VALUE!</v>
      </c>
      <c r="Z31" s="126" t="e">
        <f>FLOOR(MOD(divplanetlongitude(Charts2[[#This Row],[Saturn ]],9,1),30),1)</f>
        <v>#VALUE!</v>
      </c>
      <c r="AA31" s="126" t="e">
        <f>FLOOR(MOD(divplanetlongitude(Charts2[[#This Row],[Rahu ]],9,1),30),1)</f>
        <v>#VALUE!</v>
      </c>
      <c r="AB31" s="126" t="e">
        <f>FLOOR(MOD(Charts2[[#This Row],[Asdt ]],30),1)</f>
        <v>#VALUE!</v>
      </c>
      <c r="AC31" s="126" t="e">
        <f>FLOOR(MOD(Charts2[[#This Row],[Sun ]],30),1)</f>
        <v>#VALUE!</v>
      </c>
      <c r="AD31" s="126" t="e">
        <f>FLOOR(MOD(Charts2[[#This Row],[Moon ]],30),1)</f>
        <v>#VALUE!</v>
      </c>
      <c r="AE31" s="126" t="e">
        <f>FLOOR(MOD(Charts2[[#This Row],[Mars ]],30),1)</f>
        <v>#VALUE!</v>
      </c>
      <c r="AF31" s="126" t="e">
        <f>FLOOR(MOD(Charts2[[#This Row],[Merc]],30),1)</f>
        <v>#VALUE!</v>
      </c>
      <c r="AG31" s="126" t="e">
        <f>FLOOR(MOD(Charts2[[#This Row],[Jupiter]],30),1)</f>
        <v>#VALUE!</v>
      </c>
      <c r="AH31" s="126" t="e">
        <f>FLOOR(MOD(Charts2[[#This Row],[Venus ]],30),1)</f>
        <v>#VALUE!</v>
      </c>
      <c r="AI31" s="126" t="e">
        <f>FLOOR(MOD(Charts2[[#This Row],[Saturn ]],30),1)</f>
        <v>#VALUE!</v>
      </c>
      <c r="AJ31" s="126" t="e">
        <f>FLOOR(MOD(Charts2[[#This Row],[Rahu ]],30),1)</f>
        <v>#VALUE!</v>
      </c>
    </row>
    <row r="32" spans="2:36" ht="15.6" x14ac:dyDescent="0.3">
      <c r="B32" s="114">
        <f t="shared" si="13"/>
        <v>44571</v>
      </c>
      <c r="C32">
        <f t="shared" si="15"/>
        <v>5.5</v>
      </c>
      <c r="D32" s="109">
        <f t="shared" si="16"/>
        <v>19.066666666666666</v>
      </c>
      <c r="E32" s="109">
        <f t="shared" si="17"/>
        <v>72.86666666666666</v>
      </c>
      <c r="F32" s="107">
        <f t="shared" si="23"/>
        <v>44571.260416666672</v>
      </c>
      <c r="G32" s="106">
        <f t="shared" si="18"/>
        <v>0.22916666666666666</v>
      </c>
      <c r="H32" t="str">
        <f t="shared" si="19"/>
        <v>Monday</v>
      </c>
      <c r="I32" s="106">
        <v>0.48958333333332998</v>
      </c>
      <c r="J32" s="115" t="e">
        <f t="shared" si="24"/>
        <v>#VALUE!</v>
      </c>
      <c r="K32" s="115" t="e">
        <f t="shared" si="25"/>
        <v>#VALUE!</v>
      </c>
      <c r="L32" s="115" t="e">
        <f t="shared" si="26"/>
        <v>#VALUE!</v>
      </c>
      <c r="M32" s="115" t="e">
        <f t="shared" si="27"/>
        <v>#VALUE!</v>
      </c>
      <c r="N32" s="115" t="e">
        <f t="shared" si="28"/>
        <v>#VALUE!</v>
      </c>
      <c r="O32" s="115" t="e">
        <f t="shared" si="29"/>
        <v>#VALUE!</v>
      </c>
      <c r="P32" s="115" t="e">
        <f t="shared" si="20"/>
        <v>#VALUE!</v>
      </c>
      <c r="Q32" s="115" t="e">
        <f t="shared" si="21"/>
        <v>#VALUE!</v>
      </c>
      <c r="R32" s="115" t="e">
        <f t="shared" si="22"/>
        <v>#VALUE!</v>
      </c>
      <c r="S32" s="126" t="e">
        <f>FLOOR(MOD(divplanetlongitude(Charts2[[#This Row],[Asdt ]],9,1),30),1)</f>
        <v>#VALUE!</v>
      </c>
      <c r="T32" s="126" t="e">
        <f>FLOOR(MOD(divplanetlongitude(Charts2[[#This Row],[Sun ]],9,1),30),1)</f>
        <v>#VALUE!</v>
      </c>
      <c r="U32" s="126" t="e">
        <f>FLOOR(MOD(divplanetlongitude(Charts2[[#This Row],[Moon ]],9,1),30),1)</f>
        <v>#VALUE!</v>
      </c>
      <c r="V32" s="126" t="e">
        <f>FLOOR(MOD(divplanetlongitude(Charts2[[#This Row],[Mars ]],9,1),30),1)</f>
        <v>#VALUE!</v>
      </c>
      <c r="W32" s="126" t="e">
        <f>FLOOR(MOD(divplanetlongitude(Charts2[[#This Row],[Merc]],9,1),30),1)</f>
        <v>#VALUE!</v>
      </c>
      <c r="X32" s="126" t="e">
        <f>FLOOR(MOD(divplanetlongitude(Charts2[[#This Row],[Jupiter]],9,1),30),1)</f>
        <v>#VALUE!</v>
      </c>
      <c r="Y32" s="126" t="e">
        <f>FLOOR(MOD(divplanetlongitude(Charts2[[#This Row],[Venus ]],9,1),30),1)</f>
        <v>#VALUE!</v>
      </c>
      <c r="Z32" s="126" t="e">
        <f>FLOOR(MOD(divplanetlongitude(Charts2[[#This Row],[Saturn ]],9,1),30),1)</f>
        <v>#VALUE!</v>
      </c>
      <c r="AA32" s="126" t="e">
        <f>FLOOR(MOD(divplanetlongitude(Charts2[[#This Row],[Rahu ]],9,1),30),1)</f>
        <v>#VALUE!</v>
      </c>
      <c r="AB32" s="126" t="e">
        <f>FLOOR(MOD(Charts2[[#This Row],[Asdt ]],30),1)</f>
        <v>#VALUE!</v>
      </c>
      <c r="AC32" s="126" t="e">
        <f>FLOOR(MOD(Charts2[[#This Row],[Sun ]],30),1)</f>
        <v>#VALUE!</v>
      </c>
      <c r="AD32" s="126" t="e">
        <f>FLOOR(MOD(Charts2[[#This Row],[Moon ]],30),1)</f>
        <v>#VALUE!</v>
      </c>
      <c r="AE32" s="126" t="e">
        <f>FLOOR(MOD(Charts2[[#This Row],[Mars ]],30),1)</f>
        <v>#VALUE!</v>
      </c>
      <c r="AF32" s="126" t="e">
        <f>FLOOR(MOD(Charts2[[#This Row],[Merc]],30),1)</f>
        <v>#VALUE!</v>
      </c>
      <c r="AG32" s="126" t="e">
        <f>FLOOR(MOD(Charts2[[#This Row],[Jupiter]],30),1)</f>
        <v>#VALUE!</v>
      </c>
      <c r="AH32" s="126" t="e">
        <f>FLOOR(MOD(Charts2[[#This Row],[Venus ]],30),1)</f>
        <v>#VALUE!</v>
      </c>
      <c r="AI32" s="126" t="e">
        <f>FLOOR(MOD(Charts2[[#This Row],[Saturn ]],30),1)</f>
        <v>#VALUE!</v>
      </c>
      <c r="AJ32" s="126" t="e">
        <f>FLOOR(MOD(Charts2[[#This Row],[Rahu ]],30),1)</f>
        <v>#VALUE!</v>
      </c>
    </row>
    <row r="33" spans="2:36" ht="15.6" x14ac:dyDescent="0.3">
      <c r="B33" s="114">
        <f t="shared" si="13"/>
        <v>44571</v>
      </c>
      <c r="C33">
        <f t="shared" si="15"/>
        <v>5.5</v>
      </c>
      <c r="D33" s="109">
        <f t="shared" si="16"/>
        <v>19.066666666666666</v>
      </c>
      <c r="E33" s="109">
        <f t="shared" si="17"/>
        <v>72.86666666666666</v>
      </c>
      <c r="F33" s="107">
        <f t="shared" si="23"/>
        <v>44571.263888888891</v>
      </c>
      <c r="G33" s="106">
        <f t="shared" si="18"/>
        <v>0.22916666666666666</v>
      </c>
      <c r="H33" t="str">
        <f t="shared" si="19"/>
        <v>Monday</v>
      </c>
      <c r="I33" s="106">
        <v>0.49305555555555203</v>
      </c>
      <c r="J33" s="115" t="e">
        <f t="shared" si="24"/>
        <v>#VALUE!</v>
      </c>
      <c r="K33" s="115" t="e">
        <f t="shared" si="25"/>
        <v>#VALUE!</v>
      </c>
      <c r="L33" s="115" t="e">
        <f t="shared" si="26"/>
        <v>#VALUE!</v>
      </c>
      <c r="M33" s="115" t="e">
        <f t="shared" si="27"/>
        <v>#VALUE!</v>
      </c>
      <c r="N33" s="115" t="e">
        <f t="shared" si="28"/>
        <v>#VALUE!</v>
      </c>
      <c r="O33" s="115" t="e">
        <f t="shared" si="29"/>
        <v>#VALUE!</v>
      </c>
      <c r="P33" s="115" t="e">
        <f t="shared" si="20"/>
        <v>#VALUE!</v>
      </c>
      <c r="Q33" s="115" t="e">
        <f t="shared" si="21"/>
        <v>#VALUE!</v>
      </c>
      <c r="R33" s="115" t="e">
        <f t="shared" si="22"/>
        <v>#VALUE!</v>
      </c>
      <c r="S33" s="126" t="e">
        <f>FLOOR(MOD(divplanetlongitude(Charts2[[#This Row],[Asdt ]],9,1),30),1)</f>
        <v>#VALUE!</v>
      </c>
      <c r="T33" s="126" t="e">
        <f>FLOOR(MOD(divplanetlongitude(Charts2[[#This Row],[Sun ]],9,1),30),1)</f>
        <v>#VALUE!</v>
      </c>
      <c r="U33" s="126" t="e">
        <f>FLOOR(MOD(divplanetlongitude(Charts2[[#This Row],[Moon ]],9,1),30),1)</f>
        <v>#VALUE!</v>
      </c>
      <c r="V33" s="126" t="e">
        <f>FLOOR(MOD(divplanetlongitude(Charts2[[#This Row],[Mars ]],9,1),30),1)</f>
        <v>#VALUE!</v>
      </c>
      <c r="W33" s="126" t="e">
        <f>FLOOR(MOD(divplanetlongitude(Charts2[[#This Row],[Merc]],9,1),30),1)</f>
        <v>#VALUE!</v>
      </c>
      <c r="X33" s="126" t="e">
        <f>FLOOR(MOD(divplanetlongitude(Charts2[[#This Row],[Jupiter]],9,1),30),1)</f>
        <v>#VALUE!</v>
      </c>
      <c r="Y33" s="126" t="e">
        <f>FLOOR(MOD(divplanetlongitude(Charts2[[#This Row],[Venus ]],9,1),30),1)</f>
        <v>#VALUE!</v>
      </c>
      <c r="Z33" s="126" t="e">
        <f>FLOOR(MOD(divplanetlongitude(Charts2[[#This Row],[Saturn ]],9,1),30),1)</f>
        <v>#VALUE!</v>
      </c>
      <c r="AA33" s="126" t="e">
        <f>FLOOR(MOD(divplanetlongitude(Charts2[[#This Row],[Rahu ]],9,1),30),1)</f>
        <v>#VALUE!</v>
      </c>
      <c r="AB33" s="126" t="e">
        <f>FLOOR(MOD(Charts2[[#This Row],[Asdt ]],30),1)</f>
        <v>#VALUE!</v>
      </c>
      <c r="AC33" s="126" t="e">
        <f>FLOOR(MOD(Charts2[[#This Row],[Sun ]],30),1)</f>
        <v>#VALUE!</v>
      </c>
      <c r="AD33" s="126" t="e">
        <f>FLOOR(MOD(Charts2[[#This Row],[Moon ]],30),1)</f>
        <v>#VALUE!</v>
      </c>
      <c r="AE33" s="126" t="e">
        <f>FLOOR(MOD(Charts2[[#This Row],[Mars ]],30),1)</f>
        <v>#VALUE!</v>
      </c>
      <c r="AF33" s="126" t="e">
        <f>FLOOR(MOD(Charts2[[#This Row],[Merc]],30),1)</f>
        <v>#VALUE!</v>
      </c>
      <c r="AG33" s="126" t="e">
        <f>FLOOR(MOD(Charts2[[#This Row],[Jupiter]],30),1)</f>
        <v>#VALUE!</v>
      </c>
      <c r="AH33" s="126" t="e">
        <f>FLOOR(MOD(Charts2[[#This Row],[Venus ]],30),1)</f>
        <v>#VALUE!</v>
      </c>
      <c r="AI33" s="126" t="e">
        <f>FLOOR(MOD(Charts2[[#This Row],[Saturn ]],30),1)</f>
        <v>#VALUE!</v>
      </c>
      <c r="AJ33" s="126" t="e">
        <f>FLOOR(MOD(Charts2[[#This Row],[Rahu ]],30),1)</f>
        <v>#VALUE!</v>
      </c>
    </row>
    <row r="34" spans="2:36" ht="15.6" x14ac:dyDescent="0.3">
      <c r="B34" s="114">
        <f t="shared" si="13"/>
        <v>44571</v>
      </c>
      <c r="C34">
        <f t="shared" si="15"/>
        <v>5.5</v>
      </c>
      <c r="D34" s="109">
        <f t="shared" si="16"/>
        <v>19.066666666666666</v>
      </c>
      <c r="E34" s="109">
        <f t="shared" si="17"/>
        <v>72.86666666666666</v>
      </c>
      <c r="F34" s="107">
        <f t="shared" si="23"/>
        <v>44571.267361111117</v>
      </c>
      <c r="G34" s="106">
        <f t="shared" si="18"/>
        <v>0.22916666666666666</v>
      </c>
      <c r="H34" t="str">
        <f t="shared" si="19"/>
        <v>Monday</v>
      </c>
      <c r="I34" s="106">
        <v>0.49652777777777402</v>
      </c>
      <c r="J34" s="115" t="e">
        <f t="shared" si="24"/>
        <v>#VALUE!</v>
      </c>
      <c r="K34" s="115" t="e">
        <f t="shared" si="25"/>
        <v>#VALUE!</v>
      </c>
      <c r="L34" s="115" t="e">
        <f t="shared" si="26"/>
        <v>#VALUE!</v>
      </c>
      <c r="M34" s="115" t="e">
        <f t="shared" si="27"/>
        <v>#VALUE!</v>
      </c>
      <c r="N34" s="115" t="e">
        <f t="shared" si="28"/>
        <v>#VALUE!</v>
      </c>
      <c r="O34" s="115" t="e">
        <f t="shared" si="29"/>
        <v>#VALUE!</v>
      </c>
      <c r="P34" s="115" t="e">
        <f t="shared" si="20"/>
        <v>#VALUE!</v>
      </c>
      <c r="Q34" s="115" t="e">
        <f t="shared" si="21"/>
        <v>#VALUE!</v>
      </c>
      <c r="R34" s="115" t="e">
        <f t="shared" si="22"/>
        <v>#VALUE!</v>
      </c>
      <c r="S34" s="126" t="e">
        <f>FLOOR(MOD(divplanetlongitude(Charts2[[#This Row],[Asdt ]],9,1),30),1)</f>
        <v>#VALUE!</v>
      </c>
      <c r="T34" s="126" t="e">
        <f>FLOOR(MOD(divplanetlongitude(Charts2[[#This Row],[Sun ]],9,1),30),1)</f>
        <v>#VALUE!</v>
      </c>
      <c r="U34" s="126" t="e">
        <f>FLOOR(MOD(divplanetlongitude(Charts2[[#This Row],[Moon ]],9,1),30),1)</f>
        <v>#VALUE!</v>
      </c>
      <c r="V34" s="126" t="e">
        <f>FLOOR(MOD(divplanetlongitude(Charts2[[#This Row],[Mars ]],9,1),30),1)</f>
        <v>#VALUE!</v>
      </c>
      <c r="W34" s="126" t="e">
        <f>FLOOR(MOD(divplanetlongitude(Charts2[[#This Row],[Merc]],9,1),30),1)</f>
        <v>#VALUE!</v>
      </c>
      <c r="X34" s="126" t="e">
        <f>FLOOR(MOD(divplanetlongitude(Charts2[[#This Row],[Jupiter]],9,1),30),1)</f>
        <v>#VALUE!</v>
      </c>
      <c r="Y34" s="126" t="e">
        <f>FLOOR(MOD(divplanetlongitude(Charts2[[#This Row],[Venus ]],9,1),30),1)</f>
        <v>#VALUE!</v>
      </c>
      <c r="Z34" s="126" t="e">
        <f>FLOOR(MOD(divplanetlongitude(Charts2[[#This Row],[Saturn ]],9,1),30),1)</f>
        <v>#VALUE!</v>
      </c>
      <c r="AA34" s="126" t="e">
        <f>FLOOR(MOD(divplanetlongitude(Charts2[[#This Row],[Rahu ]],9,1),30),1)</f>
        <v>#VALUE!</v>
      </c>
      <c r="AB34" s="126" t="e">
        <f>FLOOR(MOD(Charts2[[#This Row],[Asdt ]],30),1)</f>
        <v>#VALUE!</v>
      </c>
      <c r="AC34" s="126" t="e">
        <f>FLOOR(MOD(Charts2[[#This Row],[Sun ]],30),1)</f>
        <v>#VALUE!</v>
      </c>
      <c r="AD34" s="126" t="e">
        <f>FLOOR(MOD(Charts2[[#This Row],[Moon ]],30),1)</f>
        <v>#VALUE!</v>
      </c>
      <c r="AE34" s="126" t="e">
        <f>FLOOR(MOD(Charts2[[#This Row],[Mars ]],30),1)</f>
        <v>#VALUE!</v>
      </c>
      <c r="AF34" s="126" t="e">
        <f>FLOOR(MOD(Charts2[[#This Row],[Merc]],30),1)</f>
        <v>#VALUE!</v>
      </c>
      <c r="AG34" s="126" t="e">
        <f>FLOOR(MOD(Charts2[[#This Row],[Jupiter]],30),1)</f>
        <v>#VALUE!</v>
      </c>
      <c r="AH34" s="126" t="e">
        <f>FLOOR(MOD(Charts2[[#This Row],[Venus ]],30),1)</f>
        <v>#VALUE!</v>
      </c>
      <c r="AI34" s="126" t="e">
        <f>FLOOR(MOD(Charts2[[#This Row],[Saturn ]],30),1)</f>
        <v>#VALUE!</v>
      </c>
      <c r="AJ34" s="126" t="e">
        <f>FLOOR(MOD(Charts2[[#This Row],[Rahu ]],30),1)</f>
        <v>#VALUE!</v>
      </c>
    </row>
    <row r="35" spans="2:36" ht="15.6" x14ac:dyDescent="0.3">
      <c r="B35" s="114">
        <f t="shared" si="13"/>
        <v>44571</v>
      </c>
      <c r="C35">
        <f t="shared" si="15"/>
        <v>5.5</v>
      </c>
      <c r="D35" s="109">
        <f t="shared" si="16"/>
        <v>19.066666666666666</v>
      </c>
      <c r="E35" s="109">
        <f t="shared" si="17"/>
        <v>72.86666666666666</v>
      </c>
      <c r="F35" s="107">
        <f t="shared" si="23"/>
        <v>44571.270833333336</v>
      </c>
      <c r="G35" s="106">
        <f t="shared" si="18"/>
        <v>0.22916666666666666</v>
      </c>
      <c r="H35" t="str">
        <f t="shared" si="19"/>
        <v>Monday</v>
      </c>
      <c r="I35" s="106">
        <v>0.499999999999996</v>
      </c>
      <c r="J35" s="115" t="e">
        <f t="shared" si="24"/>
        <v>#VALUE!</v>
      </c>
      <c r="K35" s="115" t="e">
        <f t="shared" si="25"/>
        <v>#VALUE!</v>
      </c>
      <c r="L35" s="115" t="e">
        <f t="shared" si="26"/>
        <v>#VALUE!</v>
      </c>
      <c r="M35" s="115" t="e">
        <f t="shared" si="27"/>
        <v>#VALUE!</v>
      </c>
      <c r="N35" s="115" t="e">
        <f t="shared" si="28"/>
        <v>#VALUE!</v>
      </c>
      <c r="O35" s="115" t="e">
        <f t="shared" si="29"/>
        <v>#VALUE!</v>
      </c>
      <c r="P35" s="115" t="e">
        <f t="shared" si="20"/>
        <v>#VALUE!</v>
      </c>
      <c r="Q35" s="115" t="e">
        <f t="shared" si="21"/>
        <v>#VALUE!</v>
      </c>
      <c r="R35" s="115" t="e">
        <f t="shared" si="22"/>
        <v>#VALUE!</v>
      </c>
      <c r="S35" s="126" t="e">
        <f>FLOOR(MOD(divplanetlongitude(Charts2[[#This Row],[Asdt ]],9,1),30),1)</f>
        <v>#VALUE!</v>
      </c>
      <c r="T35" s="126" t="e">
        <f>FLOOR(MOD(divplanetlongitude(Charts2[[#This Row],[Sun ]],9,1),30),1)</f>
        <v>#VALUE!</v>
      </c>
      <c r="U35" s="126" t="e">
        <f>FLOOR(MOD(divplanetlongitude(Charts2[[#This Row],[Moon ]],9,1),30),1)</f>
        <v>#VALUE!</v>
      </c>
      <c r="V35" s="126" t="e">
        <f>FLOOR(MOD(divplanetlongitude(Charts2[[#This Row],[Mars ]],9,1),30),1)</f>
        <v>#VALUE!</v>
      </c>
      <c r="W35" s="126" t="e">
        <f>FLOOR(MOD(divplanetlongitude(Charts2[[#This Row],[Merc]],9,1),30),1)</f>
        <v>#VALUE!</v>
      </c>
      <c r="X35" s="126" t="e">
        <f>FLOOR(MOD(divplanetlongitude(Charts2[[#This Row],[Jupiter]],9,1),30),1)</f>
        <v>#VALUE!</v>
      </c>
      <c r="Y35" s="126" t="e">
        <f>FLOOR(MOD(divplanetlongitude(Charts2[[#This Row],[Venus ]],9,1),30),1)</f>
        <v>#VALUE!</v>
      </c>
      <c r="Z35" s="126" t="e">
        <f>FLOOR(MOD(divplanetlongitude(Charts2[[#This Row],[Saturn ]],9,1),30),1)</f>
        <v>#VALUE!</v>
      </c>
      <c r="AA35" s="126" t="e">
        <f>FLOOR(MOD(divplanetlongitude(Charts2[[#This Row],[Rahu ]],9,1),30),1)</f>
        <v>#VALUE!</v>
      </c>
      <c r="AB35" s="126" t="e">
        <f>FLOOR(MOD(Charts2[[#This Row],[Asdt ]],30),1)</f>
        <v>#VALUE!</v>
      </c>
      <c r="AC35" s="126" t="e">
        <f>FLOOR(MOD(Charts2[[#This Row],[Sun ]],30),1)</f>
        <v>#VALUE!</v>
      </c>
      <c r="AD35" s="126" t="e">
        <f>FLOOR(MOD(Charts2[[#This Row],[Moon ]],30),1)</f>
        <v>#VALUE!</v>
      </c>
      <c r="AE35" s="126" t="e">
        <f>FLOOR(MOD(Charts2[[#This Row],[Mars ]],30),1)</f>
        <v>#VALUE!</v>
      </c>
      <c r="AF35" s="126" t="e">
        <f>FLOOR(MOD(Charts2[[#This Row],[Merc]],30),1)</f>
        <v>#VALUE!</v>
      </c>
      <c r="AG35" s="126" t="e">
        <f>FLOOR(MOD(Charts2[[#This Row],[Jupiter]],30),1)</f>
        <v>#VALUE!</v>
      </c>
      <c r="AH35" s="126" t="e">
        <f>FLOOR(MOD(Charts2[[#This Row],[Venus ]],30),1)</f>
        <v>#VALUE!</v>
      </c>
      <c r="AI35" s="126" t="e">
        <f>FLOOR(MOD(Charts2[[#This Row],[Saturn ]],30),1)</f>
        <v>#VALUE!</v>
      </c>
      <c r="AJ35" s="126" t="e">
        <f>FLOOR(MOD(Charts2[[#This Row],[Rahu ]],30),1)</f>
        <v>#VALUE!</v>
      </c>
    </row>
    <row r="36" spans="2:36" ht="15.6" x14ac:dyDescent="0.3">
      <c r="B36" s="114">
        <f t="shared" si="13"/>
        <v>44571</v>
      </c>
      <c r="C36">
        <f t="shared" si="15"/>
        <v>5.5</v>
      </c>
      <c r="D36" s="109">
        <f t="shared" si="16"/>
        <v>19.066666666666666</v>
      </c>
      <c r="E36" s="109">
        <f t="shared" si="17"/>
        <v>72.86666666666666</v>
      </c>
      <c r="F36" s="107">
        <f t="shared" si="23"/>
        <v>44571.274305555555</v>
      </c>
      <c r="G36" s="106">
        <f t="shared" si="18"/>
        <v>0.22916666666666666</v>
      </c>
      <c r="H36" t="str">
        <f t="shared" si="19"/>
        <v>Monday</v>
      </c>
      <c r="I36" s="106">
        <v>0.50347222222221799</v>
      </c>
      <c r="J36" s="115" t="e">
        <f t="shared" si="24"/>
        <v>#VALUE!</v>
      </c>
      <c r="K36" s="115" t="e">
        <f t="shared" si="25"/>
        <v>#VALUE!</v>
      </c>
      <c r="L36" s="115" t="e">
        <f t="shared" si="26"/>
        <v>#VALUE!</v>
      </c>
      <c r="M36" s="115" t="e">
        <f t="shared" si="27"/>
        <v>#VALUE!</v>
      </c>
      <c r="N36" s="115" t="e">
        <f t="shared" si="28"/>
        <v>#VALUE!</v>
      </c>
      <c r="O36" s="115" t="e">
        <f t="shared" si="29"/>
        <v>#VALUE!</v>
      </c>
      <c r="P36" s="115" t="e">
        <f t="shared" si="20"/>
        <v>#VALUE!</v>
      </c>
      <c r="Q36" s="115" t="e">
        <f t="shared" si="21"/>
        <v>#VALUE!</v>
      </c>
      <c r="R36" s="115" t="e">
        <f t="shared" si="22"/>
        <v>#VALUE!</v>
      </c>
      <c r="S36" s="126" t="e">
        <f>FLOOR(MOD(divplanetlongitude(Charts2[[#This Row],[Asdt ]],9,1),30),1)</f>
        <v>#VALUE!</v>
      </c>
      <c r="T36" s="126" t="e">
        <f>FLOOR(MOD(divplanetlongitude(Charts2[[#This Row],[Sun ]],9,1),30),1)</f>
        <v>#VALUE!</v>
      </c>
      <c r="U36" s="126" t="e">
        <f>FLOOR(MOD(divplanetlongitude(Charts2[[#This Row],[Moon ]],9,1),30),1)</f>
        <v>#VALUE!</v>
      </c>
      <c r="V36" s="126" t="e">
        <f>FLOOR(MOD(divplanetlongitude(Charts2[[#This Row],[Mars ]],9,1),30),1)</f>
        <v>#VALUE!</v>
      </c>
      <c r="W36" s="126" t="e">
        <f>FLOOR(MOD(divplanetlongitude(Charts2[[#This Row],[Merc]],9,1),30),1)</f>
        <v>#VALUE!</v>
      </c>
      <c r="X36" s="126" t="e">
        <f>FLOOR(MOD(divplanetlongitude(Charts2[[#This Row],[Jupiter]],9,1),30),1)</f>
        <v>#VALUE!</v>
      </c>
      <c r="Y36" s="126" t="e">
        <f>FLOOR(MOD(divplanetlongitude(Charts2[[#This Row],[Venus ]],9,1),30),1)</f>
        <v>#VALUE!</v>
      </c>
      <c r="Z36" s="126" t="e">
        <f>FLOOR(MOD(divplanetlongitude(Charts2[[#This Row],[Saturn ]],9,1),30),1)</f>
        <v>#VALUE!</v>
      </c>
      <c r="AA36" s="126" t="e">
        <f>FLOOR(MOD(divplanetlongitude(Charts2[[#This Row],[Rahu ]],9,1),30),1)</f>
        <v>#VALUE!</v>
      </c>
      <c r="AB36" s="126" t="e">
        <f>FLOOR(MOD(Charts2[[#This Row],[Asdt ]],30),1)</f>
        <v>#VALUE!</v>
      </c>
      <c r="AC36" s="126" t="e">
        <f>FLOOR(MOD(Charts2[[#This Row],[Sun ]],30),1)</f>
        <v>#VALUE!</v>
      </c>
      <c r="AD36" s="126" t="e">
        <f>FLOOR(MOD(Charts2[[#This Row],[Moon ]],30),1)</f>
        <v>#VALUE!</v>
      </c>
      <c r="AE36" s="126" t="e">
        <f>FLOOR(MOD(Charts2[[#This Row],[Mars ]],30),1)</f>
        <v>#VALUE!</v>
      </c>
      <c r="AF36" s="126" t="e">
        <f>FLOOR(MOD(Charts2[[#This Row],[Merc]],30),1)</f>
        <v>#VALUE!</v>
      </c>
      <c r="AG36" s="126" t="e">
        <f>FLOOR(MOD(Charts2[[#This Row],[Jupiter]],30),1)</f>
        <v>#VALUE!</v>
      </c>
      <c r="AH36" s="126" t="e">
        <f>FLOOR(MOD(Charts2[[#This Row],[Venus ]],30),1)</f>
        <v>#VALUE!</v>
      </c>
      <c r="AI36" s="126" t="e">
        <f>FLOOR(MOD(Charts2[[#This Row],[Saturn ]],30),1)</f>
        <v>#VALUE!</v>
      </c>
      <c r="AJ36" s="126" t="e">
        <f>FLOOR(MOD(Charts2[[#This Row],[Rahu ]],30),1)</f>
        <v>#VALUE!</v>
      </c>
    </row>
    <row r="37" spans="2:36" ht="15.6" x14ac:dyDescent="0.3">
      <c r="B37" s="114">
        <f t="shared" si="13"/>
        <v>44571</v>
      </c>
      <c r="C37">
        <f t="shared" si="15"/>
        <v>5.5</v>
      </c>
      <c r="D37" s="109">
        <f t="shared" si="16"/>
        <v>19.066666666666666</v>
      </c>
      <c r="E37" s="109">
        <f t="shared" si="17"/>
        <v>72.86666666666666</v>
      </c>
      <c r="F37" s="107">
        <f t="shared" si="23"/>
        <v>44571.277777777781</v>
      </c>
      <c r="G37" s="106">
        <f t="shared" si="18"/>
        <v>0.22916666666666666</v>
      </c>
      <c r="H37" t="str">
        <f t="shared" si="19"/>
        <v>Monday</v>
      </c>
      <c r="I37" s="106">
        <v>0.50694444444443998</v>
      </c>
      <c r="J37" s="115" t="e">
        <f t="shared" si="24"/>
        <v>#VALUE!</v>
      </c>
      <c r="K37" s="115" t="e">
        <f t="shared" si="25"/>
        <v>#VALUE!</v>
      </c>
      <c r="L37" s="115" t="e">
        <f t="shared" si="26"/>
        <v>#VALUE!</v>
      </c>
      <c r="M37" s="115" t="e">
        <f t="shared" si="27"/>
        <v>#VALUE!</v>
      </c>
      <c r="N37" s="115" t="e">
        <f t="shared" si="28"/>
        <v>#VALUE!</v>
      </c>
      <c r="O37" s="115" t="e">
        <f t="shared" si="29"/>
        <v>#VALUE!</v>
      </c>
      <c r="P37" s="115" t="e">
        <f t="shared" si="20"/>
        <v>#VALUE!</v>
      </c>
      <c r="Q37" s="115" t="e">
        <f t="shared" si="21"/>
        <v>#VALUE!</v>
      </c>
      <c r="R37" s="115" t="e">
        <f t="shared" si="22"/>
        <v>#VALUE!</v>
      </c>
      <c r="S37" s="126" t="e">
        <f>FLOOR(MOD(divplanetlongitude(Charts2[[#This Row],[Asdt ]],9,1),30),1)</f>
        <v>#VALUE!</v>
      </c>
      <c r="T37" s="126" t="e">
        <f>FLOOR(MOD(divplanetlongitude(Charts2[[#This Row],[Sun ]],9,1),30),1)</f>
        <v>#VALUE!</v>
      </c>
      <c r="U37" s="126" t="e">
        <f>FLOOR(MOD(divplanetlongitude(Charts2[[#This Row],[Moon ]],9,1),30),1)</f>
        <v>#VALUE!</v>
      </c>
      <c r="V37" s="126" t="e">
        <f>FLOOR(MOD(divplanetlongitude(Charts2[[#This Row],[Mars ]],9,1),30),1)</f>
        <v>#VALUE!</v>
      </c>
      <c r="W37" s="126" t="e">
        <f>FLOOR(MOD(divplanetlongitude(Charts2[[#This Row],[Merc]],9,1),30),1)</f>
        <v>#VALUE!</v>
      </c>
      <c r="X37" s="126" t="e">
        <f>FLOOR(MOD(divplanetlongitude(Charts2[[#This Row],[Jupiter]],9,1),30),1)</f>
        <v>#VALUE!</v>
      </c>
      <c r="Y37" s="126" t="e">
        <f>FLOOR(MOD(divplanetlongitude(Charts2[[#This Row],[Venus ]],9,1),30),1)</f>
        <v>#VALUE!</v>
      </c>
      <c r="Z37" s="126" t="e">
        <f>FLOOR(MOD(divplanetlongitude(Charts2[[#This Row],[Saturn ]],9,1),30),1)</f>
        <v>#VALUE!</v>
      </c>
      <c r="AA37" s="126" t="e">
        <f>FLOOR(MOD(divplanetlongitude(Charts2[[#This Row],[Rahu ]],9,1),30),1)</f>
        <v>#VALUE!</v>
      </c>
      <c r="AB37" s="126" t="e">
        <f>FLOOR(MOD(Charts2[[#This Row],[Asdt ]],30),1)</f>
        <v>#VALUE!</v>
      </c>
      <c r="AC37" s="126" t="e">
        <f>FLOOR(MOD(Charts2[[#This Row],[Sun ]],30),1)</f>
        <v>#VALUE!</v>
      </c>
      <c r="AD37" s="126" t="e">
        <f>FLOOR(MOD(Charts2[[#This Row],[Moon ]],30),1)</f>
        <v>#VALUE!</v>
      </c>
      <c r="AE37" s="126" t="e">
        <f>FLOOR(MOD(Charts2[[#This Row],[Mars ]],30),1)</f>
        <v>#VALUE!</v>
      </c>
      <c r="AF37" s="126" t="e">
        <f>FLOOR(MOD(Charts2[[#This Row],[Merc]],30),1)</f>
        <v>#VALUE!</v>
      </c>
      <c r="AG37" s="126" t="e">
        <f>FLOOR(MOD(Charts2[[#This Row],[Jupiter]],30),1)</f>
        <v>#VALUE!</v>
      </c>
      <c r="AH37" s="126" t="e">
        <f>FLOOR(MOD(Charts2[[#This Row],[Venus ]],30),1)</f>
        <v>#VALUE!</v>
      </c>
      <c r="AI37" s="126" t="e">
        <f>FLOOR(MOD(Charts2[[#This Row],[Saturn ]],30),1)</f>
        <v>#VALUE!</v>
      </c>
      <c r="AJ37" s="126" t="e">
        <f>FLOOR(MOD(Charts2[[#This Row],[Rahu ]],30),1)</f>
        <v>#VALUE!</v>
      </c>
    </row>
    <row r="38" spans="2:36" ht="15.6" x14ac:dyDescent="0.3">
      <c r="B38" s="114">
        <f t="shared" si="13"/>
        <v>44571</v>
      </c>
      <c r="C38">
        <f t="shared" si="15"/>
        <v>5.5</v>
      </c>
      <c r="D38" s="109">
        <f t="shared" si="16"/>
        <v>19.066666666666666</v>
      </c>
      <c r="E38" s="109">
        <f t="shared" si="17"/>
        <v>72.86666666666666</v>
      </c>
      <c r="F38" s="107">
        <f t="shared" si="23"/>
        <v>44571.28125</v>
      </c>
      <c r="G38" s="106">
        <f t="shared" si="18"/>
        <v>0.22916666666666666</v>
      </c>
      <c r="H38" t="str">
        <f t="shared" si="19"/>
        <v>Monday</v>
      </c>
      <c r="I38" s="106">
        <v>0.51041666666666197</v>
      </c>
      <c r="J38" s="115" t="e">
        <f t="shared" si="24"/>
        <v>#VALUE!</v>
      </c>
      <c r="K38" s="115" t="e">
        <f t="shared" si="25"/>
        <v>#VALUE!</v>
      </c>
      <c r="L38" s="115" t="e">
        <f t="shared" si="26"/>
        <v>#VALUE!</v>
      </c>
      <c r="M38" s="115" t="e">
        <f t="shared" si="27"/>
        <v>#VALUE!</v>
      </c>
      <c r="N38" s="115" t="e">
        <f t="shared" si="28"/>
        <v>#VALUE!</v>
      </c>
      <c r="O38" s="115" t="e">
        <f t="shared" si="29"/>
        <v>#VALUE!</v>
      </c>
      <c r="P38" s="115" t="e">
        <f t="shared" si="20"/>
        <v>#VALUE!</v>
      </c>
      <c r="Q38" s="115" t="e">
        <f t="shared" si="21"/>
        <v>#VALUE!</v>
      </c>
      <c r="R38" s="115" t="e">
        <f t="shared" si="22"/>
        <v>#VALUE!</v>
      </c>
      <c r="S38" s="126" t="e">
        <f>FLOOR(MOD(divplanetlongitude(Charts2[[#This Row],[Asdt ]],9,1),30),1)</f>
        <v>#VALUE!</v>
      </c>
      <c r="T38" s="126" t="e">
        <f>FLOOR(MOD(divplanetlongitude(Charts2[[#This Row],[Sun ]],9,1),30),1)</f>
        <v>#VALUE!</v>
      </c>
      <c r="U38" s="126" t="e">
        <f>FLOOR(MOD(divplanetlongitude(Charts2[[#This Row],[Moon ]],9,1),30),1)</f>
        <v>#VALUE!</v>
      </c>
      <c r="V38" s="126" t="e">
        <f>FLOOR(MOD(divplanetlongitude(Charts2[[#This Row],[Mars ]],9,1),30),1)</f>
        <v>#VALUE!</v>
      </c>
      <c r="W38" s="126" t="e">
        <f>FLOOR(MOD(divplanetlongitude(Charts2[[#This Row],[Merc]],9,1),30),1)</f>
        <v>#VALUE!</v>
      </c>
      <c r="X38" s="126" t="e">
        <f>FLOOR(MOD(divplanetlongitude(Charts2[[#This Row],[Jupiter]],9,1),30),1)</f>
        <v>#VALUE!</v>
      </c>
      <c r="Y38" s="126" t="e">
        <f>FLOOR(MOD(divplanetlongitude(Charts2[[#This Row],[Venus ]],9,1),30),1)</f>
        <v>#VALUE!</v>
      </c>
      <c r="Z38" s="126" t="e">
        <f>FLOOR(MOD(divplanetlongitude(Charts2[[#This Row],[Saturn ]],9,1),30),1)</f>
        <v>#VALUE!</v>
      </c>
      <c r="AA38" s="126" t="e">
        <f>FLOOR(MOD(divplanetlongitude(Charts2[[#This Row],[Rahu ]],9,1),30),1)</f>
        <v>#VALUE!</v>
      </c>
      <c r="AB38" s="126" t="e">
        <f>FLOOR(MOD(Charts2[[#This Row],[Asdt ]],30),1)</f>
        <v>#VALUE!</v>
      </c>
      <c r="AC38" s="126" t="e">
        <f>FLOOR(MOD(Charts2[[#This Row],[Sun ]],30),1)</f>
        <v>#VALUE!</v>
      </c>
      <c r="AD38" s="126" t="e">
        <f>FLOOR(MOD(Charts2[[#This Row],[Moon ]],30),1)</f>
        <v>#VALUE!</v>
      </c>
      <c r="AE38" s="126" t="e">
        <f>FLOOR(MOD(Charts2[[#This Row],[Mars ]],30),1)</f>
        <v>#VALUE!</v>
      </c>
      <c r="AF38" s="126" t="e">
        <f>FLOOR(MOD(Charts2[[#This Row],[Merc]],30),1)</f>
        <v>#VALUE!</v>
      </c>
      <c r="AG38" s="126" t="e">
        <f>FLOOR(MOD(Charts2[[#This Row],[Jupiter]],30),1)</f>
        <v>#VALUE!</v>
      </c>
      <c r="AH38" s="126" t="e">
        <f>FLOOR(MOD(Charts2[[#This Row],[Venus ]],30),1)</f>
        <v>#VALUE!</v>
      </c>
      <c r="AI38" s="126" t="e">
        <f>FLOOR(MOD(Charts2[[#This Row],[Saturn ]],30),1)</f>
        <v>#VALUE!</v>
      </c>
      <c r="AJ38" s="126" t="e">
        <f>FLOOR(MOD(Charts2[[#This Row],[Rahu ]],30),1)</f>
        <v>#VALUE!</v>
      </c>
    </row>
    <row r="39" spans="2:36" ht="15.6" x14ac:dyDescent="0.3">
      <c r="B39" s="114">
        <f t="shared" si="13"/>
        <v>44571</v>
      </c>
      <c r="C39">
        <f t="shared" si="15"/>
        <v>5.5</v>
      </c>
      <c r="D39" s="109">
        <f t="shared" si="16"/>
        <v>19.066666666666666</v>
      </c>
      <c r="E39" s="109">
        <f t="shared" si="17"/>
        <v>72.86666666666666</v>
      </c>
      <c r="F39" s="107">
        <f t="shared" si="23"/>
        <v>44571.284722222226</v>
      </c>
      <c r="G39" s="106">
        <f t="shared" si="18"/>
        <v>0.22916666666666666</v>
      </c>
      <c r="H39" t="str">
        <f t="shared" si="19"/>
        <v>Monday</v>
      </c>
      <c r="I39" s="106">
        <v>0.51388888888888395</v>
      </c>
      <c r="J39" s="115" t="e">
        <f t="shared" si="24"/>
        <v>#VALUE!</v>
      </c>
      <c r="K39" s="115" t="e">
        <f t="shared" si="25"/>
        <v>#VALUE!</v>
      </c>
      <c r="L39" s="115" t="e">
        <f t="shared" si="26"/>
        <v>#VALUE!</v>
      </c>
      <c r="M39" s="115" t="e">
        <f t="shared" si="27"/>
        <v>#VALUE!</v>
      </c>
      <c r="N39" s="115" t="e">
        <f t="shared" si="28"/>
        <v>#VALUE!</v>
      </c>
      <c r="O39" s="115" t="e">
        <f t="shared" si="29"/>
        <v>#VALUE!</v>
      </c>
      <c r="P39" s="115" t="e">
        <f t="shared" si="20"/>
        <v>#VALUE!</v>
      </c>
      <c r="Q39" s="115" t="e">
        <f t="shared" si="21"/>
        <v>#VALUE!</v>
      </c>
      <c r="R39" s="115" t="e">
        <f t="shared" si="22"/>
        <v>#VALUE!</v>
      </c>
      <c r="S39" s="126" t="e">
        <f>FLOOR(MOD(divplanetlongitude(Charts2[[#This Row],[Asdt ]],9,1),30),1)</f>
        <v>#VALUE!</v>
      </c>
      <c r="T39" s="126" t="e">
        <f>FLOOR(MOD(divplanetlongitude(Charts2[[#This Row],[Sun ]],9,1),30),1)</f>
        <v>#VALUE!</v>
      </c>
      <c r="U39" s="126" t="e">
        <f>FLOOR(MOD(divplanetlongitude(Charts2[[#This Row],[Moon ]],9,1),30),1)</f>
        <v>#VALUE!</v>
      </c>
      <c r="V39" s="126" t="e">
        <f>FLOOR(MOD(divplanetlongitude(Charts2[[#This Row],[Mars ]],9,1),30),1)</f>
        <v>#VALUE!</v>
      </c>
      <c r="W39" s="126" t="e">
        <f>FLOOR(MOD(divplanetlongitude(Charts2[[#This Row],[Merc]],9,1),30),1)</f>
        <v>#VALUE!</v>
      </c>
      <c r="X39" s="126" t="e">
        <f>FLOOR(MOD(divplanetlongitude(Charts2[[#This Row],[Jupiter]],9,1),30),1)</f>
        <v>#VALUE!</v>
      </c>
      <c r="Y39" s="126" t="e">
        <f>FLOOR(MOD(divplanetlongitude(Charts2[[#This Row],[Venus ]],9,1),30),1)</f>
        <v>#VALUE!</v>
      </c>
      <c r="Z39" s="126" t="e">
        <f>FLOOR(MOD(divplanetlongitude(Charts2[[#This Row],[Saturn ]],9,1),30),1)</f>
        <v>#VALUE!</v>
      </c>
      <c r="AA39" s="126" t="e">
        <f>FLOOR(MOD(divplanetlongitude(Charts2[[#This Row],[Rahu ]],9,1),30),1)</f>
        <v>#VALUE!</v>
      </c>
      <c r="AB39" s="126" t="e">
        <f>FLOOR(MOD(Charts2[[#This Row],[Asdt ]],30),1)</f>
        <v>#VALUE!</v>
      </c>
      <c r="AC39" s="126" t="e">
        <f>FLOOR(MOD(Charts2[[#This Row],[Sun ]],30),1)</f>
        <v>#VALUE!</v>
      </c>
      <c r="AD39" s="126" t="e">
        <f>FLOOR(MOD(Charts2[[#This Row],[Moon ]],30),1)</f>
        <v>#VALUE!</v>
      </c>
      <c r="AE39" s="126" t="e">
        <f>FLOOR(MOD(Charts2[[#This Row],[Mars ]],30),1)</f>
        <v>#VALUE!</v>
      </c>
      <c r="AF39" s="126" t="e">
        <f>FLOOR(MOD(Charts2[[#This Row],[Merc]],30),1)</f>
        <v>#VALUE!</v>
      </c>
      <c r="AG39" s="126" t="e">
        <f>FLOOR(MOD(Charts2[[#This Row],[Jupiter]],30),1)</f>
        <v>#VALUE!</v>
      </c>
      <c r="AH39" s="126" t="e">
        <f>FLOOR(MOD(Charts2[[#This Row],[Venus ]],30),1)</f>
        <v>#VALUE!</v>
      </c>
      <c r="AI39" s="126" t="e">
        <f>FLOOR(MOD(Charts2[[#This Row],[Saturn ]],30),1)</f>
        <v>#VALUE!</v>
      </c>
      <c r="AJ39" s="126" t="e">
        <f>FLOOR(MOD(Charts2[[#This Row],[Rahu ]],30),1)</f>
        <v>#VALUE!</v>
      </c>
    </row>
    <row r="40" spans="2:36" ht="15.6" x14ac:dyDescent="0.3">
      <c r="B40" s="114">
        <f t="shared" si="13"/>
        <v>44571</v>
      </c>
      <c r="C40">
        <f t="shared" si="15"/>
        <v>5.5</v>
      </c>
      <c r="D40" s="109">
        <f t="shared" si="16"/>
        <v>19.066666666666666</v>
      </c>
      <c r="E40" s="109">
        <f t="shared" si="17"/>
        <v>72.86666666666666</v>
      </c>
      <c r="F40" s="107">
        <f t="shared" si="23"/>
        <v>44571.288194444445</v>
      </c>
      <c r="G40" s="106">
        <f t="shared" si="18"/>
        <v>0.22916666666666666</v>
      </c>
      <c r="H40" t="str">
        <f t="shared" si="19"/>
        <v>Monday</v>
      </c>
      <c r="I40" s="106">
        <v>0.51736111111110605</v>
      </c>
      <c r="J40" s="115" t="e">
        <f t="shared" si="24"/>
        <v>#VALUE!</v>
      </c>
      <c r="K40" s="115" t="e">
        <f t="shared" si="25"/>
        <v>#VALUE!</v>
      </c>
      <c r="L40" s="115" t="e">
        <f t="shared" si="26"/>
        <v>#VALUE!</v>
      </c>
      <c r="M40" s="115" t="e">
        <f t="shared" si="27"/>
        <v>#VALUE!</v>
      </c>
      <c r="N40" s="115" t="e">
        <f t="shared" si="28"/>
        <v>#VALUE!</v>
      </c>
      <c r="O40" s="115" t="e">
        <f t="shared" si="29"/>
        <v>#VALUE!</v>
      </c>
      <c r="P40" s="115" t="e">
        <f t="shared" si="20"/>
        <v>#VALUE!</v>
      </c>
      <c r="Q40" s="115" t="e">
        <f t="shared" si="21"/>
        <v>#VALUE!</v>
      </c>
      <c r="R40" s="115" t="e">
        <f t="shared" si="22"/>
        <v>#VALUE!</v>
      </c>
      <c r="S40" s="126" t="e">
        <f>FLOOR(MOD(divplanetlongitude(Charts2[[#This Row],[Asdt ]],9,1),30),1)</f>
        <v>#VALUE!</v>
      </c>
      <c r="T40" s="126" t="e">
        <f>FLOOR(MOD(divplanetlongitude(Charts2[[#This Row],[Sun ]],9,1),30),1)</f>
        <v>#VALUE!</v>
      </c>
      <c r="U40" s="126" t="e">
        <f>FLOOR(MOD(divplanetlongitude(Charts2[[#This Row],[Moon ]],9,1),30),1)</f>
        <v>#VALUE!</v>
      </c>
      <c r="V40" s="126" t="e">
        <f>FLOOR(MOD(divplanetlongitude(Charts2[[#This Row],[Mars ]],9,1),30),1)</f>
        <v>#VALUE!</v>
      </c>
      <c r="W40" s="126" t="e">
        <f>FLOOR(MOD(divplanetlongitude(Charts2[[#This Row],[Merc]],9,1),30),1)</f>
        <v>#VALUE!</v>
      </c>
      <c r="X40" s="126" t="e">
        <f>FLOOR(MOD(divplanetlongitude(Charts2[[#This Row],[Jupiter]],9,1),30),1)</f>
        <v>#VALUE!</v>
      </c>
      <c r="Y40" s="126" t="e">
        <f>FLOOR(MOD(divplanetlongitude(Charts2[[#This Row],[Venus ]],9,1),30),1)</f>
        <v>#VALUE!</v>
      </c>
      <c r="Z40" s="126" t="e">
        <f>FLOOR(MOD(divplanetlongitude(Charts2[[#This Row],[Saturn ]],9,1),30),1)</f>
        <v>#VALUE!</v>
      </c>
      <c r="AA40" s="126" t="e">
        <f>FLOOR(MOD(divplanetlongitude(Charts2[[#This Row],[Rahu ]],9,1),30),1)</f>
        <v>#VALUE!</v>
      </c>
      <c r="AB40" s="126" t="e">
        <f>FLOOR(MOD(Charts2[[#This Row],[Asdt ]],30),1)</f>
        <v>#VALUE!</v>
      </c>
      <c r="AC40" s="126" t="e">
        <f>FLOOR(MOD(Charts2[[#This Row],[Sun ]],30),1)</f>
        <v>#VALUE!</v>
      </c>
      <c r="AD40" s="126" t="e">
        <f>FLOOR(MOD(Charts2[[#This Row],[Moon ]],30),1)</f>
        <v>#VALUE!</v>
      </c>
      <c r="AE40" s="126" t="e">
        <f>FLOOR(MOD(Charts2[[#This Row],[Mars ]],30),1)</f>
        <v>#VALUE!</v>
      </c>
      <c r="AF40" s="126" t="e">
        <f>FLOOR(MOD(Charts2[[#This Row],[Merc]],30),1)</f>
        <v>#VALUE!</v>
      </c>
      <c r="AG40" s="126" t="e">
        <f>FLOOR(MOD(Charts2[[#This Row],[Jupiter]],30),1)</f>
        <v>#VALUE!</v>
      </c>
      <c r="AH40" s="126" t="e">
        <f>FLOOR(MOD(Charts2[[#This Row],[Venus ]],30),1)</f>
        <v>#VALUE!</v>
      </c>
      <c r="AI40" s="126" t="e">
        <f>FLOOR(MOD(Charts2[[#This Row],[Saturn ]],30),1)</f>
        <v>#VALUE!</v>
      </c>
      <c r="AJ40" s="126" t="e">
        <f>FLOOR(MOD(Charts2[[#This Row],[Rahu ]],30),1)</f>
        <v>#VALUE!</v>
      </c>
    </row>
    <row r="41" spans="2:36" ht="15.6" x14ac:dyDescent="0.3">
      <c r="B41" s="114">
        <f t="shared" si="13"/>
        <v>44571</v>
      </c>
      <c r="C41">
        <f t="shared" si="15"/>
        <v>5.5</v>
      </c>
      <c r="D41" s="109">
        <f t="shared" si="16"/>
        <v>19.066666666666666</v>
      </c>
      <c r="E41" s="109">
        <f t="shared" si="17"/>
        <v>72.86666666666666</v>
      </c>
      <c r="F41" s="107">
        <f t="shared" si="23"/>
        <v>44571.291666666672</v>
      </c>
      <c r="G41" s="106">
        <f t="shared" si="18"/>
        <v>0.22916666666666666</v>
      </c>
      <c r="H41" t="str">
        <f t="shared" si="19"/>
        <v>Monday</v>
      </c>
      <c r="I41" s="106">
        <v>0.52083333333332804</v>
      </c>
      <c r="J41" s="115" t="e">
        <f t="shared" si="24"/>
        <v>#VALUE!</v>
      </c>
      <c r="K41" s="115" t="e">
        <f t="shared" si="25"/>
        <v>#VALUE!</v>
      </c>
      <c r="L41" s="115" t="e">
        <f t="shared" si="26"/>
        <v>#VALUE!</v>
      </c>
      <c r="M41" s="115" t="e">
        <f t="shared" si="27"/>
        <v>#VALUE!</v>
      </c>
      <c r="N41" s="115" t="e">
        <f t="shared" si="28"/>
        <v>#VALUE!</v>
      </c>
      <c r="O41" s="115" t="e">
        <f t="shared" si="29"/>
        <v>#VALUE!</v>
      </c>
      <c r="P41" s="115" t="e">
        <f t="shared" si="20"/>
        <v>#VALUE!</v>
      </c>
      <c r="Q41" s="115" t="e">
        <f t="shared" si="21"/>
        <v>#VALUE!</v>
      </c>
      <c r="R41" s="115" t="e">
        <f t="shared" si="22"/>
        <v>#VALUE!</v>
      </c>
      <c r="S41" s="126" t="e">
        <f>FLOOR(MOD(divplanetlongitude(Charts2[[#This Row],[Asdt ]],9,1),30),1)</f>
        <v>#VALUE!</v>
      </c>
      <c r="T41" s="126" t="e">
        <f>FLOOR(MOD(divplanetlongitude(Charts2[[#This Row],[Sun ]],9,1),30),1)</f>
        <v>#VALUE!</v>
      </c>
      <c r="U41" s="126" t="e">
        <f>FLOOR(MOD(divplanetlongitude(Charts2[[#This Row],[Moon ]],9,1),30),1)</f>
        <v>#VALUE!</v>
      </c>
      <c r="V41" s="126" t="e">
        <f>FLOOR(MOD(divplanetlongitude(Charts2[[#This Row],[Mars ]],9,1),30),1)</f>
        <v>#VALUE!</v>
      </c>
      <c r="W41" s="126" t="e">
        <f>FLOOR(MOD(divplanetlongitude(Charts2[[#This Row],[Merc]],9,1),30),1)</f>
        <v>#VALUE!</v>
      </c>
      <c r="X41" s="126" t="e">
        <f>FLOOR(MOD(divplanetlongitude(Charts2[[#This Row],[Jupiter]],9,1),30),1)</f>
        <v>#VALUE!</v>
      </c>
      <c r="Y41" s="126" t="e">
        <f>FLOOR(MOD(divplanetlongitude(Charts2[[#This Row],[Venus ]],9,1),30),1)</f>
        <v>#VALUE!</v>
      </c>
      <c r="Z41" s="126" t="e">
        <f>FLOOR(MOD(divplanetlongitude(Charts2[[#This Row],[Saturn ]],9,1),30),1)</f>
        <v>#VALUE!</v>
      </c>
      <c r="AA41" s="126" t="e">
        <f>FLOOR(MOD(divplanetlongitude(Charts2[[#This Row],[Rahu ]],9,1),30),1)</f>
        <v>#VALUE!</v>
      </c>
      <c r="AB41" s="126" t="e">
        <f>FLOOR(MOD(Charts2[[#This Row],[Asdt ]],30),1)</f>
        <v>#VALUE!</v>
      </c>
      <c r="AC41" s="126" t="e">
        <f>FLOOR(MOD(Charts2[[#This Row],[Sun ]],30),1)</f>
        <v>#VALUE!</v>
      </c>
      <c r="AD41" s="126" t="e">
        <f>FLOOR(MOD(Charts2[[#This Row],[Moon ]],30),1)</f>
        <v>#VALUE!</v>
      </c>
      <c r="AE41" s="126" t="e">
        <f>FLOOR(MOD(Charts2[[#This Row],[Mars ]],30),1)</f>
        <v>#VALUE!</v>
      </c>
      <c r="AF41" s="126" t="e">
        <f>FLOOR(MOD(Charts2[[#This Row],[Merc]],30),1)</f>
        <v>#VALUE!</v>
      </c>
      <c r="AG41" s="126" t="e">
        <f>FLOOR(MOD(Charts2[[#This Row],[Jupiter]],30),1)</f>
        <v>#VALUE!</v>
      </c>
      <c r="AH41" s="126" t="e">
        <f>FLOOR(MOD(Charts2[[#This Row],[Venus ]],30),1)</f>
        <v>#VALUE!</v>
      </c>
      <c r="AI41" s="126" t="e">
        <f>FLOOR(MOD(Charts2[[#This Row],[Saturn ]],30),1)</f>
        <v>#VALUE!</v>
      </c>
      <c r="AJ41" s="126" t="e">
        <f>FLOOR(MOD(Charts2[[#This Row],[Rahu ]],30),1)</f>
        <v>#VALUE!</v>
      </c>
    </row>
    <row r="42" spans="2:36" ht="15.6" x14ac:dyDescent="0.3">
      <c r="B42" s="114">
        <f t="shared" si="13"/>
        <v>44571</v>
      </c>
      <c r="C42">
        <f t="shared" si="15"/>
        <v>5.5</v>
      </c>
      <c r="D42" s="109">
        <f t="shared" si="16"/>
        <v>19.066666666666666</v>
      </c>
      <c r="E42" s="109">
        <f t="shared" si="17"/>
        <v>72.86666666666666</v>
      </c>
      <c r="F42" s="107">
        <f t="shared" si="23"/>
        <v>44571.295138888891</v>
      </c>
      <c r="G42" s="106">
        <f t="shared" si="18"/>
        <v>0.22916666666666666</v>
      </c>
      <c r="H42" t="str">
        <f t="shared" si="19"/>
        <v>Monday</v>
      </c>
      <c r="I42" s="106">
        <v>0.52430555555555003</v>
      </c>
      <c r="J42" s="115" t="e">
        <f t="shared" si="24"/>
        <v>#VALUE!</v>
      </c>
      <c r="K42" s="115" t="e">
        <f t="shared" si="25"/>
        <v>#VALUE!</v>
      </c>
      <c r="L42" s="115" t="e">
        <f t="shared" si="26"/>
        <v>#VALUE!</v>
      </c>
      <c r="M42" s="115" t="e">
        <f t="shared" si="27"/>
        <v>#VALUE!</v>
      </c>
      <c r="N42" s="115" t="e">
        <f t="shared" si="28"/>
        <v>#VALUE!</v>
      </c>
      <c r="O42" s="115" t="e">
        <f t="shared" si="29"/>
        <v>#VALUE!</v>
      </c>
      <c r="P42" s="115" t="e">
        <f t="shared" si="20"/>
        <v>#VALUE!</v>
      </c>
      <c r="Q42" s="115" t="e">
        <f t="shared" si="21"/>
        <v>#VALUE!</v>
      </c>
      <c r="R42" s="115" t="e">
        <f t="shared" si="22"/>
        <v>#VALUE!</v>
      </c>
      <c r="S42" s="126" t="e">
        <f>FLOOR(MOD(divplanetlongitude(Charts2[[#This Row],[Asdt ]],9,1),30),1)</f>
        <v>#VALUE!</v>
      </c>
      <c r="T42" s="126" t="e">
        <f>FLOOR(MOD(divplanetlongitude(Charts2[[#This Row],[Sun ]],9,1),30),1)</f>
        <v>#VALUE!</v>
      </c>
      <c r="U42" s="126" t="e">
        <f>FLOOR(MOD(divplanetlongitude(Charts2[[#This Row],[Moon ]],9,1),30),1)</f>
        <v>#VALUE!</v>
      </c>
      <c r="V42" s="126" t="e">
        <f>FLOOR(MOD(divplanetlongitude(Charts2[[#This Row],[Mars ]],9,1),30),1)</f>
        <v>#VALUE!</v>
      </c>
      <c r="W42" s="126" t="e">
        <f>FLOOR(MOD(divplanetlongitude(Charts2[[#This Row],[Merc]],9,1),30),1)</f>
        <v>#VALUE!</v>
      </c>
      <c r="X42" s="126" t="e">
        <f>FLOOR(MOD(divplanetlongitude(Charts2[[#This Row],[Jupiter]],9,1),30),1)</f>
        <v>#VALUE!</v>
      </c>
      <c r="Y42" s="126" t="e">
        <f>FLOOR(MOD(divplanetlongitude(Charts2[[#This Row],[Venus ]],9,1),30),1)</f>
        <v>#VALUE!</v>
      </c>
      <c r="Z42" s="126" t="e">
        <f>FLOOR(MOD(divplanetlongitude(Charts2[[#This Row],[Saturn ]],9,1),30),1)</f>
        <v>#VALUE!</v>
      </c>
      <c r="AA42" s="126" t="e">
        <f>FLOOR(MOD(divplanetlongitude(Charts2[[#This Row],[Rahu ]],9,1),30),1)</f>
        <v>#VALUE!</v>
      </c>
      <c r="AB42" s="126" t="e">
        <f>FLOOR(MOD(Charts2[[#This Row],[Asdt ]],30),1)</f>
        <v>#VALUE!</v>
      </c>
      <c r="AC42" s="126" t="e">
        <f>FLOOR(MOD(Charts2[[#This Row],[Sun ]],30),1)</f>
        <v>#VALUE!</v>
      </c>
      <c r="AD42" s="126" t="e">
        <f>FLOOR(MOD(Charts2[[#This Row],[Moon ]],30),1)</f>
        <v>#VALUE!</v>
      </c>
      <c r="AE42" s="126" t="e">
        <f>FLOOR(MOD(Charts2[[#This Row],[Mars ]],30),1)</f>
        <v>#VALUE!</v>
      </c>
      <c r="AF42" s="126" t="e">
        <f>FLOOR(MOD(Charts2[[#This Row],[Merc]],30),1)</f>
        <v>#VALUE!</v>
      </c>
      <c r="AG42" s="126" t="e">
        <f>FLOOR(MOD(Charts2[[#This Row],[Jupiter]],30),1)</f>
        <v>#VALUE!</v>
      </c>
      <c r="AH42" s="126" t="e">
        <f>FLOOR(MOD(Charts2[[#This Row],[Venus ]],30),1)</f>
        <v>#VALUE!</v>
      </c>
      <c r="AI42" s="126" t="e">
        <f>FLOOR(MOD(Charts2[[#This Row],[Saturn ]],30),1)</f>
        <v>#VALUE!</v>
      </c>
      <c r="AJ42" s="126" t="e">
        <f>FLOOR(MOD(Charts2[[#This Row],[Rahu ]],30),1)</f>
        <v>#VALUE!</v>
      </c>
    </row>
    <row r="43" spans="2:36" ht="15.6" x14ac:dyDescent="0.3">
      <c r="B43" s="114">
        <f t="shared" si="13"/>
        <v>44571</v>
      </c>
      <c r="C43">
        <f t="shared" si="15"/>
        <v>5.5</v>
      </c>
      <c r="D43" s="109">
        <f t="shared" si="16"/>
        <v>19.066666666666666</v>
      </c>
      <c r="E43" s="109">
        <f t="shared" si="17"/>
        <v>72.86666666666666</v>
      </c>
      <c r="F43" s="107">
        <f t="shared" si="23"/>
        <v>44571.298611111117</v>
      </c>
      <c r="G43" s="106">
        <f t="shared" si="18"/>
        <v>0.22916666666666666</v>
      </c>
      <c r="H43" t="str">
        <f t="shared" si="19"/>
        <v>Monday</v>
      </c>
      <c r="I43" s="106">
        <v>0.52777777777777202</v>
      </c>
      <c r="J43" s="115" t="e">
        <f t="shared" si="24"/>
        <v>#VALUE!</v>
      </c>
      <c r="K43" s="115" t="e">
        <f t="shared" si="25"/>
        <v>#VALUE!</v>
      </c>
      <c r="L43" s="115" t="e">
        <f t="shared" si="26"/>
        <v>#VALUE!</v>
      </c>
      <c r="M43" s="115" t="e">
        <f t="shared" si="27"/>
        <v>#VALUE!</v>
      </c>
      <c r="N43" s="115" t="e">
        <f t="shared" si="28"/>
        <v>#VALUE!</v>
      </c>
      <c r="O43" s="115" t="e">
        <f t="shared" si="29"/>
        <v>#VALUE!</v>
      </c>
      <c r="P43" s="115" t="e">
        <f t="shared" si="20"/>
        <v>#VALUE!</v>
      </c>
      <c r="Q43" s="115" t="e">
        <f t="shared" si="21"/>
        <v>#VALUE!</v>
      </c>
      <c r="R43" s="115" t="e">
        <f t="shared" si="22"/>
        <v>#VALUE!</v>
      </c>
      <c r="S43" s="126" t="e">
        <f>FLOOR(MOD(divplanetlongitude(Charts2[[#This Row],[Asdt ]],9,1),30),1)</f>
        <v>#VALUE!</v>
      </c>
      <c r="T43" s="126" t="e">
        <f>FLOOR(MOD(divplanetlongitude(Charts2[[#This Row],[Sun ]],9,1),30),1)</f>
        <v>#VALUE!</v>
      </c>
      <c r="U43" s="126" t="e">
        <f>FLOOR(MOD(divplanetlongitude(Charts2[[#This Row],[Moon ]],9,1),30),1)</f>
        <v>#VALUE!</v>
      </c>
      <c r="V43" s="126" t="e">
        <f>FLOOR(MOD(divplanetlongitude(Charts2[[#This Row],[Mars ]],9,1),30),1)</f>
        <v>#VALUE!</v>
      </c>
      <c r="W43" s="126" t="e">
        <f>FLOOR(MOD(divplanetlongitude(Charts2[[#This Row],[Merc]],9,1),30),1)</f>
        <v>#VALUE!</v>
      </c>
      <c r="X43" s="126" t="e">
        <f>FLOOR(MOD(divplanetlongitude(Charts2[[#This Row],[Jupiter]],9,1),30),1)</f>
        <v>#VALUE!</v>
      </c>
      <c r="Y43" s="126" t="e">
        <f>FLOOR(MOD(divplanetlongitude(Charts2[[#This Row],[Venus ]],9,1),30),1)</f>
        <v>#VALUE!</v>
      </c>
      <c r="Z43" s="126" t="e">
        <f>FLOOR(MOD(divplanetlongitude(Charts2[[#This Row],[Saturn ]],9,1),30),1)</f>
        <v>#VALUE!</v>
      </c>
      <c r="AA43" s="126" t="e">
        <f>FLOOR(MOD(divplanetlongitude(Charts2[[#This Row],[Rahu ]],9,1),30),1)</f>
        <v>#VALUE!</v>
      </c>
      <c r="AB43" s="126" t="e">
        <f>FLOOR(MOD(Charts2[[#This Row],[Asdt ]],30),1)</f>
        <v>#VALUE!</v>
      </c>
      <c r="AC43" s="126" t="e">
        <f>FLOOR(MOD(Charts2[[#This Row],[Sun ]],30),1)</f>
        <v>#VALUE!</v>
      </c>
      <c r="AD43" s="126" t="e">
        <f>FLOOR(MOD(Charts2[[#This Row],[Moon ]],30),1)</f>
        <v>#VALUE!</v>
      </c>
      <c r="AE43" s="126" t="e">
        <f>FLOOR(MOD(Charts2[[#This Row],[Mars ]],30),1)</f>
        <v>#VALUE!</v>
      </c>
      <c r="AF43" s="126" t="e">
        <f>FLOOR(MOD(Charts2[[#This Row],[Merc]],30),1)</f>
        <v>#VALUE!</v>
      </c>
      <c r="AG43" s="126" t="e">
        <f>FLOOR(MOD(Charts2[[#This Row],[Jupiter]],30),1)</f>
        <v>#VALUE!</v>
      </c>
      <c r="AH43" s="126" t="e">
        <f>FLOOR(MOD(Charts2[[#This Row],[Venus ]],30),1)</f>
        <v>#VALUE!</v>
      </c>
      <c r="AI43" s="126" t="e">
        <f>FLOOR(MOD(Charts2[[#This Row],[Saturn ]],30),1)</f>
        <v>#VALUE!</v>
      </c>
      <c r="AJ43" s="126" t="e">
        <f>FLOOR(MOD(Charts2[[#This Row],[Rahu ]],30),1)</f>
        <v>#VALUE!</v>
      </c>
    </row>
    <row r="44" spans="2:36" ht="15.6" x14ac:dyDescent="0.3">
      <c r="B44" s="114">
        <f t="shared" si="13"/>
        <v>44571</v>
      </c>
      <c r="C44">
        <f t="shared" si="15"/>
        <v>5.5</v>
      </c>
      <c r="D44" s="109">
        <f t="shared" si="16"/>
        <v>19.066666666666666</v>
      </c>
      <c r="E44" s="109">
        <f t="shared" si="17"/>
        <v>72.86666666666666</v>
      </c>
      <c r="F44" s="107">
        <f t="shared" si="23"/>
        <v>44571.302083333336</v>
      </c>
      <c r="G44" s="106">
        <f t="shared" si="18"/>
        <v>0.22916666666666666</v>
      </c>
      <c r="H44" t="str">
        <f t="shared" si="19"/>
        <v>Monday</v>
      </c>
      <c r="I44" s="106">
        <v>0.531249999999994</v>
      </c>
      <c r="J44" s="115" t="e">
        <f t="shared" si="24"/>
        <v>#VALUE!</v>
      </c>
      <c r="K44" s="115" t="e">
        <f t="shared" si="25"/>
        <v>#VALUE!</v>
      </c>
      <c r="L44" s="115" t="e">
        <f t="shared" si="26"/>
        <v>#VALUE!</v>
      </c>
      <c r="M44" s="115" t="e">
        <f t="shared" si="27"/>
        <v>#VALUE!</v>
      </c>
      <c r="N44" s="115" t="e">
        <f t="shared" si="28"/>
        <v>#VALUE!</v>
      </c>
      <c r="O44" s="115" t="e">
        <f t="shared" si="29"/>
        <v>#VALUE!</v>
      </c>
      <c r="P44" s="115" t="e">
        <f t="shared" si="20"/>
        <v>#VALUE!</v>
      </c>
      <c r="Q44" s="115" t="e">
        <f t="shared" si="21"/>
        <v>#VALUE!</v>
      </c>
      <c r="R44" s="115" t="e">
        <f t="shared" si="22"/>
        <v>#VALUE!</v>
      </c>
      <c r="S44" s="126" t="e">
        <f>FLOOR(MOD(divplanetlongitude(Charts2[[#This Row],[Asdt ]],9,1),30),1)</f>
        <v>#VALUE!</v>
      </c>
      <c r="T44" s="126" t="e">
        <f>FLOOR(MOD(divplanetlongitude(Charts2[[#This Row],[Sun ]],9,1),30),1)</f>
        <v>#VALUE!</v>
      </c>
      <c r="U44" s="126" t="e">
        <f>FLOOR(MOD(divplanetlongitude(Charts2[[#This Row],[Moon ]],9,1),30),1)</f>
        <v>#VALUE!</v>
      </c>
      <c r="V44" s="126" t="e">
        <f>FLOOR(MOD(divplanetlongitude(Charts2[[#This Row],[Mars ]],9,1),30),1)</f>
        <v>#VALUE!</v>
      </c>
      <c r="W44" s="126" t="e">
        <f>FLOOR(MOD(divplanetlongitude(Charts2[[#This Row],[Merc]],9,1),30),1)</f>
        <v>#VALUE!</v>
      </c>
      <c r="X44" s="126" t="e">
        <f>FLOOR(MOD(divplanetlongitude(Charts2[[#This Row],[Jupiter]],9,1),30),1)</f>
        <v>#VALUE!</v>
      </c>
      <c r="Y44" s="126" t="e">
        <f>FLOOR(MOD(divplanetlongitude(Charts2[[#This Row],[Venus ]],9,1),30),1)</f>
        <v>#VALUE!</v>
      </c>
      <c r="Z44" s="126" t="e">
        <f>FLOOR(MOD(divplanetlongitude(Charts2[[#This Row],[Saturn ]],9,1),30),1)</f>
        <v>#VALUE!</v>
      </c>
      <c r="AA44" s="126" t="e">
        <f>FLOOR(MOD(divplanetlongitude(Charts2[[#This Row],[Rahu ]],9,1),30),1)</f>
        <v>#VALUE!</v>
      </c>
      <c r="AB44" s="126" t="e">
        <f>FLOOR(MOD(Charts2[[#This Row],[Asdt ]],30),1)</f>
        <v>#VALUE!</v>
      </c>
      <c r="AC44" s="126" t="e">
        <f>FLOOR(MOD(Charts2[[#This Row],[Sun ]],30),1)</f>
        <v>#VALUE!</v>
      </c>
      <c r="AD44" s="126" t="e">
        <f>FLOOR(MOD(Charts2[[#This Row],[Moon ]],30),1)</f>
        <v>#VALUE!</v>
      </c>
      <c r="AE44" s="126" t="e">
        <f>FLOOR(MOD(Charts2[[#This Row],[Mars ]],30),1)</f>
        <v>#VALUE!</v>
      </c>
      <c r="AF44" s="126" t="e">
        <f>FLOOR(MOD(Charts2[[#This Row],[Merc]],30),1)</f>
        <v>#VALUE!</v>
      </c>
      <c r="AG44" s="126" t="e">
        <f>FLOOR(MOD(Charts2[[#This Row],[Jupiter]],30),1)</f>
        <v>#VALUE!</v>
      </c>
      <c r="AH44" s="126" t="e">
        <f>FLOOR(MOD(Charts2[[#This Row],[Venus ]],30),1)</f>
        <v>#VALUE!</v>
      </c>
      <c r="AI44" s="126" t="e">
        <f>FLOOR(MOD(Charts2[[#This Row],[Saturn ]],30),1)</f>
        <v>#VALUE!</v>
      </c>
      <c r="AJ44" s="126" t="e">
        <f>FLOOR(MOD(Charts2[[#This Row],[Rahu ]],30),1)</f>
        <v>#VALUE!</v>
      </c>
    </row>
    <row r="45" spans="2:36" ht="15.6" x14ac:dyDescent="0.3">
      <c r="B45" s="114">
        <f t="shared" si="13"/>
        <v>44571</v>
      </c>
      <c r="C45">
        <f t="shared" si="15"/>
        <v>5.5</v>
      </c>
      <c r="D45" s="109">
        <f t="shared" si="16"/>
        <v>19.066666666666666</v>
      </c>
      <c r="E45" s="109">
        <f t="shared" si="17"/>
        <v>72.86666666666666</v>
      </c>
      <c r="F45" s="107">
        <f t="shared" si="23"/>
        <v>44571.305555555555</v>
      </c>
      <c r="G45" s="106">
        <f t="shared" si="18"/>
        <v>0.22916666666666666</v>
      </c>
      <c r="H45" t="str">
        <f t="shared" si="19"/>
        <v>Monday</v>
      </c>
      <c r="I45" s="106">
        <v>0.53472222222221599</v>
      </c>
      <c r="J45" s="115" t="e">
        <f t="shared" si="24"/>
        <v>#VALUE!</v>
      </c>
      <c r="K45" s="115" t="e">
        <f t="shared" si="25"/>
        <v>#VALUE!</v>
      </c>
      <c r="L45" s="115" t="e">
        <f t="shared" si="26"/>
        <v>#VALUE!</v>
      </c>
      <c r="M45" s="115" t="e">
        <f t="shared" si="27"/>
        <v>#VALUE!</v>
      </c>
      <c r="N45" s="115" t="e">
        <f t="shared" si="28"/>
        <v>#VALUE!</v>
      </c>
      <c r="O45" s="115" t="e">
        <f t="shared" si="29"/>
        <v>#VALUE!</v>
      </c>
      <c r="P45" s="115" t="e">
        <f t="shared" si="20"/>
        <v>#VALUE!</v>
      </c>
      <c r="Q45" s="115" t="e">
        <f t="shared" si="21"/>
        <v>#VALUE!</v>
      </c>
      <c r="R45" s="115" t="e">
        <f t="shared" si="22"/>
        <v>#VALUE!</v>
      </c>
      <c r="S45" s="126" t="e">
        <f>FLOOR(MOD(divplanetlongitude(Charts2[[#This Row],[Asdt ]],9,1),30),1)</f>
        <v>#VALUE!</v>
      </c>
      <c r="T45" s="126" t="e">
        <f>FLOOR(MOD(divplanetlongitude(Charts2[[#This Row],[Sun ]],9,1),30),1)</f>
        <v>#VALUE!</v>
      </c>
      <c r="U45" s="126" t="e">
        <f>FLOOR(MOD(divplanetlongitude(Charts2[[#This Row],[Moon ]],9,1),30),1)</f>
        <v>#VALUE!</v>
      </c>
      <c r="V45" s="126" t="e">
        <f>FLOOR(MOD(divplanetlongitude(Charts2[[#This Row],[Mars ]],9,1),30),1)</f>
        <v>#VALUE!</v>
      </c>
      <c r="W45" s="126" t="e">
        <f>FLOOR(MOD(divplanetlongitude(Charts2[[#This Row],[Merc]],9,1),30),1)</f>
        <v>#VALUE!</v>
      </c>
      <c r="X45" s="126" t="e">
        <f>FLOOR(MOD(divplanetlongitude(Charts2[[#This Row],[Jupiter]],9,1),30),1)</f>
        <v>#VALUE!</v>
      </c>
      <c r="Y45" s="126" t="e">
        <f>FLOOR(MOD(divplanetlongitude(Charts2[[#This Row],[Venus ]],9,1),30),1)</f>
        <v>#VALUE!</v>
      </c>
      <c r="Z45" s="126" t="e">
        <f>FLOOR(MOD(divplanetlongitude(Charts2[[#This Row],[Saturn ]],9,1),30),1)</f>
        <v>#VALUE!</v>
      </c>
      <c r="AA45" s="126" t="e">
        <f>FLOOR(MOD(divplanetlongitude(Charts2[[#This Row],[Rahu ]],9,1),30),1)</f>
        <v>#VALUE!</v>
      </c>
      <c r="AB45" s="126" t="e">
        <f>FLOOR(MOD(Charts2[[#This Row],[Asdt ]],30),1)</f>
        <v>#VALUE!</v>
      </c>
      <c r="AC45" s="126" t="e">
        <f>FLOOR(MOD(Charts2[[#This Row],[Sun ]],30),1)</f>
        <v>#VALUE!</v>
      </c>
      <c r="AD45" s="126" t="e">
        <f>FLOOR(MOD(Charts2[[#This Row],[Moon ]],30),1)</f>
        <v>#VALUE!</v>
      </c>
      <c r="AE45" s="126" t="e">
        <f>FLOOR(MOD(Charts2[[#This Row],[Mars ]],30),1)</f>
        <v>#VALUE!</v>
      </c>
      <c r="AF45" s="126" t="e">
        <f>FLOOR(MOD(Charts2[[#This Row],[Merc]],30),1)</f>
        <v>#VALUE!</v>
      </c>
      <c r="AG45" s="126" t="e">
        <f>FLOOR(MOD(Charts2[[#This Row],[Jupiter]],30),1)</f>
        <v>#VALUE!</v>
      </c>
      <c r="AH45" s="126" t="e">
        <f>FLOOR(MOD(Charts2[[#This Row],[Venus ]],30),1)</f>
        <v>#VALUE!</v>
      </c>
      <c r="AI45" s="126" t="e">
        <f>FLOOR(MOD(Charts2[[#This Row],[Saturn ]],30),1)</f>
        <v>#VALUE!</v>
      </c>
      <c r="AJ45" s="126" t="e">
        <f>FLOOR(MOD(Charts2[[#This Row],[Rahu ]],30),1)</f>
        <v>#VALUE!</v>
      </c>
    </row>
    <row r="46" spans="2:36" ht="15.6" x14ac:dyDescent="0.3">
      <c r="B46" s="114">
        <f t="shared" si="13"/>
        <v>44571</v>
      </c>
      <c r="C46">
        <f t="shared" si="15"/>
        <v>5.5</v>
      </c>
      <c r="D46" s="109">
        <f t="shared" si="16"/>
        <v>19.066666666666666</v>
      </c>
      <c r="E46" s="109">
        <f t="shared" si="17"/>
        <v>72.86666666666666</v>
      </c>
      <c r="F46" s="107">
        <f t="shared" si="23"/>
        <v>44571.309027777781</v>
      </c>
      <c r="G46" s="106">
        <f t="shared" si="18"/>
        <v>0.22916666666666666</v>
      </c>
      <c r="H46" t="str">
        <f t="shared" si="19"/>
        <v>Monday</v>
      </c>
      <c r="I46" s="106">
        <v>0.53819444444443798</v>
      </c>
      <c r="J46" s="115" t="e">
        <f t="shared" si="24"/>
        <v>#VALUE!</v>
      </c>
      <c r="K46" s="115" t="e">
        <f t="shared" si="25"/>
        <v>#VALUE!</v>
      </c>
      <c r="L46" s="115" t="e">
        <f t="shared" si="26"/>
        <v>#VALUE!</v>
      </c>
      <c r="M46" s="115" t="e">
        <f t="shared" si="27"/>
        <v>#VALUE!</v>
      </c>
      <c r="N46" s="115" t="e">
        <f t="shared" si="28"/>
        <v>#VALUE!</v>
      </c>
      <c r="O46" s="115" t="e">
        <f t="shared" si="29"/>
        <v>#VALUE!</v>
      </c>
      <c r="P46" s="115" t="e">
        <f t="shared" si="20"/>
        <v>#VALUE!</v>
      </c>
      <c r="Q46" s="115" t="e">
        <f t="shared" si="21"/>
        <v>#VALUE!</v>
      </c>
      <c r="R46" s="115" t="e">
        <f t="shared" si="22"/>
        <v>#VALUE!</v>
      </c>
      <c r="S46" s="126" t="e">
        <f>FLOOR(MOD(divplanetlongitude(Charts2[[#This Row],[Asdt ]],9,1),30),1)</f>
        <v>#VALUE!</v>
      </c>
      <c r="T46" s="126" t="e">
        <f>FLOOR(MOD(divplanetlongitude(Charts2[[#This Row],[Sun ]],9,1),30),1)</f>
        <v>#VALUE!</v>
      </c>
      <c r="U46" s="126" t="e">
        <f>FLOOR(MOD(divplanetlongitude(Charts2[[#This Row],[Moon ]],9,1),30),1)</f>
        <v>#VALUE!</v>
      </c>
      <c r="V46" s="126" t="e">
        <f>FLOOR(MOD(divplanetlongitude(Charts2[[#This Row],[Mars ]],9,1),30),1)</f>
        <v>#VALUE!</v>
      </c>
      <c r="W46" s="126" t="e">
        <f>FLOOR(MOD(divplanetlongitude(Charts2[[#This Row],[Merc]],9,1),30),1)</f>
        <v>#VALUE!</v>
      </c>
      <c r="X46" s="126" t="e">
        <f>FLOOR(MOD(divplanetlongitude(Charts2[[#This Row],[Jupiter]],9,1),30),1)</f>
        <v>#VALUE!</v>
      </c>
      <c r="Y46" s="126" t="e">
        <f>FLOOR(MOD(divplanetlongitude(Charts2[[#This Row],[Venus ]],9,1),30),1)</f>
        <v>#VALUE!</v>
      </c>
      <c r="Z46" s="126" t="e">
        <f>FLOOR(MOD(divplanetlongitude(Charts2[[#This Row],[Saturn ]],9,1),30),1)</f>
        <v>#VALUE!</v>
      </c>
      <c r="AA46" s="126" t="e">
        <f>FLOOR(MOD(divplanetlongitude(Charts2[[#This Row],[Rahu ]],9,1),30),1)</f>
        <v>#VALUE!</v>
      </c>
      <c r="AB46" s="126" t="e">
        <f>FLOOR(MOD(Charts2[[#This Row],[Asdt ]],30),1)</f>
        <v>#VALUE!</v>
      </c>
      <c r="AC46" s="126" t="e">
        <f>FLOOR(MOD(Charts2[[#This Row],[Sun ]],30),1)</f>
        <v>#VALUE!</v>
      </c>
      <c r="AD46" s="126" t="e">
        <f>FLOOR(MOD(Charts2[[#This Row],[Moon ]],30),1)</f>
        <v>#VALUE!</v>
      </c>
      <c r="AE46" s="126" t="e">
        <f>FLOOR(MOD(Charts2[[#This Row],[Mars ]],30),1)</f>
        <v>#VALUE!</v>
      </c>
      <c r="AF46" s="126" t="e">
        <f>FLOOR(MOD(Charts2[[#This Row],[Merc]],30),1)</f>
        <v>#VALUE!</v>
      </c>
      <c r="AG46" s="126" t="e">
        <f>FLOOR(MOD(Charts2[[#This Row],[Jupiter]],30),1)</f>
        <v>#VALUE!</v>
      </c>
      <c r="AH46" s="126" t="e">
        <f>FLOOR(MOD(Charts2[[#This Row],[Venus ]],30),1)</f>
        <v>#VALUE!</v>
      </c>
      <c r="AI46" s="126" t="e">
        <f>FLOOR(MOD(Charts2[[#This Row],[Saturn ]],30),1)</f>
        <v>#VALUE!</v>
      </c>
      <c r="AJ46" s="126" t="e">
        <f>FLOOR(MOD(Charts2[[#This Row],[Rahu ]],30),1)</f>
        <v>#VALUE!</v>
      </c>
    </row>
    <row r="47" spans="2:36" ht="15.6" x14ac:dyDescent="0.3">
      <c r="B47" s="114">
        <f t="shared" si="13"/>
        <v>44571</v>
      </c>
      <c r="C47">
        <f t="shared" si="15"/>
        <v>5.5</v>
      </c>
      <c r="D47" s="109">
        <f t="shared" si="16"/>
        <v>19.066666666666666</v>
      </c>
      <c r="E47" s="109">
        <f t="shared" si="17"/>
        <v>72.86666666666666</v>
      </c>
      <c r="F47" s="107">
        <f t="shared" si="23"/>
        <v>44571.3125</v>
      </c>
      <c r="G47" s="106">
        <f t="shared" si="18"/>
        <v>0.22916666666666666</v>
      </c>
      <c r="H47" t="str">
        <f t="shared" si="19"/>
        <v>Monday</v>
      </c>
      <c r="I47" s="106">
        <v>0.54166666666665997</v>
      </c>
      <c r="J47" s="115" t="e">
        <f t="shared" si="24"/>
        <v>#VALUE!</v>
      </c>
      <c r="K47" s="115" t="e">
        <f t="shared" si="25"/>
        <v>#VALUE!</v>
      </c>
      <c r="L47" s="115" t="e">
        <f t="shared" si="26"/>
        <v>#VALUE!</v>
      </c>
      <c r="M47" s="115" t="e">
        <f t="shared" si="27"/>
        <v>#VALUE!</v>
      </c>
      <c r="N47" s="115" t="e">
        <f t="shared" si="28"/>
        <v>#VALUE!</v>
      </c>
      <c r="O47" s="115" t="e">
        <f t="shared" si="29"/>
        <v>#VALUE!</v>
      </c>
      <c r="P47" s="115" t="e">
        <f t="shared" si="20"/>
        <v>#VALUE!</v>
      </c>
      <c r="Q47" s="115" t="e">
        <f t="shared" si="21"/>
        <v>#VALUE!</v>
      </c>
      <c r="R47" s="115" t="e">
        <f t="shared" si="22"/>
        <v>#VALUE!</v>
      </c>
      <c r="S47" s="126" t="e">
        <f>FLOOR(MOD(divplanetlongitude(Charts2[[#This Row],[Asdt ]],9,1),30),1)</f>
        <v>#VALUE!</v>
      </c>
      <c r="T47" s="126" t="e">
        <f>FLOOR(MOD(divplanetlongitude(Charts2[[#This Row],[Sun ]],9,1),30),1)</f>
        <v>#VALUE!</v>
      </c>
      <c r="U47" s="126" t="e">
        <f>FLOOR(MOD(divplanetlongitude(Charts2[[#This Row],[Moon ]],9,1),30),1)</f>
        <v>#VALUE!</v>
      </c>
      <c r="V47" s="126" t="e">
        <f>FLOOR(MOD(divplanetlongitude(Charts2[[#This Row],[Mars ]],9,1),30),1)</f>
        <v>#VALUE!</v>
      </c>
      <c r="W47" s="126" t="e">
        <f>FLOOR(MOD(divplanetlongitude(Charts2[[#This Row],[Merc]],9,1),30),1)</f>
        <v>#VALUE!</v>
      </c>
      <c r="X47" s="126" t="e">
        <f>FLOOR(MOD(divplanetlongitude(Charts2[[#This Row],[Jupiter]],9,1),30),1)</f>
        <v>#VALUE!</v>
      </c>
      <c r="Y47" s="126" t="e">
        <f>FLOOR(MOD(divplanetlongitude(Charts2[[#This Row],[Venus ]],9,1),30),1)</f>
        <v>#VALUE!</v>
      </c>
      <c r="Z47" s="126" t="e">
        <f>FLOOR(MOD(divplanetlongitude(Charts2[[#This Row],[Saturn ]],9,1),30),1)</f>
        <v>#VALUE!</v>
      </c>
      <c r="AA47" s="126" t="e">
        <f>FLOOR(MOD(divplanetlongitude(Charts2[[#This Row],[Rahu ]],9,1),30),1)</f>
        <v>#VALUE!</v>
      </c>
      <c r="AB47" s="126" t="e">
        <f>FLOOR(MOD(Charts2[[#This Row],[Asdt ]],30),1)</f>
        <v>#VALUE!</v>
      </c>
      <c r="AC47" s="126" t="e">
        <f>FLOOR(MOD(Charts2[[#This Row],[Sun ]],30),1)</f>
        <v>#VALUE!</v>
      </c>
      <c r="AD47" s="126" t="e">
        <f>FLOOR(MOD(Charts2[[#This Row],[Moon ]],30),1)</f>
        <v>#VALUE!</v>
      </c>
      <c r="AE47" s="126" t="e">
        <f>FLOOR(MOD(Charts2[[#This Row],[Mars ]],30),1)</f>
        <v>#VALUE!</v>
      </c>
      <c r="AF47" s="126" t="e">
        <f>FLOOR(MOD(Charts2[[#This Row],[Merc]],30),1)</f>
        <v>#VALUE!</v>
      </c>
      <c r="AG47" s="126" t="e">
        <f>FLOOR(MOD(Charts2[[#This Row],[Jupiter]],30),1)</f>
        <v>#VALUE!</v>
      </c>
      <c r="AH47" s="126" t="e">
        <f>FLOOR(MOD(Charts2[[#This Row],[Venus ]],30),1)</f>
        <v>#VALUE!</v>
      </c>
      <c r="AI47" s="126" t="e">
        <f>FLOOR(MOD(Charts2[[#This Row],[Saturn ]],30),1)</f>
        <v>#VALUE!</v>
      </c>
      <c r="AJ47" s="126" t="e">
        <f>FLOOR(MOD(Charts2[[#This Row],[Rahu ]],30),1)</f>
        <v>#VALUE!</v>
      </c>
    </row>
    <row r="48" spans="2:36" ht="15.6" x14ac:dyDescent="0.3">
      <c r="B48" s="114">
        <f t="shared" si="13"/>
        <v>44571</v>
      </c>
      <c r="C48">
        <f t="shared" si="15"/>
        <v>5.5</v>
      </c>
      <c r="D48" s="109">
        <f t="shared" si="16"/>
        <v>19.066666666666666</v>
      </c>
      <c r="E48" s="109">
        <f t="shared" si="17"/>
        <v>72.86666666666666</v>
      </c>
      <c r="F48" s="107">
        <f t="shared" si="23"/>
        <v>44571.315972222226</v>
      </c>
      <c r="G48" s="106">
        <f t="shared" si="18"/>
        <v>0.22916666666666666</v>
      </c>
      <c r="H48" t="str">
        <f t="shared" si="19"/>
        <v>Monday</v>
      </c>
      <c r="I48" s="106">
        <v>0.54513888888888196</v>
      </c>
      <c r="J48" s="115" t="e">
        <f t="shared" si="24"/>
        <v>#VALUE!</v>
      </c>
      <c r="K48" s="115" t="e">
        <f t="shared" si="25"/>
        <v>#VALUE!</v>
      </c>
      <c r="L48" s="115" t="e">
        <f t="shared" si="26"/>
        <v>#VALUE!</v>
      </c>
      <c r="M48" s="115" t="e">
        <f t="shared" si="27"/>
        <v>#VALUE!</v>
      </c>
      <c r="N48" s="115" t="e">
        <f t="shared" si="28"/>
        <v>#VALUE!</v>
      </c>
      <c r="O48" s="115" t="e">
        <f t="shared" si="29"/>
        <v>#VALUE!</v>
      </c>
      <c r="P48" s="115" t="e">
        <f t="shared" si="20"/>
        <v>#VALUE!</v>
      </c>
      <c r="Q48" s="115" t="e">
        <f t="shared" si="21"/>
        <v>#VALUE!</v>
      </c>
      <c r="R48" s="115" t="e">
        <f t="shared" si="22"/>
        <v>#VALUE!</v>
      </c>
      <c r="S48" s="126" t="e">
        <f>FLOOR(MOD(divplanetlongitude(Charts2[[#This Row],[Asdt ]],9,1),30),1)</f>
        <v>#VALUE!</v>
      </c>
      <c r="T48" s="126" t="e">
        <f>FLOOR(MOD(divplanetlongitude(Charts2[[#This Row],[Sun ]],9,1),30),1)</f>
        <v>#VALUE!</v>
      </c>
      <c r="U48" s="126" t="e">
        <f>FLOOR(MOD(divplanetlongitude(Charts2[[#This Row],[Moon ]],9,1),30),1)</f>
        <v>#VALUE!</v>
      </c>
      <c r="V48" s="126" t="e">
        <f>FLOOR(MOD(divplanetlongitude(Charts2[[#This Row],[Mars ]],9,1),30),1)</f>
        <v>#VALUE!</v>
      </c>
      <c r="W48" s="126" t="e">
        <f>FLOOR(MOD(divplanetlongitude(Charts2[[#This Row],[Merc]],9,1),30),1)</f>
        <v>#VALUE!</v>
      </c>
      <c r="X48" s="126" t="e">
        <f>FLOOR(MOD(divplanetlongitude(Charts2[[#This Row],[Jupiter]],9,1),30),1)</f>
        <v>#VALUE!</v>
      </c>
      <c r="Y48" s="126" t="e">
        <f>FLOOR(MOD(divplanetlongitude(Charts2[[#This Row],[Venus ]],9,1),30),1)</f>
        <v>#VALUE!</v>
      </c>
      <c r="Z48" s="126" t="e">
        <f>FLOOR(MOD(divplanetlongitude(Charts2[[#This Row],[Saturn ]],9,1),30),1)</f>
        <v>#VALUE!</v>
      </c>
      <c r="AA48" s="126" t="e">
        <f>FLOOR(MOD(divplanetlongitude(Charts2[[#This Row],[Rahu ]],9,1),30),1)</f>
        <v>#VALUE!</v>
      </c>
      <c r="AB48" s="126" t="e">
        <f>FLOOR(MOD(Charts2[[#This Row],[Asdt ]],30),1)</f>
        <v>#VALUE!</v>
      </c>
      <c r="AC48" s="126" t="e">
        <f>FLOOR(MOD(Charts2[[#This Row],[Sun ]],30),1)</f>
        <v>#VALUE!</v>
      </c>
      <c r="AD48" s="126" t="e">
        <f>FLOOR(MOD(Charts2[[#This Row],[Moon ]],30),1)</f>
        <v>#VALUE!</v>
      </c>
      <c r="AE48" s="126" t="e">
        <f>FLOOR(MOD(Charts2[[#This Row],[Mars ]],30),1)</f>
        <v>#VALUE!</v>
      </c>
      <c r="AF48" s="126" t="e">
        <f>FLOOR(MOD(Charts2[[#This Row],[Merc]],30),1)</f>
        <v>#VALUE!</v>
      </c>
      <c r="AG48" s="126" t="e">
        <f>FLOOR(MOD(Charts2[[#This Row],[Jupiter]],30),1)</f>
        <v>#VALUE!</v>
      </c>
      <c r="AH48" s="126" t="e">
        <f>FLOOR(MOD(Charts2[[#This Row],[Venus ]],30),1)</f>
        <v>#VALUE!</v>
      </c>
      <c r="AI48" s="126" t="e">
        <f>FLOOR(MOD(Charts2[[#This Row],[Saturn ]],30),1)</f>
        <v>#VALUE!</v>
      </c>
      <c r="AJ48" s="126" t="e">
        <f>FLOOR(MOD(Charts2[[#This Row],[Rahu ]],30),1)</f>
        <v>#VALUE!</v>
      </c>
    </row>
    <row r="49" spans="2:36" ht="15.6" x14ac:dyDescent="0.3">
      <c r="B49" s="114">
        <f t="shared" si="13"/>
        <v>44571</v>
      </c>
      <c r="C49">
        <f t="shared" si="15"/>
        <v>5.5</v>
      </c>
      <c r="D49" s="109">
        <f t="shared" si="16"/>
        <v>19.066666666666666</v>
      </c>
      <c r="E49" s="109">
        <f t="shared" si="17"/>
        <v>72.86666666666666</v>
      </c>
      <c r="F49" s="107">
        <f t="shared" si="23"/>
        <v>44571.319444444445</v>
      </c>
      <c r="G49" s="106">
        <f t="shared" si="18"/>
        <v>0.22916666666666666</v>
      </c>
      <c r="H49" t="str">
        <f t="shared" si="19"/>
        <v>Monday</v>
      </c>
      <c r="I49" s="106">
        <v>0.54861111111110406</v>
      </c>
      <c r="J49" s="115" t="e">
        <f t="shared" si="24"/>
        <v>#VALUE!</v>
      </c>
      <c r="K49" s="115" t="e">
        <f t="shared" si="25"/>
        <v>#VALUE!</v>
      </c>
      <c r="L49" s="115" t="e">
        <f t="shared" si="26"/>
        <v>#VALUE!</v>
      </c>
      <c r="M49" s="115" t="e">
        <f t="shared" si="27"/>
        <v>#VALUE!</v>
      </c>
      <c r="N49" s="115" t="e">
        <f t="shared" si="28"/>
        <v>#VALUE!</v>
      </c>
      <c r="O49" s="115" t="e">
        <f t="shared" si="29"/>
        <v>#VALUE!</v>
      </c>
      <c r="P49" s="115" t="e">
        <f t="shared" si="20"/>
        <v>#VALUE!</v>
      </c>
      <c r="Q49" s="115" t="e">
        <f t="shared" si="21"/>
        <v>#VALUE!</v>
      </c>
      <c r="R49" s="115" t="e">
        <f t="shared" si="22"/>
        <v>#VALUE!</v>
      </c>
      <c r="S49" s="126" t="e">
        <f>FLOOR(MOD(divplanetlongitude(Charts2[[#This Row],[Asdt ]],9,1),30),1)</f>
        <v>#VALUE!</v>
      </c>
      <c r="T49" s="126" t="e">
        <f>FLOOR(MOD(divplanetlongitude(Charts2[[#This Row],[Sun ]],9,1),30),1)</f>
        <v>#VALUE!</v>
      </c>
      <c r="U49" s="126" t="e">
        <f>FLOOR(MOD(divplanetlongitude(Charts2[[#This Row],[Moon ]],9,1),30),1)</f>
        <v>#VALUE!</v>
      </c>
      <c r="V49" s="126" t="e">
        <f>FLOOR(MOD(divplanetlongitude(Charts2[[#This Row],[Mars ]],9,1),30),1)</f>
        <v>#VALUE!</v>
      </c>
      <c r="W49" s="126" t="e">
        <f>FLOOR(MOD(divplanetlongitude(Charts2[[#This Row],[Merc]],9,1),30),1)</f>
        <v>#VALUE!</v>
      </c>
      <c r="X49" s="126" t="e">
        <f>FLOOR(MOD(divplanetlongitude(Charts2[[#This Row],[Jupiter]],9,1),30),1)</f>
        <v>#VALUE!</v>
      </c>
      <c r="Y49" s="126" t="e">
        <f>FLOOR(MOD(divplanetlongitude(Charts2[[#This Row],[Venus ]],9,1),30),1)</f>
        <v>#VALUE!</v>
      </c>
      <c r="Z49" s="126" t="e">
        <f>FLOOR(MOD(divplanetlongitude(Charts2[[#This Row],[Saturn ]],9,1),30),1)</f>
        <v>#VALUE!</v>
      </c>
      <c r="AA49" s="126" t="e">
        <f>FLOOR(MOD(divplanetlongitude(Charts2[[#This Row],[Rahu ]],9,1),30),1)</f>
        <v>#VALUE!</v>
      </c>
      <c r="AB49" s="126" t="e">
        <f>FLOOR(MOD(Charts2[[#This Row],[Asdt ]],30),1)</f>
        <v>#VALUE!</v>
      </c>
      <c r="AC49" s="126" t="e">
        <f>FLOOR(MOD(Charts2[[#This Row],[Sun ]],30),1)</f>
        <v>#VALUE!</v>
      </c>
      <c r="AD49" s="126" t="e">
        <f>FLOOR(MOD(Charts2[[#This Row],[Moon ]],30),1)</f>
        <v>#VALUE!</v>
      </c>
      <c r="AE49" s="126" t="e">
        <f>FLOOR(MOD(Charts2[[#This Row],[Mars ]],30),1)</f>
        <v>#VALUE!</v>
      </c>
      <c r="AF49" s="126" t="e">
        <f>FLOOR(MOD(Charts2[[#This Row],[Merc]],30),1)</f>
        <v>#VALUE!</v>
      </c>
      <c r="AG49" s="126" t="e">
        <f>FLOOR(MOD(Charts2[[#This Row],[Jupiter]],30),1)</f>
        <v>#VALUE!</v>
      </c>
      <c r="AH49" s="126" t="e">
        <f>FLOOR(MOD(Charts2[[#This Row],[Venus ]],30),1)</f>
        <v>#VALUE!</v>
      </c>
      <c r="AI49" s="126" t="e">
        <f>FLOOR(MOD(Charts2[[#This Row],[Saturn ]],30),1)</f>
        <v>#VALUE!</v>
      </c>
      <c r="AJ49" s="126" t="e">
        <f>FLOOR(MOD(Charts2[[#This Row],[Rahu ]],30),1)</f>
        <v>#VALUE!</v>
      </c>
    </row>
    <row r="50" spans="2:36" ht="15.6" x14ac:dyDescent="0.3">
      <c r="B50" s="114">
        <f t="shared" si="13"/>
        <v>44571</v>
      </c>
      <c r="C50">
        <f t="shared" si="15"/>
        <v>5.5</v>
      </c>
      <c r="D50" s="109">
        <f t="shared" si="16"/>
        <v>19.066666666666666</v>
      </c>
      <c r="E50" s="109">
        <f t="shared" si="17"/>
        <v>72.86666666666666</v>
      </c>
      <c r="F50" s="107">
        <f t="shared" si="23"/>
        <v>44571.322916666672</v>
      </c>
      <c r="G50" s="106">
        <f t="shared" ref="G50:G77" si="30">sunrise(D50,E50,F50)+C50/24</f>
        <v>0.22916666666666666</v>
      </c>
      <c r="H50" t="str">
        <f t="shared" ref="H50:H77" si="31">CHOOSE(WEEKDAY(F50),"Sunday","Monday","Tuesday","Wednesday","Thursday","Friday","Saturday")</f>
        <v>Monday</v>
      </c>
      <c r="I50" s="106">
        <v>0.55208333333332604</v>
      </c>
      <c r="J50" s="115" t="e">
        <f t="shared" si="24"/>
        <v>#VALUE!</v>
      </c>
      <c r="K50" s="115" t="e">
        <f t="shared" si="25"/>
        <v>#VALUE!</v>
      </c>
      <c r="L50" s="115" t="e">
        <f t="shared" si="26"/>
        <v>#VALUE!</v>
      </c>
      <c r="M50" s="115" t="e">
        <f t="shared" si="27"/>
        <v>#VALUE!</v>
      </c>
      <c r="N50" s="115" t="e">
        <f t="shared" si="28"/>
        <v>#VALUE!</v>
      </c>
      <c r="O50" s="115" t="e">
        <f t="shared" si="29"/>
        <v>#VALUE!</v>
      </c>
      <c r="P50" s="115" t="e">
        <f t="shared" ref="P50:P77" si="32">Planet(F50,3)</f>
        <v>#VALUE!</v>
      </c>
      <c r="Q50" s="115" t="e">
        <f t="shared" ref="Q50:Q77" si="33">Planet(F50,6)</f>
        <v>#VALUE!</v>
      </c>
      <c r="R50" s="115" t="e">
        <f t="shared" ref="R50:R77" si="34">Planet(F50,10)</f>
        <v>#VALUE!</v>
      </c>
      <c r="S50" s="126" t="e">
        <f>FLOOR(MOD(divplanetlongitude(Charts2[[#This Row],[Asdt ]],9,1),30),1)</f>
        <v>#VALUE!</v>
      </c>
      <c r="T50" s="126" t="e">
        <f>FLOOR(MOD(divplanetlongitude(Charts2[[#This Row],[Sun ]],9,1),30),1)</f>
        <v>#VALUE!</v>
      </c>
      <c r="U50" s="126" t="e">
        <f>FLOOR(MOD(divplanetlongitude(Charts2[[#This Row],[Moon ]],9,1),30),1)</f>
        <v>#VALUE!</v>
      </c>
      <c r="V50" s="126" t="e">
        <f>FLOOR(MOD(divplanetlongitude(Charts2[[#This Row],[Mars ]],9,1),30),1)</f>
        <v>#VALUE!</v>
      </c>
      <c r="W50" s="126" t="e">
        <f>FLOOR(MOD(divplanetlongitude(Charts2[[#This Row],[Merc]],9,1),30),1)</f>
        <v>#VALUE!</v>
      </c>
      <c r="X50" s="126" t="e">
        <f>FLOOR(MOD(divplanetlongitude(Charts2[[#This Row],[Jupiter]],9,1),30),1)</f>
        <v>#VALUE!</v>
      </c>
      <c r="Y50" s="126" t="e">
        <f>FLOOR(MOD(divplanetlongitude(Charts2[[#This Row],[Venus ]],9,1),30),1)</f>
        <v>#VALUE!</v>
      </c>
      <c r="Z50" s="126" t="e">
        <f>FLOOR(MOD(divplanetlongitude(Charts2[[#This Row],[Saturn ]],9,1),30),1)</f>
        <v>#VALUE!</v>
      </c>
      <c r="AA50" s="126" t="e">
        <f>FLOOR(MOD(divplanetlongitude(Charts2[[#This Row],[Rahu ]],9,1),30),1)</f>
        <v>#VALUE!</v>
      </c>
      <c r="AB50" s="126" t="e">
        <f>FLOOR(MOD(Charts2[[#This Row],[Asdt ]],30),1)</f>
        <v>#VALUE!</v>
      </c>
      <c r="AC50" s="126" t="e">
        <f>FLOOR(MOD(Charts2[[#This Row],[Sun ]],30),1)</f>
        <v>#VALUE!</v>
      </c>
      <c r="AD50" s="126" t="e">
        <f>FLOOR(MOD(Charts2[[#This Row],[Moon ]],30),1)</f>
        <v>#VALUE!</v>
      </c>
      <c r="AE50" s="126" t="e">
        <f>FLOOR(MOD(Charts2[[#This Row],[Mars ]],30),1)</f>
        <v>#VALUE!</v>
      </c>
      <c r="AF50" s="126" t="e">
        <f>FLOOR(MOD(Charts2[[#This Row],[Merc]],30),1)</f>
        <v>#VALUE!</v>
      </c>
      <c r="AG50" s="126" t="e">
        <f>FLOOR(MOD(Charts2[[#This Row],[Jupiter]],30),1)</f>
        <v>#VALUE!</v>
      </c>
      <c r="AH50" s="126" t="e">
        <f>FLOOR(MOD(Charts2[[#This Row],[Venus ]],30),1)</f>
        <v>#VALUE!</v>
      </c>
      <c r="AI50" s="126" t="e">
        <f>FLOOR(MOD(Charts2[[#This Row],[Saturn ]],30),1)</f>
        <v>#VALUE!</v>
      </c>
      <c r="AJ50" s="126" t="e">
        <f>FLOOR(MOD(Charts2[[#This Row],[Rahu ]],30),1)</f>
        <v>#VALUE!</v>
      </c>
    </row>
    <row r="51" spans="2:36" ht="15.6" x14ac:dyDescent="0.3">
      <c r="B51" s="114">
        <f t="shared" si="13"/>
        <v>44571</v>
      </c>
      <c r="C51">
        <f t="shared" si="15"/>
        <v>5.5</v>
      </c>
      <c r="D51" s="109">
        <f t="shared" si="16"/>
        <v>19.066666666666666</v>
      </c>
      <c r="E51" s="109">
        <f t="shared" si="17"/>
        <v>72.86666666666666</v>
      </c>
      <c r="F51" s="107">
        <f t="shared" si="23"/>
        <v>44571.326388888891</v>
      </c>
      <c r="G51" s="106">
        <f t="shared" si="30"/>
        <v>0.22916666666666666</v>
      </c>
      <c r="H51" t="str">
        <f t="shared" si="31"/>
        <v>Monday</v>
      </c>
      <c r="I51" s="106">
        <v>0.55555555555554803</v>
      </c>
      <c r="J51" s="115" t="e">
        <f t="shared" si="24"/>
        <v>#VALUE!</v>
      </c>
      <c r="K51" s="115" t="e">
        <f t="shared" si="25"/>
        <v>#VALUE!</v>
      </c>
      <c r="L51" s="115" t="e">
        <f t="shared" si="26"/>
        <v>#VALUE!</v>
      </c>
      <c r="M51" s="115" t="e">
        <f t="shared" si="27"/>
        <v>#VALUE!</v>
      </c>
      <c r="N51" s="115" t="e">
        <f t="shared" si="28"/>
        <v>#VALUE!</v>
      </c>
      <c r="O51" s="115" t="e">
        <f t="shared" si="29"/>
        <v>#VALUE!</v>
      </c>
      <c r="P51" s="115" t="e">
        <f t="shared" si="32"/>
        <v>#VALUE!</v>
      </c>
      <c r="Q51" s="115" t="e">
        <f t="shared" si="33"/>
        <v>#VALUE!</v>
      </c>
      <c r="R51" s="115" t="e">
        <f t="shared" si="34"/>
        <v>#VALUE!</v>
      </c>
      <c r="S51" s="126" t="e">
        <f>FLOOR(MOD(divplanetlongitude(Charts2[[#This Row],[Asdt ]],9,1),30),1)</f>
        <v>#VALUE!</v>
      </c>
      <c r="T51" s="126" t="e">
        <f>FLOOR(MOD(divplanetlongitude(Charts2[[#This Row],[Sun ]],9,1),30),1)</f>
        <v>#VALUE!</v>
      </c>
      <c r="U51" s="126" t="e">
        <f>FLOOR(MOD(divplanetlongitude(Charts2[[#This Row],[Moon ]],9,1),30),1)</f>
        <v>#VALUE!</v>
      </c>
      <c r="V51" s="126" t="e">
        <f>FLOOR(MOD(divplanetlongitude(Charts2[[#This Row],[Mars ]],9,1),30),1)</f>
        <v>#VALUE!</v>
      </c>
      <c r="W51" s="126" t="e">
        <f>FLOOR(MOD(divplanetlongitude(Charts2[[#This Row],[Merc]],9,1),30),1)</f>
        <v>#VALUE!</v>
      </c>
      <c r="X51" s="126" t="e">
        <f>FLOOR(MOD(divplanetlongitude(Charts2[[#This Row],[Jupiter]],9,1),30),1)</f>
        <v>#VALUE!</v>
      </c>
      <c r="Y51" s="126" t="e">
        <f>FLOOR(MOD(divplanetlongitude(Charts2[[#This Row],[Venus ]],9,1),30),1)</f>
        <v>#VALUE!</v>
      </c>
      <c r="Z51" s="126" t="e">
        <f>FLOOR(MOD(divplanetlongitude(Charts2[[#This Row],[Saturn ]],9,1),30),1)</f>
        <v>#VALUE!</v>
      </c>
      <c r="AA51" s="126" t="e">
        <f>FLOOR(MOD(divplanetlongitude(Charts2[[#This Row],[Rahu ]],9,1),30),1)</f>
        <v>#VALUE!</v>
      </c>
      <c r="AB51" s="126" t="e">
        <f>FLOOR(MOD(Charts2[[#This Row],[Asdt ]],30),1)</f>
        <v>#VALUE!</v>
      </c>
      <c r="AC51" s="126" t="e">
        <f>FLOOR(MOD(Charts2[[#This Row],[Sun ]],30),1)</f>
        <v>#VALUE!</v>
      </c>
      <c r="AD51" s="126" t="e">
        <f>FLOOR(MOD(Charts2[[#This Row],[Moon ]],30),1)</f>
        <v>#VALUE!</v>
      </c>
      <c r="AE51" s="126" t="e">
        <f>FLOOR(MOD(Charts2[[#This Row],[Mars ]],30),1)</f>
        <v>#VALUE!</v>
      </c>
      <c r="AF51" s="126" t="e">
        <f>FLOOR(MOD(Charts2[[#This Row],[Merc]],30),1)</f>
        <v>#VALUE!</v>
      </c>
      <c r="AG51" s="126" t="e">
        <f>FLOOR(MOD(Charts2[[#This Row],[Jupiter]],30),1)</f>
        <v>#VALUE!</v>
      </c>
      <c r="AH51" s="126" t="e">
        <f>FLOOR(MOD(Charts2[[#This Row],[Venus ]],30),1)</f>
        <v>#VALUE!</v>
      </c>
      <c r="AI51" s="126" t="e">
        <f>FLOOR(MOD(Charts2[[#This Row],[Saturn ]],30),1)</f>
        <v>#VALUE!</v>
      </c>
      <c r="AJ51" s="126" t="e">
        <f>FLOOR(MOD(Charts2[[#This Row],[Rahu ]],30),1)</f>
        <v>#VALUE!</v>
      </c>
    </row>
    <row r="52" spans="2:36" ht="15.6" x14ac:dyDescent="0.3">
      <c r="B52" s="114">
        <f t="shared" si="13"/>
        <v>44571</v>
      </c>
      <c r="C52">
        <f t="shared" si="15"/>
        <v>5.5</v>
      </c>
      <c r="D52" s="109">
        <f t="shared" si="16"/>
        <v>19.066666666666666</v>
      </c>
      <c r="E52" s="109">
        <f t="shared" si="17"/>
        <v>72.86666666666666</v>
      </c>
      <c r="F52" s="107">
        <f t="shared" si="23"/>
        <v>44571.329861111117</v>
      </c>
      <c r="G52" s="106">
        <f t="shared" si="30"/>
        <v>0.22916666666666666</v>
      </c>
      <c r="H52" t="str">
        <f t="shared" si="31"/>
        <v>Monday</v>
      </c>
      <c r="I52" s="106">
        <v>0.55902777777777002</v>
      </c>
      <c r="J52" s="115" t="e">
        <f t="shared" si="24"/>
        <v>#VALUE!</v>
      </c>
      <c r="K52" s="115" t="e">
        <f t="shared" si="25"/>
        <v>#VALUE!</v>
      </c>
      <c r="L52" s="115" t="e">
        <f t="shared" si="26"/>
        <v>#VALUE!</v>
      </c>
      <c r="M52" s="115" t="e">
        <f t="shared" si="27"/>
        <v>#VALUE!</v>
      </c>
      <c r="N52" s="115" t="e">
        <f t="shared" si="28"/>
        <v>#VALUE!</v>
      </c>
      <c r="O52" s="115" t="e">
        <f t="shared" si="29"/>
        <v>#VALUE!</v>
      </c>
      <c r="P52" s="115" t="e">
        <f t="shared" si="32"/>
        <v>#VALUE!</v>
      </c>
      <c r="Q52" s="115" t="e">
        <f t="shared" si="33"/>
        <v>#VALUE!</v>
      </c>
      <c r="R52" s="115" t="e">
        <f t="shared" si="34"/>
        <v>#VALUE!</v>
      </c>
      <c r="S52" s="126" t="e">
        <f>FLOOR(MOD(divplanetlongitude(Charts2[[#This Row],[Asdt ]],9,1),30),1)</f>
        <v>#VALUE!</v>
      </c>
      <c r="T52" s="126" t="e">
        <f>FLOOR(MOD(divplanetlongitude(Charts2[[#This Row],[Sun ]],9,1),30),1)</f>
        <v>#VALUE!</v>
      </c>
      <c r="U52" s="126" t="e">
        <f>FLOOR(MOD(divplanetlongitude(Charts2[[#This Row],[Moon ]],9,1),30),1)</f>
        <v>#VALUE!</v>
      </c>
      <c r="V52" s="126" t="e">
        <f>FLOOR(MOD(divplanetlongitude(Charts2[[#This Row],[Mars ]],9,1),30),1)</f>
        <v>#VALUE!</v>
      </c>
      <c r="W52" s="126" t="e">
        <f>FLOOR(MOD(divplanetlongitude(Charts2[[#This Row],[Merc]],9,1),30),1)</f>
        <v>#VALUE!</v>
      </c>
      <c r="X52" s="126" t="e">
        <f>FLOOR(MOD(divplanetlongitude(Charts2[[#This Row],[Jupiter]],9,1),30),1)</f>
        <v>#VALUE!</v>
      </c>
      <c r="Y52" s="126" t="e">
        <f>FLOOR(MOD(divplanetlongitude(Charts2[[#This Row],[Venus ]],9,1),30),1)</f>
        <v>#VALUE!</v>
      </c>
      <c r="Z52" s="126" t="e">
        <f>FLOOR(MOD(divplanetlongitude(Charts2[[#This Row],[Saturn ]],9,1),30),1)</f>
        <v>#VALUE!</v>
      </c>
      <c r="AA52" s="126" t="e">
        <f>FLOOR(MOD(divplanetlongitude(Charts2[[#This Row],[Rahu ]],9,1),30),1)</f>
        <v>#VALUE!</v>
      </c>
      <c r="AB52" s="126" t="e">
        <f>FLOOR(MOD(Charts2[[#This Row],[Asdt ]],30),1)</f>
        <v>#VALUE!</v>
      </c>
      <c r="AC52" s="126" t="e">
        <f>FLOOR(MOD(Charts2[[#This Row],[Sun ]],30),1)</f>
        <v>#VALUE!</v>
      </c>
      <c r="AD52" s="126" t="e">
        <f>FLOOR(MOD(Charts2[[#This Row],[Moon ]],30),1)</f>
        <v>#VALUE!</v>
      </c>
      <c r="AE52" s="126" t="e">
        <f>FLOOR(MOD(Charts2[[#This Row],[Mars ]],30),1)</f>
        <v>#VALUE!</v>
      </c>
      <c r="AF52" s="126" t="e">
        <f>FLOOR(MOD(Charts2[[#This Row],[Merc]],30),1)</f>
        <v>#VALUE!</v>
      </c>
      <c r="AG52" s="126" t="e">
        <f>FLOOR(MOD(Charts2[[#This Row],[Jupiter]],30),1)</f>
        <v>#VALUE!</v>
      </c>
      <c r="AH52" s="126" t="e">
        <f>FLOOR(MOD(Charts2[[#This Row],[Venus ]],30),1)</f>
        <v>#VALUE!</v>
      </c>
      <c r="AI52" s="126" t="e">
        <f>FLOOR(MOD(Charts2[[#This Row],[Saturn ]],30),1)</f>
        <v>#VALUE!</v>
      </c>
      <c r="AJ52" s="126" t="e">
        <f>FLOOR(MOD(Charts2[[#This Row],[Rahu ]],30),1)</f>
        <v>#VALUE!</v>
      </c>
    </row>
    <row r="53" spans="2:36" ht="15.6" x14ac:dyDescent="0.3">
      <c r="B53" s="114">
        <f t="shared" si="13"/>
        <v>44571</v>
      </c>
      <c r="C53">
        <f t="shared" si="15"/>
        <v>5.5</v>
      </c>
      <c r="D53" s="109">
        <f t="shared" si="16"/>
        <v>19.066666666666666</v>
      </c>
      <c r="E53" s="109">
        <f t="shared" si="17"/>
        <v>72.86666666666666</v>
      </c>
      <c r="F53" s="107">
        <f t="shared" si="23"/>
        <v>44571.333333333336</v>
      </c>
      <c r="G53" s="106">
        <f t="shared" si="30"/>
        <v>0.22916666666666666</v>
      </c>
      <c r="H53" t="str">
        <f t="shared" si="31"/>
        <v>Monday</v>
      </c>
      <c r="I53" s="106">
        <v>0.56249999999999201</v>
      </c>
      <c r="J53" s="115" t="e">
        <f t="shared" si="24"/>
        <v>#VALUE!</v>
      </c>
      <c r="K53" s="115" t="e">
        <f t="shared" si="25"/>
        <v>#VALUE!</v>
      </c>
      <c r="L53" s="115" t="e">
        <f t="shared" si="26"/>
        <v>#VALUE!</v>
      </c>
      <c r="M53" s="115" t="e">
        <f t="shared" si="27"/>
        <v>#VALUE!</v>
      </c>
      <c r="N53" s="115" t="e">
        <f t="shared" si="28"/>
        <v>#VALUE!</v>
      </c>
      <c r="O53" s="115" t="e">
        <f t="shared" si="29"/>
        <v>#VALUE!</v>
      </c>
      <c r="P53" s="115" t="e">
        <f t="shared" si="32"/>
        <v>#VALUE!</v>
      </c>
      <c r="Q53" s="115" t="e">
        <f t="shared" si="33"/>
        <v>#VALUE!</v>
      </c>
      <c r="R53" s="115" t="e">
        <f t="shared" si="34"/>
        <v>#VALUE!</v>
      </c>
      <c r="S53" s="126" t="e">
        <f>FLOOR(MOD(divplanetlongitude(Charts2[[#This Row],[Asdt ]],9,1),30),1)</f>
        <v>#VALUE!</v>
      </c>
      <c r="T53" s="126" t="e">
        <f>FLOOR(MOD(divplanetlongitude(Charts2[[#This Row],[Sun ]],9,1),30),1)</f>
        <v>#VALUE!</v>
      </c>
      <c r="U53" s="126" t="e">
        <f>FLOOR(MOD(divplanetlongitude(Charts2[[#This Row],[Moon ]],9,1),30),1)</f>
        <v>#VALUE!</v>
      </c>
      <c r="V53" s="126" t="e">
        <f>FLOOR(MOD(divplanetlongitude(Charts2[[#This Row],[Mars ]],9,1),30),1)</f>
        <v>#VALUE!</v>
      </c>
      <c r="W53" s="126" t="e">
        <f>FLOOR(MOD(divplanetlongitude(Charts2[[#This Row],[Merc]],9,1),30),1)</f>
        <v>#VALUE!</v>
      </c>
      <c r="X53" s="126" t="e">
        <f>FLOOR(MOD(divplanetlongitude(Charts2[[#This Row],[Jupiter]],9,1),30),1)</f>
        <v>#VALUE!</v>
      </c>
      <c r="Y53" s="126" t="e">
        <f>FLOOR(MOD(divplanetlongitude(Charts2[[#This Row],[Venus ]],9,1),30),1)</f>
        <v>#VALUE!</v>
      </c>
      <c r="Z53" s="126" t="e">
        <f>FLOOR(MOD(divplanetlongitude(Charts2[[#This Row],[Saturn ]],9,1),30),1)</f>
        <v>#VALUE!</v>
      </c>
      <c r="AA53" s="126" t="e">
        <f>FLOOR(MOD(divplanetlongitude(Charts2[[#This Row],[Rahu ]],9,1),30),1)</f>
        <v>#VALUE!</v>
      </c>
      <c r="AB53" s="126" t="e">
        <f>FLOOR(MOD(Charts2[[#This Row],[Asdt ]],30),1)</f>
        <v>#VALUE!</v>
      </c>
      <c r="AC53" s="126" t="e">
        <f>FLOOR(MOD(Charts2[[#This Row],[Sun ]],30),1)</f>
        <v>#VALUE!</v>
      </c>
      <c r="AD53" s="126" t="e">
        <f>FLOOR(MOD(Charts2[[#This Row],[Moon ]],30),1)</f>
        <v>#VALUE!</v>
      </c>
      <c r="AE53" s="126" t="e">
        <f>FLOOR(MOD(Charts2[[#This Row],[Mars ]],30),1)</f>
        <v>#VALUE!</v>
      </c>
      <c r="AF53" s="126" t="e">
        <f>FLOOR(MOD(Charts2[[#This Row],[Merc]],30),1)</f>
        <v>#VALUE!</v>
      </c>
      <c r="AG53" s="126" t="e">
        <f>FLOOR(MOD(Charts2[[#This Row],[Jupiter]],30),1)</f>
        <v>#VALUE!</v>
      </c>
      <c r="AH53" s="126" t="e">
        <f>FLOOR(MOD(Charts2[[#This Row],[Venus ]],30),1)</f>
        <v>#VALUE!</v>
      </c>
      <c r="AI53" s="126" t="e">
        <f>FLOOR(MOD(Charts2[[#This Row],[Saturn ]],30),1)</f>
        <v>#VALUE!</v>
      </c>
      <c r="AJ53" s="126" t="e">
        <f>FLOOR(MOD(Charts2[[#This Row],[Rahu ]],30),1)</f>
        <v>#VALUE!</v>
      </c>
    </row>
    <row r="54" spans="2:36" ht="15.6" x14ac:dyDescent="0.3">
      <c r="B54" s="114">
        <f t="shared" si="13"/>
        <v>44571</v>
      </c>
      <c r="C54">
        <f t="shared" si="15"/>
        <v>5.5</v>
      </c>
      <c r="D54" s="109">
        <f t="shared" si="16"/>
        <v>19.066666666666666</v>
      </c>
      <c r="E54" s="109">
        <f t="shared" si="17"/>
        <v>72.86666666666666</v>
      </c>
      <c r="F54" s="107">
        <f t="shared" si="23"/>
        <v>44571.336805555555</v>
      </c>
      <c r="G54" s="106">
        <f>sunrise(D54,E54,F54)+C54/24</f>
        <v>44571.301425592661</v>
      </c>
      <c r="H54" t="str">
        <f t="shared" si="31"/>
        <v>Monday</v>
      </c>
      <c r="I54" s="106">
        <v>0.56597222222221399</v>
      </c>
      <c r="J54" s="115">
        <f>(Asdt(D54,E54,F54))</f>
        <v>17.680264915255609</v>
      </c>
      <c r="K54" s="115">
        <f>(Planet(F54,0))</f>
        <v>265.88672147446226</v>
      </c>
      <c r="L54" s="115">
        <f>(Planet(F54,1))</f>
        <v>2.4335738762857377</v>
      </c>
      <c r="M54" s="115" t="e">
        <f t="shared" si="27"/>
        <v>#VALUE!</v>
      </c>
      <c r="N54" s="115" t="e">
        <f t="shared" si="28"/>
        <v>#VALUE!</v>
      </c>
      <c r="O54" s="115" t="e">
        <f t="shared" si="29"/>
        <v>#VALUE!</v>
      </c>
      <c r="P54" s="115" t="e">
        <f t="shared" si="32"/>
        <v>#VALUE!</v>
      </c>
      <c r="Q54" s="115" t="e">
        <f t="shared" si="33"/>
        <v>#VALUE!</v>
      </c>
      <c r="R54" s="115" t="e">
        <f t="shared" si="34"/>
        <v>#VALUE!</v>
      </c>
      <c r="S54" s="126">
        <f>FLOOR(MOD(divplanetlongitude(Charts2[[#This Row],[Asdt ]],9,1),30),1)</f>
        <v>9</v>
      </c>
      <c r="T54" s="126">
        <f>FLOOR(MOD(divplanetlongitude(Charts2[[#This Row],[Sun ]],9,1),30),1)</f>
        <v>22</v>
      </c>
      <c r="U54" s="126">
        <f>FLOOR(MOD(divplanetlongitude(Charts2[[#This Row],[Moon ]],9,1),30),1)</f>
        <v>21</v>
      </c>
      <c r="V54" s="126" t="e">
        <f>FLOOR(MOD(divplanetlongitude(Charts2[[#This Row],[Mars ]],9,1),30),1)</f>
        <v>#VALUE!</v>
      </c>
      <c r="W54" s="126" t="e">
        <f>FLOOR(MOD(divplanetlongitude(Charts2[[#This Row],[Merc]],9,1),30),1)</f>
        <v>#VALUE!</v>
      </c>
      <c r="X54" s="126" t="e">
        <f>FLOOR(MOD(divplanetlongitude(Charts2[[#This Row],[Jupiter]],9,1),30),1)</f>
        <v>#VALUE!</v>
      </c>
      <c r="Y54" s="126" t="e">
        <f>FLOOR(MOD(divplanetlongitude(Charts2[[#This Row],[Venus ]],9,1),30),1)</f>
        <v>#VALUE!</v>
      </c>
      <c r="Z54" s="126" t="e">
        <f>FLOOR(MOD(divplanetlongitude(Charts2[[#This Row],[Saturn ]],9,1),30),1)</f>
        <v>#VALUE!</v>
      </c>
      <c r="AA54" s="126" t="e">
        <f>FLOOR(MOD(divplanetlongitude(Charts2[[#This Row],[Rahu ]],9,1),30),1)</f>
        <v>#VALUE!</v>
      </c>
      <c r="AB54" s="126">
        <f>FLOOR(MOD(Charts2[[#This Row],[Asdt ]],30),1)</f>
        <v>17</v>
      </c>
      <c r="AC54" s="126">
        <f>FLOOR(MOD(Charts2[[#This Row],[Sun ]],30),1)</f>
        <v>25</v>
      </c>
      <c r="AD54" s="126">
        <f>FLOOR(MOD(Charts2[[#This Row],[Moon ]],30),1)</f>
        <v>2</v>
      </c>
      <c r="AE54" s="126" t="e">
        <f>FLOOR(MOD(Charts2[[#This Row],[Mars ]],30),1)</f>
        <v>#VALUE!</v>
      </c>
      <c r="AF54" s="126" t="e">
        <f>FLOOR(MOD(Charts2[[#This Row],[Merc]],30),1)</f>
        <v>#VALUE!</v>
      </c>
      <c r="AG54" s="126" t="e">
        <f>FLOOR(MOD(Charts2[[#This Row],[Jupiter]],30),1)</f>
        <v>#VALUE!</v>
      </c>
      <c r="AH54" s="126" t="e">
        <f>FLOOR(MOD(Charts2[[#This Row],[Venus ]],30),1)</f>
        <v>#VALUE!</v>
      </c>
      <c r="AI54" s="126" t="e">
        <f>FLOOR(MOD(Charts2[[#This Row],[Saturn ]],30),1)</f>
        <v>#VALUE!</v>
      </c>
      <c r="AJ54" s="126" t="e">
        <f>FLOOR(MOD(Charts2[[#This Row],[Rahu ]],30),1)</f>
        <v>#VALUE!</v>
      </c>
    </row>
    <row r="55" spans="2:36" ht="15.6" x14ac:dyDescent="0.3">
      <c r="B55" s="114">
        <f t="shared" si="13"/>
        <v>44571</v>
      </c>
      <c r="C55">
        <f t="shared" si="15"/>
        <v>5.5</v>
      </c>
      <c r="D55" s="109">
        <f t="shared" si="16"/>
        <v>19.066666666666666</v>
      </c>
      <c r="E55" s="109">
        <f t="shared" si="17"/>
        <v>72.86666666666666</v>
      </c>
      <c r="F55" s="107">
        <f t="shared" si="23"/>
        <v>44571.340277777781</v>
      </c>
      <c r="G55" s="106">
        <f t="shared" ref="G55:G77" si="35">sunrise(D55,E55,F55)+C55/24</f>
        <v>44571.301425592661</v>
      </c>
      <c r="H55" t="str">
        <f t="shared" si="31"/>
        <v>Monday</v>
      </c>
      <c r="I55" s="106">
        <v>0.56944444444443598</v>
      </c>
      <c r="J55" s="115" t="e">
        <f t="shared" si="24"/>
        <v>#VALUE!</v>
      </c>
      <c r="K55" s="115" t="e">
        <f t="shared" si="25"/>
        <v>#VALUE!</v>
      </c>
      <c r="L55" s="115" t="e">
        <f t="shared" si="26"/>
        <v>#VALUE!</v>
      </c>
      <c r="M55" s="115" t="e">
        <f t="shared" si="27"/>
        <v>#VALUE!</v>
      </c>
      <c r="N55" s="115" t="e">
        <f t="shared" si="28"/>
        <v>#VALUE!</v>
      </c>
      <c r="O55" s="115" t="e">
        <f t="shared" si="29"/>
        <v>#VALUE!</v>
      </c>
      <c r="P55" s="115" t="e">
        <f t="shared" si="32"/>
        <v>#VALUE!</v>
      </c>
      <c r="Q55" s="115" t="e">
        <f t="shared" si="33"/>
        <v>#VALUE!</v>
      </c>
      <c r="R55" s="115" t="e">
        <f t="shared" si="34"/>
        <v>#VALUE!</v>
      </c>
      <c r="S55" s="126" t="e">
        <f>FLOOR(MOD(divplanetlongitude(Charts2[[#This Row],[Asdt ]],9,1),30),1)</f>
        <v>#VALUE!</v>
      </c>
      <c r="T55" s="126" t="e">
        <f>FLOOR(MOD(divplanetlongitude(Charts2[[#This Row],[Sun ]],9,1),30),1)</f>
        <v>#VALUE!</v>
      </c>
      <c r="U55" s="126" t="e">
        <f>FLOOR(MOD(divplanetlongitude(Charts2[[#This Row],[Moon ]],9,1),30),1)</f>
        <v>#VALUE!</v>
      </c>
      <c r="V55" s="126" t="e">
        <f>FLOOR(MOD(divplanetlongitude(Charts2[[#This Row],[Mars ]],9,1),30),1)</f>
        <v>#VALUE!</v>
      </c>
      <c r="W55" s="126" t="e">
        <f>FLOOR(MOD(divplanetlongitude(Charts2[[#This Row],[Merc]],9,1),30),1)</f>
        <v>#VALUE!</v>
      </c>
      <c r="X55" s="126" t="e">
        <f>FLOOR(MOD(divplanetlongitude(Charts2[[#This Row],[Jupiter]],9,1),30),1)</f>
        <v>#VALUE!</v>
      </c>
      <c r="Y55" s="126" t="e">
        <f>FLOOR(MOD(divplanetlongitude(Charts2[[#This Row],[Venus ]],9,1),30),1)</f>
        <v>#VALUE!</v>
      </c>
      <c r="Z55" s="126" t="e">
        <f>FLOOR(MOD(divplanetlongitude(Charts2[[#This Row],[Saturn ]],9,1),30),1)</f>
        <v>#VALUE!</v>
      </c>
      <c r="AA55" s="126" t="e">
        <f>FLOOR(MOD(divplanetlongitude(Charts2[[#This Row],[Rahu ]],9,1),30),1)</f>
        <v>#VALUE!</v>
      </c>
      <c r="AB55" s="126" t="e">
        <f>FLOOR(MOD(Charts2[[#This Row],[Asdt ]],30),1)</f>
        <v>#VALUE!</v>
      </c>
      <c r="AC55" s="126" t="e">
        <f>FLOOR(MOD(Charts2[[#This Row],[Sun ]],30),1)</f>
        <v>#VALUE!</v>
      </c>
      <c r="AD55" s="126" t="e">
        <f>FLOOR(MOD(Charts2[[#This Row],[Moon ]],30),1)</f>
        <v>#VALUE!</v>
      </c>
      <c r="AE55" s="126" t="e">
        <f>FLOOR(MOD(Charts2[[#This Row],[Mars ]],30),1)</f>
        <v>#VALUE!</v>
      </c>
      <c r="AF55" s="126" t="e">
        <f>FLOOR(MOD(Charts2[[#This Row],[Merc]],30),1)</f>
        <v>#VALUE!</v>
      </c>
      <c r="AG55" s="126" t="e">
        <f>FLOOR(MOD(Charts2[[#This Row],[Jupiter]],30),1)</f>
        <v>#VALUE!</v>
      </c>
      <c r="AH55" s="126" t="e">
        <f>FLOOR(MOD(Charts2[[#This Row],[Venus ]],30),1)</f>
        <v>#VALUE!</v>
      </c>
      <c r="AI55" s="126" t="e">
        <f>FLOOR(MOD(Charts2[[#This Row],[Saturn ]],30),1)</f>
        <v>#VALUE!</v>
      </c>
      <c r="AJ55" s="126" t="e">
        <f>FLOOR(MOD(Charts2[[#This Row],[Rahu ]],30),1)</f>
        <v>#VALUE!</v>
      </c>
    </row>
    <row r="56" spans="2:36" ht="15.6" x14ac:dyDescent="0.3">
      <c r="B56" s="114">
        <f t="shared" si="13"/>
        <v>44571</v>
      </c>
      <c r="C56">
        <f t="shared" si="15"/>
        <v>5.5</v>
      </c>
      <c r="D56" s="109">
        <f t="shared" si="16"/>
        <v>19.066666666666666</v>
      </c>
      <c r="E56" s="109">
        <f t="shared" si="17"/>
        <v>72.86666666666666</v>
      </c>
      <c r="F56" s="107">
        <f t="shared" si="23"/>
        <v>44571.34375</v>
      </c>
      <c r="G56" s="106">
        <f t="shared" si="35"/>
        <v>44571.301425592661</v>
      </c>
      <c r="H56" t="str">
        <f t="shared" si="31"/>
        <v>Monday</v>
      </c>
      <c r="I56" s="106">
        <v>0.57291666666665797</v>
      </c>
      <c r="J56" s="115" t="e">
        <f t="shared" si="24"/>
        <v>#VALUE!</v>
      </c>
      <c r="K56" s="115" t="e">
        <f t="shared" si="25"/>
        <v>#VALUE!</v>
      </c>
      <c r="L56" s="115" t="e">
        <f t="shared" si="26"/>
        <v>#VALUE!</v>
      </c>
      <c r="M56" s="115" t="e">
        <f t="shared" si="27"/>
        <v>#VALUE!</v>
      </c>
      <c r="N56" s="115" t="e">
        <f t="shared" si="28"/>
        <v>#VALUE!</v>
      </c>
      <c r="O56" s="115" t="e">
        <f t="shared" si="29"/>
        <v>#VALUE!</v>
      </c>
      <c r="P56" s="115" t="e">
        <f t="shared" si="32"/>
        <v>#VALUE!</v>
      </c>
      <c r="Q56" s="115" t="e">
        <f t="shared" si="33"/>
        <v>#VALUE!</v>
      </c>
      <c r="R56" s="115" t="e">
        <f t="shared" si="34"/>
        <v>#VALUE!</v>
      </c>
      <c r="S56" s="126" t="e">
        <f>FLOOR(MOD(divplanetlongitude(Charts2[[#This Row],[Asdt ]],9,1),30),1)</f>
        <v>#VALUE!</v>
      </c>
      <c r="T56" s="126" t="e">
        <f>FLOOR(MOD(divplanetlongitude(Charts2[[#This Row],[Sun ]],9,1),30),1)</f>
        <v>#VALUE!</v>
      </c>
      <c r="U56" s="126" t="e">
        <f>FLOOR(MOD(divplanetlongitude(Charts2[[#This Row],[Moon ]],9,1),30),1)</f>
        <v>#VALUE!</v>
      </c>
      <c r="V56" s="126" t="e">
        <f>FLOOR(MOD(divplanetlongitude(Charts2[[#This Row],[Mars ]],9,1),30),1)</f>
        <v>#VALUE!</v>
      </c>
      <c r="W56" s="126" t="e">
        <f>FLOOR(MOD(divplanetlongitude(Charts2[[#This Row],[Merc]],9,1),30),1)</f>
        <v>#VALUE!</v>
      </c>
      <c r="X56" s="126" t="e">
        <f>FLOOR(MOD(divplanetlongitude(Charts2[[#This Row],[Jupiter]],9,1),30),1)</f>
        <v>#VALUE!</v>
      </c>
      <c r="Y56" s="126" t="e">
        <f>FLOOR(MOD(divplanetlongitude(Charts2[[#This Row],[Venus ]],9,1),30),1)</f>
        <v>#VALUE!</v>
      </c>
      <c r="Z56" s="126" t="e">
        <f>FLOOR(MOD(divplanetlongitude(Charts2[[#This Row],[Saturn ]],9,1),30),1)</f>
        <v>#VALUE!</v>
      </c>
      <c r="AA56" s="126" t="e">
        <f>FLOOR(MOD(divplanetlongitude(Charts2[[#This Row],[Rahu ]],9,1),30),1)</f>
        <v>#VALUE!</v>
      </c>
      <c r="AB56" s="126" t="e">
        <f>FLOOR(MOD(Charts2[[#This Row],[Asdt ]],30),1)</f>
        <v>#VALUE!</v>
      </c>
      <c r="AC56" s="126" t="e">
        <f>FLOOR(MOD(Charts2[[#This Row],[Sun ]],30),1)</f>
        <v>#VALUE!</v>
      </c>
      <c r="AD56" s="126" t="e">
        <f>FLOOR(MOD(Charts2[[#This Row],[Moon ]],30),1)</f>
        <v>#VALUE!</v>
      </c>
      <c r="AE56" s="126" t="e">
        <f>FLOOR(MOD(Charts2[[#This Row],[Mars ]],30),1)</f>
        <v>#VALUE!</v>
      </c>
      <c r="AF56" s="126" t="e">
        <f>FLOOR(MOD(Charts2[[#This Row],[Merc]],30),1)</f>
        <v>#VALUE!</v>
      </c>
      <c r="AG56" s="126" t="e">
        <f>FLOOR(MOD(Charts2[[#This Row],[Jupiter]],30),1)</f>
        <v>#VALUE!</v>
      </c>
      <c r="AH56" s="126" t="e">
        <f>FLOOR(MOD(Charts2[[#This Row],[Venus ]],30),1)</f>
        <v>#VALUE!</v>
      </c>
      <c r="AI56" s="126" t="e">
        <f>FLOOR(MOD(Charts2[[#This Row],[Saturn ]],30),1)</f>
        <v>#VALUE!</v>
      </c>
      <c r="AJ56" s="126" t="e">
        <f>FLOOR(MOD(Charts2[[#This Row],[Rahu ]],30),1)</f>
        <v>#VALUE!</v>
      </c>
    </row>
    <row r="57" spans="2:36" ht="15.6" x14ac:dyDescent="0.3">
      <c r="B57" s="114">
        <f t="shared" si="13"/>
        <v>44571</v>
      </c>
      <c r="C57">
        <f t="shared" si="15"/>
        <v>5.5</v>
      </c>
      <c r="D57" s="109">
        <f t="shared" si="16"/>
        <v>19.066666666666666</v>
      </c>
      <c r="E57" s="109">
        <f t="shared" si="17"/>
        <v>72.86666666666666</v>
      </c>
      <c r="F57" s="107">
        <f t="shared" si="23"/>
        <v>44571.347222222226</v>
      </c>
      <c r="G57" s="106">
        <f t="shared" si="35"/>
        <v>44571.301425592661</v>
      </c>
      <c r="H57" t="str">
        <f t="shared" si="31"/>
        <v>Monday</v>
      </c>
      <c r="I57" s="106">
        <v>0.57638888888887996</v>
      </c>
      <c r="J57" s="115" t="e">
        <f t="shared" si="24"/>
        <v>#VALUE!</v>
      </c>
      <c r="K57" s="115" t="e">
        <f t="shared" si="25"/>
        <v>#VALUE!</v>
      </c>
      <c r="L57" s="115" t="e">
        <f t="shared" si="26"/>
        <v>#VALUE!</v>
      </c>
      <c r="M57" s="115" t="e">
        <f t="shared" si="27"/>
        <v>#VALUE!</v>
      </c>
      <c r="N57" s="115" t="e">
        <f t="shared" si="28"/>
        <v>#VALUE!</v>
      </c>
      <c r="O57" s="115" t="e">
        <f t="shared" si="29"/>
        <v>#VALUE!</v>
      </c>
      <c r="P57" s="115" t="e">
        <f t="shared" si="32"/>
        <v>#VALUE!</v>
      </c>
      <c r="Q57" s="115" t="e">
        <f t="shared" si="33"/>
        <v>#VALUE!</v>
      </c>
      <c r="R57" s="115" t="e">
        <f t="shared" si="34"/>
        <v>#VALUE!</v>
      </c>
      <c r="S57" s="126" t="e">
        <f>FLOOR(MOD(divplanetlongitude(Charts2[[#This Row],[Asdt ]],9,1),30),1)</f>
        <v>#VALUE!</v>
      </c>
      <c r="T57" s="126" t="e">
        <f>FLOOR(MOD(divplanetlongitude(Charts2[[#This Row],[Sun ]],9,1),30),1)</f>
        <v>#VALUE!</v>
      </c>
      <c r="U57" s="126" t="e">
        <f>FLOOR(MOD(divplanetlongitude(Charts2[[#This Row],[Moon ]],9,1),30),1)</f>
        <v>#VALUE!</v>
      </c>
      <c r="V57" s="126" t="e">
        <f>FLOOR(MOD(divplanetlongitude(Charts2[[#This Row],[Mars ]],9,1),30),1)</f>
        <v>#VALUE!</v>
      </c>
      <c r="W57" s="126" t="e">
        <f>FLOOR(MOD(divplanetlongitude(Charts2[[#This Row],[Merc]],9,1),30),1)</f>
        <v>#VALUE!</v>
      </c>
      <c r="X57" s="126" t="e">
        <f>FLOOR(MOD(divplanetlongitude(Charts2[[#This Row],[Jupiter]],9,1),30),1)</f>
        <v>#VALUE!</v>
      </c>
      <c r="Y57" s="126" t="e">
        <f>FLOOR(MOD(divplanetlongitude(Charts2[[#This Row],[Venus ]],9,1),30),1)</f>
        <v>#VALUE!</v>
      </c>
      <c r="Z57" s="126" t="e">
        <f>FLOOR(MOD(divplanetlongitude(Charts2[[#This Row],[Saturn ]],9,1),30),1)</f>
        <v>#VALUE!</v>
      </c>
      <c r="AA57" s="126" t="e">
        <f>FLOOR(MOD(divplanetlongitude(Charts2[[#This Row],[Rahu ]],9,1),30),1)</f>
        <v>#VALUE!</v>
      </c>
      <c r="AB57" s="126" t="e">
        <f>FLOOR(MOD(Charts2[[#This Row],[Asdt ]],30),1)</f>
        <v>#VALUE!</v>
      </c>
      <c r="AC57" s="126" t="e">
        <f>FLOOR(MOD(Charts2[[#This Row],[Sun ]],30),1)</f>
        <v>#VALUE!</v>
      </c>
      <c r="AD57" s="126" t="e">
        <f>FLOOR(MOD(Charts2[[#This Row],[Moon ]],30),1)</f>
        <v>#VALUE!</v>
      </c>
      <c r="AE57" s="126" t="e">
        <f>FLOOR(MOD(Charts2[[#This Row],[Mars ]],30),1)</f>
        <v>#VALUE!</v>
      </c>
      <c r="AF57" s="126" t="e">
        <f>FLOOR(MOD(Charts2[[#This Row],[Merc]],30),1)</f>
        <v>#VALUE!</v>
      </c>
      <c r="AG57" s="126" t="e">
        <f>FLOOR(MOD(Charts2[[#This Row],[Jupiter]],30),1)</f>
        <v>#VALUE!</v>
      </c>
      <c r="AH57" s="126" t="e">
        <f>FLOOR(MOD(Charts2[[#This Row],[Venus ]],30),1)</f>
        <v>#VALUE!</v>
      </c>
      <c r="AI57" s="126" t="e">
        <f>FLOOR(MOD(Charts2[[#This Row],[Saturn ]],30),1)</f>
        <v>#VALUE!</v>
      </c>
      <c r="AJ57" s="126" t="e">
        <f>FLOOR(MOD(Charts2[[#This Row],[Rahu ]],30),1)</f>
        <v>#VALUE!</v>
      </c>
    </row>
    <row r="58" spans="2:36" ht="15.6" x14ac:dyDescent="0.3">
      <c r="B58" s="114">
        <f t="shared" si="13"/>
        <v>44571</v>
      </c>
      <c r="C58">
        <f t="shared" si="15"/>
        <v>5.5</v>
      </c>
      <c r="D58" s="109">
        <f t="shared" si="16"/>
        <v>19.066666666666666</v>
      </c>
      <c r="E58" s="109">
        <f t="shared" si="17"/>
        <v>72.86666666666666</v>
      </c>
      <c r="F58" s="107">
        <f t="shared" si="23"/>
        <v>44571.350694444445</v>
      </c>
      <c r="G58" s="106">
        <f t="shared" si="35"/>
        <v>44571.301425592661</v>
      </c>
      <c r="H58" t="str">
        <f t="shared" si="31"/>
        <v>Monday</v>
      </c>
      <c r="I58" s="106">
        <v>0.57986111111110095</v>
      </c>
      <c r="J58" s="115" t="e">
        <f t="shared" si="24"/>
        <v>#VALUE!</v>
      </c>
      <c r="K58" s="115" t="e">
        <f t="shared" si="25"/>
        <v>#VALUE!</v>
      </c>
      <c r="L58" s="115" t="e">
        <f t="shared" si="26"/>
        <v>#VALUE!</v>
      </c>
      <c r="M58" s="115" t="e">
        <f t="shared" si="27"/>
        <v>#VALUE!</v>
      </c>
      <c r="N58" s="115" t="e">
        <f t="shared" si="28"/>
        <v>#VALUE!</v>
      </c>
      <c r="O58" s="115" t="e">
        <f t="shared" si="29"/>
        <v>#VALUE!</v>
      </c>
      <c r="P58" s="115" t="e">
        <f t="shared" si="32"/>
        <v>#VALUE!</v>
      </c>
      <c r="Q58" s="115" t="e">
        <f t="shared" si="33"/>
        <v>#VALUE!</v>
      </c>
      <c r="R58" s="115" t="e">
        <f t="shared" si="34"/>
        <v>#VALUE!</v>
      </c>
      <c r="S58" s="126" t="e">
        <f>FLOOR(MOD(divplanetlongitude(Charts2[[#This Row],[Asdt ]],9,1),30),1)</f>
        <v>#VALUE!</v>
      </c>
      <c r="T58" s="126" t="e">
        <f>FLOOR(MOD(divplanetlongitude(Charts2[[#This Row],[Sun ]],9,1),30),1)</f>
        <v>#VALUE!</v>
      </c>
      <c r="U58" s="126" t="e">
        <f>FLOOR(MOD(divplanetlongitude(Charts2[[#This Row],[Moon ]],9,1),30),1)</f>
        <v>#VALUE!</v>
      </c>
      <c r="V58" s="126" t="e">
        <f>FLOOR(MOD(divplanetlongitude(Charts2[[#This Row],[Mars ]],9,1),30),1)</f>
        <v>#VALUE!</v>
      </c>
      <c r="W58" s="126" t="e">
        <f>FLOOR(MOD(divplanetlongitude(Charts2[[#This Row],[Merc]],9,1),30),1)</f>
        <v>#VALUE!</v>
      </c>
      <c r="X58" s="126" t="e">
        <f>FLOOR(MOD(divplanetlongitude(Charts2[[#This Row],[Jupiter]],9,1),30),1)</f>
        <v>#VALUE!</v>
      </c>
      <c r="Y58" s="126" t="e">
        <f>FLOOR(MOD(divplanetlongitude(Charts2[[#This Row],[Venus ]],9,1),30),1)</f>
        <v>#VALUE!</v>
      </c>
      <c r="Z58" s="126" t="e">
        <f>FLOOR(MOD(divplanetlongitude(Charts2[[#This Row],[Saturn ]],9,1),30),1)</f>
        <v>#VALUE!</v>
      </c>
      <c r="AA58" s="126" t="e">
        <f>FLOOR(MOD(divplanetlongitude(Charts2[[#This Row],[Rahu ]],9,1),30),1)</f>
        <v>#VALUE!</v>
      </c>
      <c r="AB58" s="126" t="e">
        <f>FLOOR(MOD(Charts2[[#This Row],[Asdt ]],30),1)</f>
        <v>#VALUE!</v>
      </c>
      <c r="AC58" s="126" t="e">
        <f>FLOOR(MOD(Charts2[[#This Row],[Sun ]],30),1)</f>
        <v>#VALUE!</v>
      </c>
      <c r="AD58" s="126" t="e">
        <f>FLOOR(MOD(Charts2[[#This Row],[Moon ]],30),1)</f>
        <v>#VALUE!</v>
      </c>
      <c r="AE58" s="126" t="e">
        <f>FLOOR(MOD(Charts2[[#This Row],[Mars ]],30),1)</f>
        <v>#VALUE!</v>
      </c>
      <c r="AF58" s="126" t="e">
        <f>FLOOR(MOD(Charts2[[#This Row],[Merc]],30),1)</f>
        <v>#VALUE!</v>
      </c>
      <c r="AG58" s="126" t="e">
        <f>FLOOR(MOD(Charts2[[#This Row],[Jupiter]],30),1)</f>
        <v>#VALUE!</v>
      </c>
      <c r="AH58" s="126" t="e">
        <f>FLOOR(MOD(Charts2[[#This Row],[Venus ]],30),1)</f>
        <v>#VALUE!</v>
      </c>
      <c r="AI58" s="126" t="e">
        <f>FLOOR(MOD(Charts2[[#This Row],[Saturn ]],30),1)</f>
        <v>#VALUE!</v>
      </c>
      <c r="AJ58" s="126" t="e">
        <f>FLOOR(MOD(Charts2[[#This Row],[Rahu ]],30),1)</f>
        <v>#VALUE!</v>
      </c>
    </row>
    <row r="59" spans="2:36" ht="15.6" x14ac:dyDescent="0.3">
      <c r="B59" s="114">
        <f t="shared" si="13"/>
        <v>44571</v>
      </c>
      <c r="C59">
        <f t="shared" si="15"/>
        <v>5.5</v>
      </c>
      <c r="D59" s="109">
        <f t="shared" si="16"/>
        <v>19.066666666666666</v>
      </c>
      <c r="E59" s="109">
        <f t="shared" si="17"/>
        <v>72.86666666666666</v>
      </c>
      <c r="F59" s="107">
        <f t="shared" si="23"/>
        <v>44571.354166666672</v>
      </c>
      <c r="G59" s="106">
        <f t="shared" si="35"/>
        <v>44571.301425592661</v>
      </c>
      <c r="H59" t="str">
        <f t="shared" si="31"/>
        <v>Monday</v>
      </c>
      <c r="I59" s="106">
        <v>0.58333333333332305</v>
      </c>
      <c r="J59" s="115" t="e">
        <f t="shared" si="24"/>
        <v>#VALUE!</v>
      </c>
      <c r="K59" s="115" t="e">
        <f t="shared" si="25"/>
        <v>#VALUE!</v>
      </c>
      <c r="L59" s="115" t="e">
        <f t="shared" si="26"/>
        <v>#VALUE!</v>
      </c>
      <c r="M59" s="115" t="e">
        <f t="shared" si="27"/>
        <v>#VALUE!</v>
      </c>
      <c r="N59" s="115" t="e">
        <f t="shared" si="28"/>
        <v>#VALUE!</v>
      </c>
      <c r="O59" s="115" t="e">
        <f t="shared" si="29"/>
        <v>#VALUE!</v>
      </c>
      <c r="P59" s="115" t="e">
        <f t="shared" si="32"/>
        <v>#VALUE!</v>
      </c>
      <c r="Q59" s="115" t="e">
        <f t="shared" si="33"/>
        <v>#VALUE!</v>
      </c>
      <c r="R59" s="115" t="e">
        <f t="shared" si="34"/>
        <v>#VALUE!</v>
      </c>
      <c r="S59" s="126" t="e">
        <f>FLOOR(MOD(divplanetlongitude(Charts2[[#This Row],[Asdt ]],9,1),30),1)</f>
        <v>#VALUE!</v>
      </c>
      <c r="T59" s="126" t="e">
        <f>FLOOR(MOD(divplanetlongitude(Charts2[[#This Row],[Sun ]],9,1),30),1)</f>
        <v>#VALUE!</v>
      </c>
      <c r="U59" s="126" t="e">
        <f>FLOOR(MOD(divplanetlongitude(Charts2[[#This Row],[Moon ]],9,1),30),1)</f>
        <v>#VALUE!</v>
      </c>
      <c r="V59" s="126" t="e">
        <f>FLOOR(MOD(divplanetlongitude(Charts2[[#This Row],[Mars ]],9,1),30),1)</f>
        <v>#VALUE!</v>
      </c>
      <c r="W59" s="126" t="e">
        <f>FLOOR(MOD(divplanetlongitude(Charts2[[#This Row],[Merc]],9,1),30),1)</f>
        <v>#VALUE!</v>
      </c>
      <c r="X59" s="126" t="e">
        <f>FLOOR(MOD(divplanetlongitude(Charts2[[#This Row],[Jupiter]],9,1),30),1)</f>
        <v>#VALUE!</v>
      </c>
      <c r="Y59" s="126" t="e">
        <f>FLOOR(MOD(divplanetlongitude(Charts2[[#This Row],[Venus ]],9,1),30),1)</f>
        <v>#VALUE!</v>
      </c>
      <c r="Z59" s="126" t="e">
        <f>FLOOR(MOD(divplanetlongitude(Charts2[[#This Row],[Saturn ]],9,1),30),1)</f>
        <v>#VALUE!</v>
      </c>
      <c r="AA59" s="126" t="e">
        <f>FLOOR(MOD(divplanetlongitude(Charts2[[#This Row],[Rahu ]],9,1),30),1)</f>
        <v>#VALUE!</v>
      </c>
      <c r="AB59" s="126" t="e">
        <f>FLOOR(MOD(Charts2[[#This Row],[Asdt ]],30),1)</f>
        <v>#VALUE!</v>
      </c>
      <c r="AC59" s="126" t="e">
        <f>FLOOR(MOD(Charts2[[#This Row],[Sun ]],30),1)</f>
        <v>#VALUE!</v>
      </c>
      <c r="AD59" s="126" t="e">
        <f>FLOOR(MOD(Charts2[[#This Row],[Moon ]],30),1)</f>
        <v>#VALUE!</v>
      </c>
      <c r="AE59" s="126" t="e">
        <f>FLOOR(MOD(Charts2[[#This Row],[Mars ]],30),1)</f>
        <v>#VALUE!</v>
      </c>
      <c r="AF59" s="126" t="e">
        <f>FLOOR(MOD(Charts2[[#This Row],[Merc]],30),1)</f>
        <v>#VALUE!</v>
      </c>
      <c r="AG59" s="126" t="e">
        <f>FLOOR(MOD(Charts2[[#This Row],[Jupiter]],30),1)</f>
        <v>#VALUE!</v>
      </c>
      <c r="AH59" s="126" t="e">
        <f>FLOOR(MOD(Charts2[[#This Row],[Venus ]],30),1)</f>
        <v>#VALUE!</v>
      </c>
      <c r="AI59" s="126" t="e">
        <f>FLOOR(MOD(Charts2[[#This Row],[Saturn ]],30),1)</f>
        <v>#VALUE!</v>
      </c>
      <c r="AJ59" s="126" t="e">
        <f>FLOOR(MOD(Charts2[[#This Row],[Rahu ]],30),1)</f>
        <v>#VALUE!</v>
      </c>
    </row>
    <row r="60" spans="2:36" ht="15.6" x14ac:dyDescent="0.3">
      <c r="B60" s="114">
        <f t="shared" si="13"/>
        <v>44571</v>
      </c>
      <c r="C60">
        <f t="shared" si="15"/>
        <v>5.5</v>
      </c>
      <c r="D60" s="109">
        <f t="shared" si="16"/>
        <v>19.066666666666666</v>
      </c>
      <c r="E60" s="109">
        <f t="shared" si="17"/>
        <v>72.86666666666666</v>
      </c>
      <c r="F60" s="107">
        <f t="shared" ref="F60:F77" si="36">B60+I60-C60/24</f>
        <v>44571.357638888891</v>
      </c>
      <c r="G60" s="106">
        <f t="shared" si="35"/>
        <v>44571.301425592661</v>
      </c>
      <c r="H60" t="str">
        <f t="shared" si="31"/>
        <v>Monday</v>
      </c>
      <c r="I60" s="106">
        <v>0.58680555555554503</v>
      </c>
      <c r="J60" s="115" t="e">
        <f t="shared" ref="J60:J77" si="37">(Asdt(D60,E60,F60))</f>
        <v>#VALUE!</v>
      </c>
      <c r="K60" s="115" t="e">
        <f t="shared" ref="K60:K77" si="38">(Planet(F60,0))</f>
        <v>#VALUE!</v>
      </c>
      <c r="L60" s="115" t="e">
        <f t="shared" ref="L60:L77" si="39">(Planet(F60,1))</f>
        <v>#VALUE!</v>
      </c>
      <c r="M60" s="115" t="e">
        <f t="shared" ref="M60:M77" si="40">(Planet(F60,4))</f>
        <v>#VALUE!</v>
      </c>
      <c r="N60" s="115" t="e">
        <f t="shared" ref="N60:N77" si="41">(Planet(F60,2))</f>
        <v>#VALUE!</v>
      </c>
      <c r="O60" s="115" t="e">
        <f t="shared" ref="O60:O77" si="42">(Planet(F60,5))</f>
        <v>#VALUE!</v>
      </c>
      <c r="P60" s="115" t="e">
        <f t="shared" si="32"/>
        <v>#VALUE!</v>
      </c>
      <c r="Q60" s="115" t="e">
        <f t="shared" si="33"/>
        <v>#VALUE!</v>
      </c>
      <c r="R60" s="115" t="e">
        <f t="shared" si="34"/>
        <v>#VALUE!</v>
      </c>
      <c r="S60" s="126" t="e">
        <f>FLOOR(MOD(divplanetlongitude(Charts2[[#This Row],[Asdt ]],9,1),30),1)</f>
        <v>#VALUE!</v>
      </c>
      <c r="T60" s="126" t="e">
        <f>FLOOR(MOD(divplanetlongitude(Charts2[[#This Row],[Sun ]],9,1),30),1)</f>
        <v>#VALUE!</v>
      </c>
      <c r="U60" s="126" t="e">
        <f>FLOOR(MOD(divplanetlongitude(Charts2[[#This Row],[Moon ]],9,1),30),1)</f>
        <v>#VALUE!</v>
      </c>
      <c r="V60" s="126" t="e">
        <f>FLOOR(MOD(divplanetlongitude(Charts2[[#This Row],[Mars ]],9,1),30),1)</f>
        <v>#VALUE!</v>
      </c>
      <c r="W60" s="126" t="e">
        <f>FLOOR(MOD(divplanetlongitude(Charts2[[#This Row],[Merc]],9,1),30),1)</f>
        <v>#VALUE!</v>
      </c>
      <c r="X60" s="126" t="e">
        <f>FLOOR(MOD(divplanetlongitude(Charts2[[#This Row],[Jupiter]],9,1),30),1)</f>
        <v>#VALUE!</v>
      </c>
      <c r="Y60" s="126" t="e">
        <f>FLOOR(MOD(divplanetlongitude(Charts2[[#This Row],[Venus ]],9,1),30),1)</f>
        <v>#VALUE!</v>
      </c>
      <c r="Z60" s="126" t="e">
        <f>FLOOR(MOD(divplanetlongitude(Charts2[[#This Row],[Saturn ]],9,1),30),1)</f>
        <v>#VALUE!</v>
      </c>
      <c r="AA60" s="126" t="e">
        <f>FLOOR(MOD(divplanetlongitude(Charts2[[#This Row],[Rahu ]],9,1),30),1)</f>
        <v>#VALUE!</v>
      </c>
      <c r="AB60" s="126" t="e">
        <f>FLOOR(MOD(Charts2[[#This Row],[Asdt ]],30),1)</f>
        <v>#VALUE!</v>
      </c>
      <c r="AC60" s="126" t="e">
        <f>FLOOR(MOD(Charts2[[#This Row],[Sun ]],30),1)</f>
        <v>#VALUE!</v>
      </c>
      <c r="AD60" s="126" t="e">
        <f>FLOOR(MOD(Charts2[[#This Row],[Moon ]],30),1)</f>
        <v>#VALUE!</v>
      </c>
      <c r="AE60" s="126" t="e">
        <f>FLOOR(MOD(Charts2[[#This Row],[Mars ]],30),1)</f>
        <v>#VALUE!</v>
      </c>
      <c r="AF60" s="126" t="e">
        <f>FLOOR(MOD(Charts2[[#This Row],[Merc]],30),1)</f>
        <v>#VALUE!</v>
      </c>
      <c r="AG60" s="126" t="e">
        <f>FLOOR(MOD(Charts2[[#This Row],[Jupiter]],30),1)</f>
        <v>#VALUE!</v>
      </c>
      <c r="AH60" s="126" t="e">
        <f>FLOOR(MOD(Charts2[[#This Row],[Venus ]],30),1)</f>
        <v>#VALUE!</v>
      </c>
      <c r="AI60" s="126" t="e">
        <f>FLOOR(MOD(Charts2[[#This Row],[Saturn ]],30),1)</f>
        <v>#VALUE!</v>
      </c>
      <c r="AJ60" s="126" t="e">
        <f>FLOOR(MOD(Charts2[[#This Row],[Rahu ]],30),1)</f>
        <v>#VALUE!</v>
      </c>
    </row>
    <row r="61" spans="2:36" ht="15.6" x14ac:dyDescent="0.3">
      <c r="B61" s="114">
        <f t="shared" si="13"/>
        <v>44571</v>
      </c>
      <c r="C61">
        <f t="shared" si="15"/>
        <v>5.5</v>
      </c>
      <c r="D61" s="109">
        <f t="shared" si="16"/>
        <v>19.066666666666666</v>
      </c>
      <c r="E61" s="109">
        <f t="shared" si="17"/>
        <v>72.86666666666666</v>
      </c>
      <c r="F61" s="107">
        <f t="shared" si="36"/>
        <v>44571.361111111117</v>
      </c>
      <c r="G61" s="106">
        <f t="shared" si="35"/>
        <v>44571.301425592661</v>
      </c>
      <c r="H61" t="str">
        <f t="shared" si="31"/>
        <v>Monday</v>
      </c>
      <c r="I61" s="106">
        <v>0.59027777777776702</v>
      </c>
      <c r="J61" s="115" t="e">
        <f t="shared" si="37"/>
        <v>#VALUE!</v>
      </c>
      <c r="K61" s="115" t="e">
        <f t="shared" si="38"/>
        <v>#VALUE!</v>
      </c>
      <c r="L61" s="115" t="e">
        <f t="shared" si="39"/>
        <v>#VALUE!</v>
      </c>
      <c r="M61" s="115" t="e">
        <f t="shared" si="40"/>
        <v>#VALUE!</v>
      </c>
      <c r="N61" s="115" t="e">
        <f t="shared" si="41"/>
        <v>#VALUE!</v>
      </c>
      <c r="O61" s="115" t="e">
        <f t="shared" si="42"/>
        <v>#VALUE!</v>
      </c>
      <c r="P61" s="115" t="e">
        <f t="shared" si="32"/>
        <v>#VALUE!</v>
      </c>
      <c r="Q61" s="115" t="e">
        <f t="shared" si="33"/>
        <v>#VALUE!</v>
      </c>
      <c r="R61" s="115" t="e">
        <f t="shared" si="34"/>
        <v>#VALUE!</v>
      </c>
      <c r="S61" s="126" t="e">
        <f>FLOOR(MOD(divplanetlongitude(Charts2[[#This Row],[Asdt ]],9,1),30),1)</f>
        <v>#VALUE!</v>
      </c>
      <c r="T61" s="126" t="e">
        <f>FLOOR(MOD(divplanetlongitude(Charts2[[#This Row],[Sun ]],9,1),30),1)</f>
        <v>#VALUE!</v>
      </c>
      <c r="U61" s="126" t="e">
        <f>FLOOR(MOD(divplanetlongitude(Charts2[[#This Row],[Moon ]],9,1),30),1)</f>
        <v>#VALUE!</v>
      </c>
      <c r="V61" s="126" t="e">
        <f>FLOOR(MOD(divplanetlongitude(Charts2[[#This Row],[Mars ]],9,1),30),1)</f>
        <v>#VALUE!</v>
      </c>
      <c r="W61" s="126" t="e">
        <f>FLOOR(MOD(divplanetlongitude(Charts2[[#This Row],[Merc]],9,1),30),1)</f>
        <v>#VALUE!</v>
      </c>
      <c r="X61" s="126" t="e">
        <f>FLOOR(MOD(divplanetlongitude(Charts2[[#This Row],[Jupiter]],9,1),30),1)</f>
        <v>#VALUE!</v>
      </c>
      <c r="Y61" s="126" t="e">
        <f>FLOOR(MOD(divplanetlongitude(Charts2[[#This Row],[Venus ]],9,1),30),1)</f>
        <v>#VALUE!</v>
      </c>
      <c r="Z61" s="126" t="e">
        <f>FLOOR(MOD(divplanetlongitude(Charts2[[#This Row],[Saturn ]],9,1),30),1)</f>
        <v>#VALUE!</v>
      </c>
      <c r="AA61" s="126" t="e">
        <f>FLOOR(MOD(divplanetlongitude(Charts2[[#This Row],[Rahu ]],9,1),30),1)</f>
        <v>#VALUE!</v>
      </c>
      <c r="AB61" s="126" t="e">
        <f>FLOOR(MOD(Charts2[[#This Row],[Asdt ]],30),1)</f>
        <v>#VALUE!</v>
      </c>
      <c r="AC61" s="126" t="e">
        <f>FLOOR(MOD(Charts2[[#This Row],[Sun ]],30),1)</f>
        <v>#VALUE!</v>
      </c>
      <c r="AD61" s="126" t="e">
        <f>FLOOR(MOD(Charts2[[#This Row],[Moon ]],30),1)</f>
        <v>#VALUE!</v>
      </c>
      <c r="AE61" s="126" t="e">
        <f>FLOOR(MOD(Charts2[[#This Row],[Mars ]],30),1)</f>
        <v>#VALUE!</v>
      </c>
      <c r="AF61" s="126" t="e">
        <f>FLOOR(MOD(Charts2[[#This Row],[Merc]],30),1)</f>
        <v>#VALUE!</v>
      </c>
      <c r="AG61" s="126" t="e">
        <f>FLOOR(MOD(Charts2[[#This Row],[Jupiter]],30),1)</f>
        <v>#VALUE!</v>
      </c>
      <c r="AH61" s="126" t="e">
        <f>FLOOR(MOD(Charts2[[#This Row],[Venus ]],30),1)</f>
        <v>#VALUE!</v>
      </c>
      <c r="AI61" s="126" t="e">
        <f>FLOOR(MOD(Charts2[[#This Row],[Saturn ]],30),1)</f>
        <v>#VALUE!</v>
      </c>
      <c r="AJ61" s="126" t="e">
        <f>FLOOR(MOD(Charts2[[#This Row],[Rahu ]],30),1)</f>
        <v>#VALUE!</v>
      </c>
    </row>
    <row r="62" spans="2:36" ht="15.6" x14ac:dyDescent="0.3">
      <c r="B62" s="114">
        <f t="shared" si="13"/>
        <v>44571</v>
      </c>
      <c r="C62">
        <f t="shared" si="15"/>
        <v>5.5</v>
      </c>
      <c r="D62" s="109">
        <f t="shared" si="16"/>
        <v>19.066666666666666</v>
      </c>
      <c r="E62" s="109">
        <f t="shared" si="17"/>
        <v>72.86666666666666</v>
      </c>
      <c r="F62" s="107">
        <f t="shared" si="36"/>
        <v>44571.364583333336</v>
      </c>
      <c r="G62" s="106">
        <f t="shared" si="35"/>
        <v>44571.301425592661</v>
      </c>
      <c r="H62" t="str">
        <f t="shared" si="31"/>
        <v>Monday</v>
      </c>
      <c r="I62" s="106">
        <v>0.59374999999998901</v>
      </c>
      <c r="J62" s="115" t="e">
        <f t="shared" si="37"/>
        <v>#VALUE!</v>
      </c>
      <c r="K62" s="115" t="e">
        <f t="shared" si="38"/>
        <v>#VALUE!</v>
      </c>
      <c r="L62" s="115" t="e">
        <f t="shared" si="39"/>
        <v>#VALUE!</v>
      </c>
      <c r="M62" s="115" t="e">
        <f t="shared" si="40"/>
        <v>#VALUE!</v>
      </c>
      <c r="N62" s="115" t="e">
        <f t="shared" si="41"/>
        <v>#VALUE!</v>
      </c>
      <c r="O62" s="115" t="e">
        <f t="shared" si="42"/>
        <v>#VALUE!</v>
      </c>
      <c r="P62" s="115" t="e">
        <f t="shared" si="32"/>
        <v>#VALUE!</v>
      </c>
      <c r="Q62" s="115" t="e">
        <f t="shared" si="33"/>
        <v>#VALUE!</v>
      </c>
      <c r="R62" s="115" t="e">
        <f t="shared" si="34"/>
        <v>#VALUE!</v>
      </c>
      <c r="S62" s="126" t="e">
        <f>FLOOR(MOD(divplanetlongitude(Charts2[[#This Row],[Asdt ]],9,1),30),1)</f>
        <v>#VALUE!</v>
      </c>
      <c r="T62" s="126" t="e">
        <f>FLOOR(MOD(divplanetlongitude(Charts2[[#This Row],[Sun ]],9,1),30),1)</f>
        <v>#VALUE!</v>
      </c>
      <c r="U62" s="126" t="e">
        <f>FLOOR(MOD(divplanetlongitude(Charts2[[#This Row],[Moon ]],9,1),30),1)</f>
        <v>#VALUE!</v>
      </c>
      <c r="V62" s="126" t="e">
        <f>FLOOR(MOD(divplanetlongitude(Charts2[[#This Row],[Mars ]],9,1),30),1)</f>
        <v>#VALUE!</v>
      </c>
      <c r="W62" s="126" t="e">
        <f>FLOOR(MOD(divplanetlongitude(Charts2[[#This Row],[Merc]],9,1),30),1)</f>
        <v>#VALUE!</v>
      </c>
      <c r="X62" s="126" t="e">
        <f>FLOOR(MOD(divplanetlongitude(Charts2[[#This Row],[Jupiter]],9,1),30),1)</f>
        <v>#VALUE!</v>
      </c>
      <c r="Y62" s="126" t="e">
        <f>FLOOR(MOD(divplanetlongitude(Charts2[[#This Row],[Venus ]],9,1),30),1)</f>
        <v>#VALUE!</v>
      </c>
      <c r="Z62" s="126" t="e">
        <f>FLOOR(MOD(divplanetlongitude(Charts2[[#This Row],[Saturn ]],9,1),30),1)</f>
        <v>#VALUE!</v>
      </c>
      <c r="AA62" s="126" t="e">
        <f>FLOOR(MOD(divplanetlongitude(Charts2[[#This Row],[Rahu ]],9,1),30),1)</f>
        <v>#VALUE!</v>
      </c>
      <c r="AB62" s="126" t="e">
        <f>FLOOR(MOD(Charts2[[#This Row],[Asdt ]],30),1)</f>
        <v>#VALUE!</v>
      </c>
      <c r="AC62" s="126" t="e">
        <f>FLOOR(MOD(Charts2[[#This Row],[Sun ]],30),1)</f>
        <v>#VALUE!</v>
      </c>
      <c r="AD62" s="126" t="e">
        <f>FLOOR(MOD(Charts2[[#This Row],[Moon ]],30),1)</f>
        <v>#VALUE!</v>
      </c>
      <c r="AE62" s="126" t="e">
        <f>FLOOR(MOD(Charts2[[#This Row],[Mars ]],30),1)</f>
        <v>#VALUE!</v>
      </c>
      <c r="AF62" s="126" t="e">
        <f>FLOOR(MOD(Charts2[[#This Row],[Merc]],30),1)</f>
        <v>#VALUE!</v>
      </c>
      <c r="AG62" s="126" t="e">
        <f>FLOOR(MOD(Charts2[[#This Row],[Jupiter]],30),1)</f>
        <v>#VALUE!</v>
      </c>
      <c r="AH62" s="126" t="e">
        <f>FLOOR(MOD(Charts2[[#This Row],[Venus ]],30),1)</f>
        <v>#VALUE!</v>
      </c>
      <c r="AI62" s="126" t="e">
        <f>FLOOR(MOD(Charts2[[#This Row],[Saturn ]],30),1)</f>
        <v>#VALUE!</v>
      </c>
      <c r="AJ62" s="126" t="e">
        <f>FLOOR(MOD(Charts2[[#This Row],[Rahu ]],30),1)</f>
        <v>#VALUE!</v>
      </c>
    </row>
    <row r="63" spans="2:36" ht="15.6" x14ac:dyDescent="0.3">
      <c r="B63" s="114">
        <f t="shared" si="13"/>
        <v>44571</v>
      </c>
      <c r="C63">
        <f t="shared" si="15"/>
        <v>5.5</v>
      </c>
      <c r="D63" s="109">
        <f t="shared" si="16"/>
        <v>19.066666666666666</v>
      </c>
      <c r="E63" s="109">
        <f t="shared" si="17"/>
        <v>72.86666666666666</v>
      </c>
      <c r="F63" s="107">
        <f t="shared" si="36"/>
        <v>44571.368055555555</v>
      </c>
      <c r="G63" s="106">
        <f t="shared" si="35"/>
        <v>44571.301425592661</v>
      </c>
      <c r="H63" t="str">
        <f t="shared" si="31"/>
        <v>Monday</v>
      </c>
      <c r="I63" s="106">
        <v>0.597222222222211</v>
      </c>
      <c r="J63" s="115" t="e">
        <f t="shared" si="37"/>
        <v>#VALUE!</v>
      </c>
      <c r="K63" s="115" t="e">
        <f t="shared" si="38"/>
        <v>#VALUE!</v>
      </c>
      <c r="L63" s="115" t="e">
        <f t="shared" si="39"/>
        <v>#VALUE!</v>
      </c>
      <c r="M63" s="115" t="e">
        <f t="shared" si="40"/>
        <v>#VALUE!</v>
      </c>
      <c r="N63" s="115" t="e">
        <f t="shared" si="41"/>
        <v>#VALUE!</v>
      </c>
      <c r="O63" s="115" t="e">
        <f t="shared" si="42"/>
        <v>#VALUE!</v>
      </c>
      <c r="P63" s="115" t="e">
        <f t="shared" si="32"/>
        <v>#VALUE!</v>
      </c>
      <c r="Q63" s="115" t="e">
        <f t="shared" si="33"/>
        <v>#VALUE!</v>
      </c>
      <c r="R63" s="115" t="e">
        <f t="shared" si="34"/>
        <v>#VALUE!</v>
      </c>
      <c r="S63" s="126" t="e">
        <f>FLOOR(MOD(divplanetlongitude(Charts2[[#This Row],[Asdt ]],9,1),30),1)</f>
        <v>#VALUE!</v>
      </c>
      <c r="T63" s="126" t="e">
        <f>FLOOR(MOD(divplanetlongitude(Charts2[[#This Row],[Sun ]],9,1),30),1)</f>
        <v>#VALUE!</v>
      </c>
      <c r="U63" s="126" t="e">
        <f>FLOOR(MOD(divplanetlongitude(Charts2[[#This Row],[Moon ]],9,1),30),1)</f>
        <v>#VALUE!</v>
      </c>
      <c r="V63" s="126" t="e">
        <f>FLOOR(MOD(divplanetlongitude(Charts2[[#This Row],[Mars ]],9,1),30),1)</f>
        <v>#VALUE!</v>
      </c>
      <c r="W63" s="126" t="e">
        <f>FLOOR(MOD(divplanetlongitude(Charts2[[#This Row],[Merc]],9,1),30),1)</f>
        <v>#VALUE!</v>
      </c>
      <c r="X63" s="126" t="e">
        <f>FLOOR(MOD(divplanetlongitude(Charts2[[#This Row],[Jupiter]],9,1),30),1)</f>
        <v>#VALUE!</v>
      </c>
      <c r="Y63" s="126" t="e">
        <f>FLOOR(MOD(divplanetlongitude(Charts2[[#This Row],[Venus ]],9,1),30),1)</f>
        <v>#VALUE!</v>
      </c>
      <c r="Z63" s="126" t="e">
        <f>FLOOR(MOD(divplanetlongitude(Charts2[[#This Row],[Saturn ]],9,1),30),1)</f>
        <v>#VALUE!</v>
      </c>
      <c r="AA63" s="126" t="e">
        <f>FLOOR(MOD(divplanetlongitude(Charts2[[#This Row],[Rahu ]],9,1),30),1)</f>
        <v>#VALUE!</v>
      </c>
      <c r="AB63" s="126" t="e">
        <f>FLOOR(MOD(Charts2[[#This Row],[Asdt ]],30),1)</f>
        <v>#VALUE!</v>
      </c>
      <c r="AC63" s="126" t="e">
        <f>FLOOR(MOD(Charts2[[#This Row],[Sun ]],30),1)</f>
        <v>#VALUE!</v>
      </c>
      <c r="AD63" s="126" t="e">
        <f>FLOOR(MOD(Charts2[[#This Row],[Moon ]],30),1)</f>
        <v>#VALUE!</v>
      </c>
      <c r="AE63" s="126" t="e">
        <f>FLOOR(MOD(Charts2[[#This Row],[Mars ]],30),1)</f>
        <v>#VALUE!</v>
      </c>
      <c r="AF63" s="126" t="e">
        <f>FLOOR(MOD(Charts2[[#This Row],[Merc]],30),1)</f>
        <v>#VALUE!</v>
      </c>
      <c r="AG63" s="126" t="e">
        <f>FLOOR(MOD(Charts2[[#This Row],[Jupiter]],30),1)</f>
        <v>#VALUE!</v>
      </c>
      <c r="AH63" s="126" t="e">
        <f>FLOOR(MOD(Charts2[[#This Row],[Venus ]],30),1)</f>
        <v>#VALUE!</v>
      </c>
      <c r="AI63" s="126" t="e">
        <f>FLOOR(MOD(Charts2[[#This Row],[Saturn ]],30),1)</f>
        <v>#VALUE!</v>
      </c>
      <c r="AJ63" s="126" t="e">
        <f>FLOOR(MOD(Charts2[[#This Row],[Rahu ]],30),1)</f>
        <v>#VALUE!</v>
      </c>
    </row>
    <row r="64" spans="2:36" ht="15.6" x14ac:dyDescent="0.3">
      <c r="B64" s="114">
        <f t="shared" si="13"/>
        <v>44571</v>
      </c>
      <c r="C64">
        <f t="shared" si="15"/>
        <v>5.5</v>
      </c>
      <c r="D64" s="109">
        <f t="shared" si="16"/>
        <v>19.066666666666666</v>
      </c>
      <c r="E64" s="109">
        <f t="shared" si="17"/>
        <v>72.86666666666666</v>
      </c>
      <c r="F64" s="107">
        <f t="shared" si="36"/>
        <v>44571.371527777781</v>
      </c>
      <c r="G64" s="106">
        <f t="shared" si="35"/>
        <v>44571.301425592661</v>
      </c>
      <c r="H64" t="str">
        <f t="shared" si="31"/>
        <v>Monday</v>
      </c>
      <c r="I64" s="106">
        <v>0.60069444444443298</v>
      </c>
      <c r="J64" s="115" t="e">
        <f t="shared" si="37"/>
        <v>#VALUE!</v>
      </c>
      <c r="K64" s="115" t="e">
        <f t="shared" si="38"/>
        <v>#VALUE!</v>
      </c>
      <c r="L64" s="115" t="e">
        <f t="shared" si="39"/>
        <v>#VALUE!</v>
      </c>
      <c r="M64" s="115" t="e">
        <f t="shared" si="40"/>
        <v>#VALUE!</v>
      </c>
      <c r="N64" s="115" t="e">
        <f t="shared" si="41"/>
        <v>#VALUE!</v>
      </c>
      <c r="O64" s="115" t="e">
        <f t="shared" si="42"/>
        <v>#VALUE!</v>
      </c>
      <c r="P64" s="115" t="e">
        <f t="shared" si="32"/>
        <v>#VALUE!</v>
      </c>
      <c r="Q64" s="115" t="e">
        <f t="shared" si="33"/>
        <v>#VALUE!</v>
      </c>
      <c r="R64" s="115" t="e">
        <f t="shared" si="34"/>
        <v>#VALUE!</v>
      </c>
      <c r="S64" s="126" t="e">
        <f>FLOOR(MOD(divplanetlongitude(Charts2[[#This Row],[Asdt ]],9,1),30),1)</f>
        <v>#VALUE!</v>
      </c>
      <c r="T64" s="126" t="e">
        <f>FLOOR(MOD(divplanetlongitude(Charts2[[#This Row],[Sun ]],9,1),30),1)</f>
        <v>#VALUE!</v>
      </c>
      <c r="U64" s="126" t="e">
        <f>FLOOR(MOD(divplanetlongitude(Charts2[[#This Row],[Moon ]],9,1),30),1)</f>
        <v>#VALUE!</v>
      </c>
      <c r="V64" s="126" t="e">
        <f>FLOOR(MOD(divplanetlongitude(Charts2[[#This Row],[Mars ]],9,1),30),1)</f>
        <v>#VALUE!</v>
      </c>
      <c r="W64" s="126" t="e">
        <f>FLOOR(MOD(divplanetlongitude(Charts2[[#This Row],[Merc]],9,1),30),1)</f>
        <v>#VALUE!</v>
      </c>
      <c r="X64" s="126" t="e">
        <f>FLOOR(MOD(divplanetlongitude(Charts2[[#This Row],[Jupiter]],9,1),30),1)</f>
        <v>#VALUE!</v>
      </c>
      <c r="Y64" s="126" t="e">
        <f>FLOOR(MOD(divplanetlongitude(Charts2[[#This Row],[Venus ]],9,1),30),1)</f>
        <v>#VALUE!</v>
      </c>
      <c r="Z64" s="126" t="e">
        <f>FLOOR(MOD(divplanetlongitude(Charts2[[#This Row],[Saturn ]],9,1),30),1)</f>
        <v>#VALUE!</v>
      </c>
      <c r="AA64" s="126" t="e">
        <f>FLOOR(MOD(divplanetlongitude(Charts2[[#This Row],[Rahu ]],9,1),30),1)</f>
        <v>#VALUE!</v>
      </c>
      <c r="AB64" s="126" t="e">
        <f>FLOOR(MOD(Charts2[[#This Row],[Asdt ]],30),1)</f>
        <v>#VALUE!</v>
      </c>
      <c r="AC64" s="126" t="e">
        <f>FLOOR(MOD(Charts2[[#This Row],[Sun ]],30),1)</f>
        <v>#VALUE!</v>
      </c>
      <c r="AD64" s="126" t="e">
        <f>FLOOR(MOD(Charts2[[#This Row],[Moon ]],30),1)</f>
        <v>#VALUE!</v>
      </c>
      <c r="AE64" s="126" t="e">
        <f>FLOOR(MOD(Charts2[[#This Row],[Mars ]],30),1)</f>
        <v>#VALUE!</v>
      </c>
      <c r="AF64" s="126" t="e">
        <f>FLOOR(MOD(Charts2[[#This Row],[Merc]],30),1)</f>
        <v>#VALUE!</v>
      </c>
      <c r="AG64" s="126" t="e">
        <f>FLOOR(MOD(Charts2[[#This Row],[Jupiter]],30),1)</f>
        <v>#VALUE!</v>
      </c>
      <c r="AH64" s="126" t="e">
        <f>FLOOR(MOD(Charts2[[#This Row],[Venus ]],30),1)</f>
        <v>#VALUE!</v>
      </c>
      <c r="AI64" s="126" t="e">
        <f>FLOOR(MOD(Charts2[[#This Row],[Saturn ]],30),1)</f>
        <v>#VALUE!</v>
      </c>
      <c r="AJ64" s="126" t="e">
        <f>FLOOR(MOD(Charts2[[#This Row],[Rahu ]],30),1)</f>
        <v>#VALUE!</v>
      </c>
    </row>
    <row r="65" spans="1:36" ht="15.6" x14ac:dyDescent="0.3">
      <c r="B65" s="114">
        <f t="shared" si="13"/>
        <v>44571</v>
      </c>
      <c r="C65">
        <f t="shared" si="15"/>
        <v>5.5</v>
      </c>
      <c r="D65" s="109">
        <f t="shared" si="16"/>
        <v>19.066666666666666</v>
      </c>
      <c r="E65" s="109">
        <f t="shared" si="17"/>
        <v>72.86666666666666</v>
      </c>
      <c r="F65" s="107">
        <f t="shared" si="36"/>
        <v>44571.375</v>
      </c>
      <c r="G65" s="106">
        <f t="shared" si="35"/>
        <v>44571.301425592661</v>
      </c>
      <c r="H65" t="str">
        <f t="shared" si="31"/>
        <v>Monday</v>
      </c>
      <c r="I65" s="106">
        <v>0.60416666666665497</v>
      </c>
      <c r="J65" s="115" t="e">
        <f t="shared" si="37"/>
        <v>#VALUE!</v>
      </c>
      <c r="K65" s="115" t="e">
        <f t="shared" si="38"/>
        <v>#VALUE!</v>
      </c>
      <c r="L65" s="115" t="e">
        <f t="shared" si="39"/>
        <v>#VALUE!</v>
      </c>
      <c r="M65" s="115" t="e">
        <f t="shared" si="40"/>
        <v>#VALUE!</v>
      </c>
      <c r="N65" s="115" t="e">
        <f t="shared" si="41"/>
        <v>#VALUE!</v>
      </c>
      <c r="O65" s="115" t="e">
        <f t="shared" si="42"/>
        <v>#VALUE!</v>
      </c>
      <c r="P65" s="115" t="e">
        <f t="shared" si="32"/>
        <v>#VALUE!</v>
      </c>
      <c r="Q65" s="115" t="e">
        <f t="shared" si="33"/>
        <v>#VALUE!</v>
      </c>
      <c r="R65" s="115" t="e">
        <f t="shared" si="34"/>
        <v>#VALUE!</v>
      </c>
      <c r="S65" s="126" t="e">
        <f>FLOOR(MOD(divplanetlongitude(Charts2[[#This Row],[Asdt ]],9,1),30),1)</f>
        <v>#VALUE!</v>
      </c>
      <c r="T65" s="126" t="e">
        <f>FLOOR(MOD(divplanetlongitude(Charts2[[#This Row],[Sun ]],9,1),30),1)</f>
        <v>#VALUE!</v>
      </c>
      <c r="U65" s="126" t="e">
        <f>FLOOR(MOD(divplanetlongitude(Charts2[[#This Row],[Moon ]],9,1),30),1)</f>
        <v>#VALUE!</v>
      </c>
      <c r="V65" s="126" t="e">
        <f>FLOOR(MOD(divplanetlongitude(Charts2[[#This Row],[Mars ]],9,1),30),1)</f>
        <v>#VALUE!</v>
      </c>
      <c r="W65" s="126" t="e">
        <f>FLOOR(MOD(divplanetlongitude(Charts2[[#This Row],[Merc]],9,1),30),1)</f>
        <v>#VALUE!</v>
      </c>
      <c r="X65" s="126" t="e">
        <f>FLOOR(MOD(divplanetlongitude(Charts2[[#This Row],[Jupiter]],9,1),30),1)</f>
        <v>#VALUE!</v>
      </c>
      <c r="Y65" s="126" t="e">
        <f>FLOOR(MOD(divplanetlongitude(Charts2[[#This Row],[Venus ]],9,1),30),1)</f>
        <v>#VALUE!</v>
      </c>
      <c r="Z65" s="126" t="e">
        <f>FLOOR(MOD(divplanetlongitude(Charts2[[#This Row],[Saturn ]],9,1),30),1)</f>
        <v>#VALUE!</v>
      </c>
      <c r="AA65" s="126" t="e">
        <f>FLOOR(MOD(divplanetlongitude(Charts2[[#This Row],[Rahu ]],9,1),30),1)</f>
        <v>#VALUE!</v>
      </c>
      <c r="AB65" s="126" t="e">
        <f>FLOOR(MOD(Charts2[[#This Row],[Asdt ]],30),1)</f>
        <v>#VALUE!</v>
      </c>
      <c r="AC65" s="126" t="e">
        <f>FLOOR(MOD(Charts2[[#This Row],[Sun ]],30),1)</f>
        <v>#VALUE!</v>
      </c>
      <c r="AD65" s="126" t="e">
        <f>FLOOR(MOD(Charts2[[#This Row],[Moon ]],30),1)</f>
        <v>#VALUE!</v>
      </c>
      <c r="AE65" s="126" t="e">
        <f>FLOOR(MOD(Charts2[[#This Row],[Mars ]],30),1)</f>
        <v>#VALUE!</v>
      </c>
      <c r="AF65" s="126" t="e">
        <f>FLOOR(MOD(Charts2[[#This Row],[Merc]],30),1)</f>
        <v>#VALUE!</v>
      </c>
      <c r="AG65" s="126" t="e">
        <f>FLOOR(MOD(Charts2[[#This Row],[Jupiter]],30),1)</f>
        <v>#VALUE!</v>
      </c>
      <c r="AH65" s="126" t="e">
        <f>FLOOR(MOD(Charts2[[#This Row],[Venus ]],30),1)</f>
        <v>#VALUE!</v>
      </c>
      <c r="AI65" s="126" t="e">
        <f>FLOOR(MOD(Charts2[[#This Row],[Saturn ]],30),1)</f>
        <v>#VALUE!</v>
      </c>
      <c r="AJ65" s="126" t="e">
        <f>FLOOR(MOD(Charts2[[#This Row],[Rahu ]],30),1)</f>
        <v>#VALUE!</v>
      </c>
    </row>
    <row r="66" spans="1:36" ht="15.6" x14ac:dyDescent="0.3">
      <c r="B66" s="114">
        <f t="shared" si="13"/>
        <v>44571</v>
      </c>
      <c r="C66">
        <f t="shared" si="15"/>
        <v>5.5</v>
      </c>
      <c r="D66" s="109">
        <f t="shared" si="16"/>
        <v>19.066666666666666</v>
      </c>
      <c r="E66" s="109">
        <f t="shared" si="17"/>
        <v>72.86666666666666</v>
      </c>
      <c r="F66" s="107">
        <f t="shared" si="36"/>
        <v>44571.378472222226</v>
      </c>
      <c r="G66" s="106">
        <f t="shared" si="35"/>
        <v>44571.301425592661</v>
      </c>
      <c r="H66" t="str">
        <f t="shared" si="31"/>
        <v>Monday</v>
      </c>
      <c r="I66" s="106">
        <v>0.60763888888887696</v>
      </c>
      <c r="J66" s="115" t="e">
        <f t="shared" si="37"/>
        <v>#VALUE!</v>
      </c>
      <c r="K66" s="115" t="e">
        <f t="shared" si="38"/>
        <v>#VALUE!</v>
      </c>
      <c r="L66" s="115" t="e">
        <f t="shared" si="39"/>
        <v>#VALUE!</v>
      </c>
      <c r="M66" s="115" t="e">
        <f t="shared" si="40"/>
        <v>#VALUE!</v>
      </c>
      <c r="N66" s="115" t="e">
        <f t="shared" si="41"/>
        <v>#VALUE!</v>
      </c>
      <c r="O66" s="115" t="e">
        <f t="shared" si="42"/>
        <v>#VALUE!</v>
      </c>
      <c r="P66" s="115" t="e">
        <f t="shared" si="32"/>
        <v>#VALUE!</v>
      </c>
      <c r="Q66" s="115" t="e">
        <f t="shared" si="33"/>
        <v>#VALUE!</v>
      </c>
      <c r="R66" s="115" t="e">
        <f t="shared" si="34"/>
        <v>#VALUE!</v>
      </c>
      <c r="S66" s="126" t="e">
        <f>FLOOR(MOD(divplanetlongitude(Charts2[[#This Row],[Asdt ]],9,1),30),1)</f>
        <v>#VALUE!</v>
      </c>
      <c r="T66" s="126" t="e">
        <f>FLOOR(MOD(divplanetlongitude(Charts2[[#This Row],[Sun ]],9,1),30),1)</f>
        <v>#VALUE!</v>
      </c>
      <c r="U66" s="126" t="e">
        <f>FLOOR(MOD(divplanetlongitude(Charts2[[#This Row],[Moon ]],9,1),30),1)</f>
        <v>#VALUE!</v>
      </c>
      <c r="V66" s="126" t="e">
        <f>FLOOR(MOD(divplanetlongitude(Charts2[[#This Row],[Mars ]],9,1),30),1)</f>
        <v>#VALUE!</v>
      </c>
      <c r="W66" s="126" t="e">
        <f>FLOOR(MOD(divplanetlongitude(Charts2[[#This Row],[Merc]],9,1),30),1)</f>
        <v>#VALUE!</v>
      </c>
      <c r="X66" s="126" t="e">
        <f>FLOOR(MOD(divplanetlongitude(Charts2[[#This Row],[Jupiter]],9,1),30),1)</f>
        <v>#VALUE!</v>
      </c>
      <c r="Y66" s="126" t="e">
        <f>FLOOR(MOD(divplanetlongitude(Charts2[[#This Row],[Venus ]],9,1),30),1)</f>
        <v>#VALUE!</v>
      </c>
      <c r="Z66" s="126" t="e">
        <f>FLOOR(MOD(divplanetlongitude(Charts2[[#This Row],[Saturn ]],9,1),30),1)</f>
        <v>#VALUE!</v>
      </c>
      <c r="AA66" s="126" t="e">
        <f>FLOOR(MOD(divplanetlongitude(Charts2[[#This Row],[Rahu ]],9,1),30),1)</f>
        <v>#VALUE!</v>
      </c>
      <c r="AB66" s="126" t="e">
        <f>FLOOR(MOD(Charts2[[#This Row],[Asdt ]],30),1)</f>
        <v>#VALUE!</v>
      </c>
      <c r="AC66" s="126" t="e">
        <f>FLOOR(MOD(Charts2[[#This Row],[Sun ]],30),1)</f>
        <v>#VALUE!</v>
      </c>
      <c r="AD66" s="126" t="e">
        <f>FLOOR(MOD(Charts2[[#This Row],[Moon ]],30),1)</f>
        <v>#VALUE!</v>
      </c>
      <c r="AE66" s="126" t="e">
        <f>FLOOR(MOD(Charts2[[#This Row],[Mars ]],30),1)</f>
        <v>#VALUE!</v>
      </c>
      <c r="AF66" s="126" t="e">
        <f>FLOOR(MOD(Charts2[[#This Row],[Merc]],30),1)</f>
        <v>#VALUE!</v>
      </c>
      <c r="AG66" s="126" t="e">
        <f>FLOOR(MOD(Charts2[[#This Row],[Jupiter]],30),1)</f>
        <v>#VALUE!</v>
      </c>
      <c r="AH66" s="126" t="e">
        <f>FLOOR(MOD(Charts2[[#This Row],[Venus ]],30),1)</f>
        <v>#VALUE!</v>
      </c>
      <c r="AI66" s="126" t="e">
        <f>FLOOR(MOD(Charts2[[#This Row],[Saturn ]],30),1)</f>
        <v>#VALUE!</v>
      </c>
      <c r="AJ66" s="126" t="e">
        <f>FLOOR(MOD(Charts2[[#This Row],[Rahu ]],30),1)</f>
        <v>#VALUE!</v>
      </c>
    </row>
    <row r="67" spans="1:36" ht="15.6" x14ac:dyDescent="0.3">
      <c r="B67" s="114">
        <f t="shared" si="13"/>
        <v>44571</v>
      </c>
      <c r="C67">
        <f t="shared" si="15"/>
        <v>5.5</v>
      </c>
      <c r="D67" s="109">
        <f t="shared" si="16"/>
        <v>19.066666666666666</v>
      </c>
      <c r="E67" s="109">
        <f t="shared" si="17"/>
        <v>72.86666666666666</v>
      </c>
      <c r="F67" s="107">
        <f t="shared" si="36"/>
        <v>44571.381944444445</v>
      </c>
      <c r="G67" s="106">
        <f t="shared" si="35"/>
        <v>44571.301425592661</v>
      </c>
      <c r="H67" t="str">
        <f t="shared" si="31"/>
        <v>Monday</v>
      </c>
      <c r="I67" s="106">
        <v>0.61111111111109895</v>
      </c>
      <c r="J67" s="115" t="e">
        <f t="shared" si="37"/>
        <v>#VALUE!</v>
      </c>
      <c r="K67" s="115" t="e">
        <f t="shared" si="38"/>
        <v>#VALUE!</v>
      </c>
      <c r="L67" s="115" t="e">
        <f t="shared" si="39"/>
        <v>#VALUE!</v>
      </c>
      <c r="M67" s="115" t="e">
        <f t="shared" si="40"/>
        <v>#VALUE!</v>
      </c>
      <c r="N67" s="115" t="e">
        <f t="shared" si="41"/>
        <v>#VALUE!</v>
      </c>
      <c r="O67" s="115" t="e">
        <f t="shared" si="42"/>
        <v>#VALUE!</v>
      </c>
      <c r="P67" s="115" t="e">
        <f t="shared" si="32"/>
        <v>#VALUE!</v>
      </c>
      <c r="Q67" s="115" t="e">
        <f t="shared" si="33"/>
        <v>#VALUE!</v>
      </c>
      <c r="R67" s="115" t="e">
        <f t="shared" si="34"/>
        <v>#VALUE!</v>
      </c>
      <c r="S67" s="126" t="e">
        <f>FLOOR(MOD(divplanetlongitude(Charts2[[#This Row],[Asdt ]],9,1),30),1)</f>
        <v>#VALUE!</v>
      </c>
      <c r="T67" s="126" t="e">
        <f>FLOOR(MOD(divplanetlongitude(Charts2[[#This Row],[Sun ]],9,1),30),1)</f>
        <v>#VALUE!</v>
      </c>
      <c r="U67" s="126" t="e">
        <f>FLOOR(MOD(divplanetlongitude(Charts2[[#This Row],[Moon ]],9,1),30),1)</f>
        <v>#VALUE!</v>
      </c>
      <c r="V67" s="126" t="e">
        <f>FLOOR(MOD(divplanetlongitude(Charts2[[#This Row],[Mars ]],9,1),30),1)</f>
        <v>#VALUE!</v>
      </c>
      <c r="W67" s="126" t="e">
        <f>FLOOR(MOD(divplanetlongitude(Charts2[[#This Row],[Merc]],9,1),30),1)</f>
        <v>#VALUE!</v>
      </c>
      <c r="X67" s="126" t="e">
        <f>FLOOR(MOD(divplanetlongitude(Charts2[[#This Row],[Jupiter]],9,1),30),1)</f>
        <v>#VALUE!</v>
      </c>
      <c r="Y67" s="126" t="e">
        <f>FLOOR(MOD(divplanetlongitude(Charts2[[#This Row],[Venus ]],9,1),30),1)</f>
        <v>#VALUE!</v>
      </c>
      <c r="Z67" s="126" t="e">
        <f>FLOOR(MOD(divplanetlongitude(Charts2[[#This Row],[Saturn ]],9,1),30),1)</f>
        <v>#VALUE!</v>
      </c>
      <c r="AA67" s="126" t="e">
        <f>FLOOR(MOD(divplanetlongitude(Charts2[[#This Row],[Rahu ]],9,1),30),1)</f>
        <v>#VALUE!</v>
      </c>
      <c r="AB67" s="126" t="e">
        <f>FLOOR(MOD(Charts2[[#This Row],[Asdt ]],30),1)</f>
        <v>#VALUE!</v>
      </c>
      <c r="AC67" s="126" t="e">
        <f>FLOOR(MOD(Charts2[[#This Row],[Sun ]],30),1)</f>
        <v>#VALUE!</v>
      </c>
      <c r="AD67" s="126" t="e">
        <f>FLOOR(MOD(Charts2[[#This Row],[Moon ]],30),1)</f>
        <v>#VALUE!</v>
      </c>
      <c r="AE67" s="126" t="e">
        <f>FLOOR(MOD(Charts2[[#This Row],[Mars ]],30),1)</f>
        <v>#VALUE!</v>
      </c>
      <c r="AF67" s="126" t="e">
        <f>FLOOR(MOD(Charts2[[#This Row],[Merc]],30),1)</f>
        <v>#VALUE!</v>
      </c>
      <c r="AG67" s="126" t="e">
        <f>FLOOR(MOD(Charts2[[#This Row],[Jupiter]],30),1)</f>
        <v>#VALUE!</v>
      </c>
      <c r="AH67" s="126" t="e">
        <f>FLOOR(MOD(Charts2[[#This Row],[Venus ]],30),1)</f>
        <v>#VALUE!</v>
      </c>
      <c r="AI67" s="126" t="e">
        <f>FLOOR(MOD(Charts2[[#This Row],[Saturn ]],30),1)</f>
        <v>#VALUE!</v>
      </c>
      <c r="AJ67" s="126" t="e">
        <f>FLOOR(MOD(Charts2[[#This Row],[Rahu ]],30),1)</f>
        <v>#VALUE!</v>
      </c>
    </row>
    <row r="68" spans="1:36" ht="15.6" x14ac:dyDescent="0.3">
      <c r="B68" s="114">
        <f t="shared" ref="B68:B77" si="43">B67</f>
        <v>44571</v>
      </c>
      <c r="C68">
        <f t="shared" si="15"/>
        <v>5.5</v>
      </c>
      <c r="D68" s="109">
        <f t="shared" si="16"/>
        <v>19.066666666666666</v>
      </c>
      <c r="E68" s="109">
        <f t="shared" si="17"/>
        <v>72.86666666666666</v>
      </c>
      <c r="F68" s="107">
        <f t="shared" si="36"/>
        <v>44571.385416666672</v>
      </c>
      <c r="G68" s="106">
        <f t="shared" si="35"/>
        <v>44571.301425592661</v>
      </c>
      <c r="H68" t="str">
        <f t="shared" si="31"/>
        <v>Monday</v>
      </c>
      <c r="I68" s="106">
        <v>0.61458333333332105</v>
      </c>
      <c r="J68" s="115" t="e">
        <f t="shared" si="37"/>
        <v>#VALUE!</v>
      </c>
      <c r="K68" s="115" t="e">
        <f t="shared" si="38"/>
        <v>#VALUE!</v>
      </c>
      <c r="L68" s="115" t="e">
        <f t="shared" si="39"/>
        <v>#VALUE!</v>
      </c>
      <c r="M68" s="115" t="e">
        <f t="shared" si="40"/>
        <v>#VALUE!</v>
      </c>
      <c r="N68" s="115" t="e">
        <f t="shared" si="41"/>
        <v>#VALUE!</v>
      </c>
      <c r="O68" s="115" t="e">
        <f t="shared" si="42"/>
        <v>#VALUE!</v>
      </c>
      <c r="P68" s="115" t="e">
        <f t="shared" si="32"/>
        <v>#VALUE!</v>
      </c>
      <c r="Q68" s="115" t="e">
        <f t="shared" si="33"/>
        <v>#VALUE!</v>
      </c>
      <c r="R68" s="115" t="e">
        <f t="shared" si="34"/>
        <v>#VALUE!</v>
      </c>
      <c r="S68" s="126" t="e">
        <f>FLOOR(MOD(divplanetlongitude(Charts2[[#This Row],[Asdt ]],9,1),30),1)</f>
        <v>#VALUE!</v>
      </c>
      <c r="T68" s="126" t="e">
        <f>FLOOR(MOD(divplanetlongitude(Charts2[[#This Row],[Sun ]],9,1),30),1)</f>
        <v>#VALUE!</v>
      </c>
      <c r="U68" s="126" t="e">
        <f>FLOOR(MOD(divplanetlongitude(Charts2[[#This Row],[Moon ]],9,1),30),1)</f>
        <v>#VALUE!</v>
      </c>
      <c r="V68" s="126" t="e">
        <f>FLOOR(MOD(divplanetlongitude(Charts2[[#This Row],[Mars ]],9,1),30),1)</f>
        <v>#VALUE!</v>
      </c>
      <c r="W68" s="126" t="e">
        <f>FLOOR(MOD(divplanetlongitude(Charts2[[#This Row],[Merc]],9,1),30),1)</f>
        <v>#VALUE!</v>
      </c>
      <c r="X68" s="126" t="e">
        <f>FLOOR(MOD(divplanetlongitude(Charts2[[#This Row],[Jupiter]],9,1),30),1)</f>
        <v>#VALUE!</v>
      </c>
      <c r="Y68" s="126" t="e">
        <f>FLOOR(MOD(divplanetlongitude(Charts2[[#This Row],[Venus ]],9,1),30),1)</f>
        <v>#VALUE!</v>
      </c>
      <c r="Z68" s="126" t="e">
        <f>FLOOR(MOD(divplanetlongitude(Charts2[[#This Row],[Saturn ]],9,1),30),1)</f>
        <v>#VALUE!</v>
      </c>
      <c r="AA68" s="126" t="e">
        <f>FLOOR(MOD(divplanetlongitude(Charts2[[#This Row],[Rahu ]],9,1),30),1)</f>
        <v>#VALUE!</v>
      </c>
      <c r="AB68" s="126" t="e">
        <f>FLOOR(MOD(Charts2[[#This Row],[Asdt ]],30),1)</f>
        <v>#VALUE!</v>
      </c>
      <c r="AC68" s="126" t="e">
        <f>FLOOR(MOD(Charts2[[#This Row],[Sun ]],30),1)</f>
        <v>#VALUE!</v>
      </c>
      <c r="AD68" s="126" t="e">
        <f>FLOOR(MOD(Charts2[[#This Row],[Moon ]],30),1)</f>
        <v>#VALUE!</v>
      </c>
      <c r="AE68" s="126" t="e">
        <f>FLOOR(MOD(Charts2[[#This Row],[Mars ]],30),1)</f>
        <v>#VALUE!</v>
      </c>
      <c r="AF68" s="126" t="e">
        <f>FLOOR(MOD(Charts2[[#This Row],[Merc]],30),1)</f>
        <v>#VALUE!</v>
      </c>
      <c r="AG68" s="126" t="e">
        <f>FLOOR(MOD(Charts2[[#This Row],[Jupiter]],30),1)</f>
        <v>#VALUE!</v>
      </c>
      <c r="AH68" s="126" t="e">
        <f>FLOOR(MOD(Charts2[[#This Row],[Venus ]],30),1)</f>
        <v>#VALUE!</v>
      </c>
      <c r="AI68" s="126" t="e">
        <f>FLOOR(MOD(Charts2[[#This Row],[Saturn ]],30),1)</f>
        <v>#VALUE!</v>
      </c>
      <c r="AJ68" s="126" t="e">
        <f>FLOOR(MOD(Charts2[[#This Row],[Rahu ]],30),1)</f>
        <v>#VALUE!</v>
      </c>
    </row>
    <row r="69" spans="1:36" ht="15.6" x14ac:dyDescent="0.3">
      <c r="B69" s="114">
        <f t="shared" si="43"/>
        <v>44571</v>
      </c>
      <c r="C69">
        <f t="shared" si="15"/>
        <v>5.5</v>
      </c>
      <c r="D69" s="109">
        <f t="shared" si="16"/>
        <v>19.066666666666666</v>
      </c>
      <c r="E69" s="109">
        <f t="shared" si="17"/>
        <v>72.86666666666666</v>
      </c>
      <c r="F69" s="107">
        <f t="shared" si="36"/>
        <v>44571.388888888891</v>
      </c>
      <c r="G69" s="106">
        <f t="shared" si="35"/>
        <v>44571.301425592661</v>
      </c>
      <c r="H69" t="str">
        <f t="shared" si="31"/>
        <v>Monday</v>
      </c>
      <c r="I69" s="106">
        <v>0.61805555555554303</v>
      </c>
      <c r="J69" s="115" t="e">
        <f t="shared" si="37"/>
        <v>#VALUE!</v>
      </c>
      <c r="K69" s="115" t="e">
        <f t="shared" si="38"/>
        <v>#VALUE!</v>
      </c>
      <c r="L69" s="115" t="e">
        <f t="shared" si="39"/>
        <v>#VALUE!</v>
      </c>
      <c r="M69" s="115" t="e">
        <f t="shared" si="40"/>
        <v>#VALUE!</v>
      </c>
      <c r="N69" s="115" t="e">
        <f t="shared" si="41"/>
        <v>#VALUE!</v>
      </c>
      <c r="O69" s="115" t="e">
        <f t="shared" si="42"/>
        <v>#VALUE!</v>
      </c>
      <c r="P69" s="115" t="e">
        <f t="shared" si="32"/>
        <v>#VALUE!</v>
      </c>
      <c r="Q69" s="115" t="e">
        <f t="shared" si="33"/>
        <v>#VALUE!</v>
      </c>
      <c r="R69" s="115" t="e">
        <f t="shared" si="34"/>
        <v>#VALUE!</v>
      </c>
      <c r="S69" s="126" t="e">
        <f>FLOOR(MOD(divplanetlongitude(Charts2[[#This Row],[Asdt ]],9,1),30),1)</f>
        <v>#VALUE!</v>
      </c>
      <c r="T69" s="126" t="e">
        <f>FLOOR(MOD(divplanetlongitude(Charts2[[#This Row],[Sun ]],9,1),30),1)</f>
        <v>#VALUE!</v>
      </c>
      <c r="U69" s="126" t="e">
        <f>FLOOR(MOD(divplanetlongitude(Charts2[[#This Row],[Moon ]],9,1),30),1)</f>
        <v>#VALUE!</v>
      </c>
      <c r="V69" s="126" t="e">
        <f>FLOOR(MOD(divplanetlongitude(Charts2[[#This Row],[Mars ]],9,1),30),1)</f>
        <v>#VALUE!</v>
      </c>
      <c r="W69" s="126" t="e">
        <f>FLOOR(MOD(divplanetlongitude(Charts2[[#This Row],[Merc]],9,1),30),1)</f>
        <v>#VALUE!</v>
      </c>
      <c r="X69" s="126" t="e">
        <f>FLOOR(MOD(divplanetlongitude(Charts2[[#This Row],[Jupiter]],9,1),30),1)</f>
        <v>#VALUE!</v>
      </c>
      <c r="Y69" s="126" t="e">
        <f>FLOOR(MOD(divplanetlongitude(Charts2[[#This Row],[Venus ]],9,1),30),1)</f>
        <v>#VALUE!</v>
      </c>
      <c r="Z69" s="126" t="e">
        <f>FLOOR(MOD(divplanetlongitude(Charts2[[#This Row],[Saturn ]],9,1),30),1)</f>
        <v>#VALUE!</v>
      </c>
      <c r="AA69" s="126" t="e">
        <f>FLOOR(MOD(divplanetlongitude(Charts2[[#This Row],[Rahu ]],9,1),30),1)</f>
        <v>#VALUE!</v>
      </c>
      <c r="AB69" s="126" t="e">
        <f>FLOOR(MOD(Charts2[[#This Row],[Asdt ]],30),1)</f>
        <v>#VALUE!</v>
      </c>
      <c r="AC69" s="126" t="e">
        <f>FLOOR(MOD(Charts2[[#This Row],[Sun ]],30),1)</f>
        <v>#VALUE!</v>
      </c>
      <c r="AD69" s="126" t="e">
        <f>FLOOR(MOD(Charts2[[#This Row],[Moon ]],30),1)</f>
        <v>#VALUE!</v>
      </c>
      <c r="AE69" s="126" t="e">
        <f>FLOOR(MOD(Charts2[[#This Row],[Mars ]],30),1)</f>
        <v>#VALUE!</v>
      </c>
      <c r="AF69" s="126" t="e">
        <f>FLOOR(MOD(Charts2[[#This Row],[Merc]],30),1)</f>
        <v>#VALUE!</v>
      </c>
      <c r="AG69" s="126" t="e">
        <f>FLOOR(MOD(Charts2[[#This Row],[Jupiter]],30),1)</f>
        <v>#VALUE!</v>
      </c>
      <c r="AH69" s="126" t="e">
        <f>FLOOR(MOD(Charts2[[#This Row],[Venus ]],30),1)</f>
        <v>#VALUE!</v>
      </c>
      <c r="AI69" s="126" t="e">
        <f>FLOOR(MOD(Charts2[[#This Row],[Saturn ]],30),1)</f>
        <v>#VALUE!</v>
      </c>
      <c r="AJ69" s="126" t="e">
        <f>FLOOR(MOD(Charts2[[#This Row],[Rahu ]],30),1)</f>
        <v>#VALUE!</v>
      </c>
    </row>
    <row r="70" spans="1:36" ht="15.6" x14ac:dyDescent="0.3">
      <c r="B70" s="114">
        <f t="shared" si="43"/>
        <v>44571</v>
      </c>
      <c r="C70">
        <f t="shared" si="15"/>
        <v>5.5</v>
      </c>
      <c r="D70" s="109">
        <f t="shared" si="16"/>
        <v>19.066666666666666</v>
      </c>
      <c r="E70" s="109">
        <f t="shared" si="17"/>
        <v>72.86666666666666</v>
      </c>
      <c r="F70" s="107">
        <f t="shared" si="36"/>
        <v>44571.392361111117</v>
      </c>
      <c r="G70" s="106">
        <f t="shared" si="35"/>
        <v>44571.301425592661</v>
      </c>
      <c r="H70" t="str">
        <f t="shared" si="31"/>
        <v>Monday</v>
      </c>
      <c r="I70" s="106">
        <v>0.62152777777776502</v>
      </c>
      <c r="J70" s="115" t="e">
        <f t="shared" si="37"/>
        <v>#VALUE!</v>
      </c>
      <c r="K70" s="115" t="e">
        <f t="shared" si="38"/>
        <v>#VALUE!</v>
      </c>
      <c r="L70" s="115" t="e">
        <f t="shared" si="39"/>
        <v>#VALUE!</v>
      </c>
      <c r="M70" s="115" t="e">
        <f t="shared" si="40"/>
        <v>#VALUE!</v>
      </c>
      <c r="N70" s="115" t="e">
        <f t="shared" si="41"/>
        <v>#VALUE!</v>
      </c>
      <c r="O70" s="115" t="e">
        <f t="shared" si="42"/>
        <v>#VALUE!</v>
      </c>
      <c r="P70" s="115" t="e">
        <f t="shared" si="32"/>
        <v>#VALUE!</v>
      </c>
      <c r="Q70" s="115" t="e">
        <f t="shared" si="33"/>
        <v>#VALUE!</v>
      </c>
      <c r="R70" s="115" t="e">
        <f t="shared" si="34"/>
        <v>#VALUE!</v>
      </c>
      <c r="S70" s="126" t="e">
        <f>FLOOR(MOD(divplanetlongitude(Charts2[[#This Row],[Asdt ]],9,1),30),1)</f>
        <v>#VALUE!</v>
      </c>
      <c r="T70" s="126" t="e">
        <f>FLOOR(MOD(divplanetlongitude(Charts2[[#This Row],[Sun ]],9,1),30),1)</f>
        <v>#VALUE!</v>
      </c>
      <c r="U70" s="126" t="e">
        <f>FLOOR(MOD(divplanetlongitude(Charts2[[#This Row],[Moon ]],9,1),30),1)</f>
        <v>#VALUE!</v>
      </c>
      <c r="V70" s="126" t="e">
        <f>FLOOR(MOD(divplanetlongitude(Charts2[[#This Row],[Mars ]],9,1),30),1)</f>
        <v>#VALUE!</v>
      </c>
      <c r="W70" s="126" t="e">
        <f>FLOOR(MOD(divplanetlongitude(Charts2[[#This Row],[Merc]],9,1),30),1)</f>
        <v>#VALUE!</v>
      </c>
      <c r="X70" s="126" t="e">
        <f>FLOOR(MOD(divplanetlongitude(Charts2[[#This Row],[Jupiter]],9,1),30),1)</f>
        <v>#VALUE!</v>
      </c>
      <c r="Y70" s="126" t="e">
        <f>FLOOR(MOD(divplanetlongitude(Charts2[[#This Row],[Venus ]],9,1),30),1)</f>
        <v>#VALUE!</v>
      </c>
      <c r="Z70" s="126" t="e">
        <f>FLOOR(MOD(divplanetlongitude(Charts2[[#This Row],[Saturn ]],9,1),30),1)</f>
        <v>#VALUE!</v>
      </c>
      <c r="AA70" s="126" t="e">
        <f>FLOOR(MOD(divplanetlongitude(Charts2[[#This Row],[Rahu ]],9,1),30),1)</f>
        <v>#VALUE!</v>
      </c>
      <c r="AB70" s="126" t="e">
        <f>FLOOR(MOD(Charts2[[#This Row],[Asdt ]],30),1)</f>
        <v>#VALUE!</v>
      </c>
      <c r="AC70" s="126" t="e">
        <f>FLOOR(MOD(Charts2[[#This Row],[Sun ]],30),1)</f>
        <v>#VALUE!</v>
      </c>
      <c r="AD70" s="126" t="e">
        <f>FLOOR(MOD(Charts2[[#This Row],[Moon ]],30),1)</f>
        <v>#VALUE!</v>
      </c>
      <c r="AE70" s="126" t="e">
        <f>FLOOR(MOD(Charts2[[#This Row],[Mars ]],30),1)</f>
        <v>#VALUE!</v>
      </c>
      <c r="AF70" s="126" t="e">
        <f>FLOOR(MOD(Charts2[[#This Row],[Merc]],30),1)</f>
        <v>#VALUE!</v>
      </c>
      <c r="AG70" s="126" t="e">
        <f>FLOOR(MOD(Charts2[[#This Row],[Jupiter]],30),1)</f>
        <v>#VALUE!</v>
      </c>
      <c r="AH70" s="126" t="e">
        <f>FLOOR(MOD(Charts2[[#This Row],[Venus ]],30),1)</f>
        <v>#VALUE!</v>
      </c>
      <c r="AI70" s="126" t="e">
        <f>FLOOR(MOD(Charts2[[#This Row],[Saturn ]],30),1)</f>
        <v>#VALUE!</v>
      </c>
      <c r="AJ70" s="126" t="e">
        <f>FLOOR(MOD(Charts2[[#This Row],[Rahu ]],30),1)</f>
        <v>#VALUE!</v>
      </c>
    </row>
    <row r="71" spans="1:36" ht="15.6" x14ac:dyDescent="0.3">
      <c r="B71" s="114">
        <f t="shared" si="43"/>
        <v>44571</v>
      </c>
      <c r="C71">
        <f t="shared" si="15"/>
        <v>5.5</v>
      </c>
      <c r="D71" s="109">
        <f t="shared" si="16"/>
        <v>19.066666666666666</v>
      </c>
      <c r="E71" s="109">
        <f t="shared" si="17"/>
        <v>72.86666666666666</v>
      </c>
      <c r="F71" s="107">
        <f t="shared" si="36"/>
        <v>44571.395833333336</v>
      </c>
      <c r="G71" s="106">
        <f t="shared" si="35"/>
        <v>44571.301425592661</v>
      </c>
      <c r="H71" t="str">
        <f t="shared" si="31"/>
        <v>Monday</v>
      </c>
      <c r="I71" s="106">
        <v>0.62499999999998701</v>
      </c>
      <c r="J71" s="115" t="e">
        <f t="shared" si="37"/>
        <v>#VALUE!</v>
      </c>
      <c r="K71" s="115" t="e">
        <f t="shared" si="38"/>
        <v>#VALUE!</v>
      </c>
      <c r="L71" s="115" t="e">
        <f t="shared" si="39"/>
        <v>#VALUE!</v>
      </c>
      <c r="M71" s="115" t="e">
        <f t="shared" si="40"/>
        <v>#VALUE!</v>
      </c>
      <c r="N71" s="115" t="e">
        <f t="shared" si="41"/>
        <v>#VALUE!</v>
      </c>
      <c r="O71" s="115" t="e">
        <f t="shared" si="42"/>
        <v>#VALUE!</v>
      </c>
      <c r="P71" s="115" t="e">
        <f t="shared" si="32"/>
        <v>#VALUE!</v>
      </c>
      <c r="Q71" s="115" t="e">
        <f t="shared" si="33"/>
        <v>#VALUE!</v>
      </c>
      <c r="R71" s="115" t="e">
        <f t="shared" si="34"/>
        <v>#VALUE!</v>
      </c>
      <c r="S71" s="126" t="e">
        <f>FLOOR(MOD(divplanetlongitude(Charts2[[#This Row],[Asdt ]],9,1),30),1)</f>
        <v>#VALUE!</v>
      </c>
      <c r="T71" s="126" t="e">
        <f>FLOOR(MOD(divplanetlongitude(Charts2[[#This Row],[Sun ]],9,1),30),1)</f>
        <v>#VALUE!</v>
      </c>
      <c r="U71" s="126" t="e">
        <f>FLOOR(MOD(divplanetlongitude(Charts2[[#This Row],[Moon ]],9,1),30),1)</f>
        <v>#VALUE!</v>
      </c>
      <c r="V71" s="126" t="e">
        <f>FLOOR(MOD(divplanetlongitude(Charts2[[#This Row],[Mars ]],9,1),30),1)</f>
        <v>#VALUE!</v>
      </c>
      <c r="W71" s="126" t="e">
        <f>FLOOR(MOD(divplanetlongitude(Charts2[[#This Row],[Merc]],9,1),30),1)</f>
        <v>#VALUE!</v>
      </c>
      <c r="X71" s="126" t="e">
        <f>FLOOR(MOD(divplanetlongitude(Charts2[[#This Row],[Jupiter]],9,1),30),1)</f>
        <v>#VALUE!</v>
      </c>
      <c r="Y71" s="126" t="e">
        <f>FLOOR(MOD(divplanetlongitude(Charts2[[#This Row],[Venus ]],9,1),30),1)</f>
        <v>#VALUE!</v>
      </c>
      <c r="Z71" s="126" t="e">
        <f>FLOOR(MOD(divplanetlongitude(Charts2[[#This Row],[Saturn ]],9,1),30),1)</f>
        <v>#VALUE!</v>
      </c>
      <c r="AA71" s="126" t="e">
        <f>FLOOR(MOD(divplanetlongitude(Charts2[[#This Row],[Rahu ]],9,1),30),1)</f>
        <v>#VALUE!</v>
      </c>
      <c r="AB71" s="126" t="e">
        <f>FLOOR(MOD(Charts2[[#This Row],[Asdt ]],30),1)</f>
        <v>#VALUE!</v>
      </c>
      <c r="AC71" s="126" t="e">
        <f>FLOOR(MOD(Charts2[[#This Row],[Sun ]],30),1)</f>
        <v>#VALUE!</v>
      </c>
      <c r="AD71" s="126" t="e">
        <f>FLOOR(MOD(Charts2[[#This Row],[Moon ]],30),1)</f>
        <v>#VALUE!</v>
      </c>
      <c r="AE71" s="126" t="e">
        <f>FLOOR(MOD(Charts2[[#This Row],[Mars ]],30),1)</f>
        <v>#VALUE!</v>
      </c>
      <c r="AF71" s="126" t="e">
        <f>FLOOR(MOD(Charts2[[#This Row],[Merc]],30),1)</f>
        <v>#VALUE!</v>
      </c>
      <c r="AG71" s="126" t="e">
        <f>FLOOR(MOD(Charts2[[#This Row],[Jupiter]],30),1)</f>
        <v>#VALUE!</v>
      </c>
      <c r="AH71" s="126" t="e">
        <f>FLOOR(MOD(Charts2[[#This Row],[Venus ]],30),1)</f>
        <v>#VALUE!</v>
      </c>
      <c r="AI71" s="126" t="e">
        <f>FLOOR(MOD(Charts2[[#This Row],[Saturn ]],30),1)</f>
        <v>#VALUE!</v>
      </c>
      <c r="AJ71" s="126" t="e">
        <f>FLOOR(MOD(Charts2[[#This Row],[Rahu ]],30),1)</f>
        <v>#VALUE!</v>
      </c>
    </row>
    <row r="72" spans="1:36" ht="15.6" x14ac:dyDescent="0.3">
      <c r="B72" s="114">
        <f t="shared" si="43"/>
        <v>44571</v>
      </c>
      <c r="C72">
        <f t="shared" si="15"/>
        <v>5.5</v>
      </c>
      <c r="D72" s="109">
        <f t="shared" si="16"/>
        <v>19.066666666666666</v>
      </c>
      <c r="E72" s="109">
        <f t="shared" si="17"/>
        <v>72.86666666666666</v>
      </c>
      <c r="F72" s="107">
        <f t="shared" si="36"/>
        <v>44571.399305555555</v>
      </c>
      <c r="G72" s="106">
        <f t="shared" si="35"/>
        <v>44571.301425592661</v>
      </c>
      <c r="H72" t="str">
        <f t="shared" si="31"/>
        <v>Monday</v>
      </c>
      <c r="I72" s="106">
        <v>0.628472222222209</v>
      </c>
      <c r="J72" s="115" t="e">
        <f t="shared" si="37"/>
        <v>#VALUE!</v>
      </c>
      <c r="K72" s="115" t="e">
        <f t="shared" si="38"/>
        <v>#VALUE!</v>
      </c>
      <c r="L72" s="115" t="e">
        <f t="shared" si="39"/>
        <v>#VALUE!</v>
      </c>
      <c r="M72" s="115" t="e">
        <f t="shared" si="40"/>
        <v>#VALUE!</v>
      </c>
      <c r="N72" s="115" t="e">
        <f t="shared" si="41"/>
        <v>#VALUE!</v>
      </c>
      <c r="O72" s="115" t="e">
        <f t="shared" si="42"/>
        <v>#VALUE!</v>
      </c>
      <c r="P72" s="115" t="e">
        <f t="shared" si="32"/>
        <v>#VALUE!</v>
      </c>
      <c r="Q72" s="115" t="e">
        <f t="shared" si="33"/>
        <v>#VALUE!</v>
      </c>
      <c r="R72" s="115" t="e">
        <f t="shared" si="34"/>
        <v>#VALUE!</v>
      </c>
      <c r="S72" s="126" t="e">
        <f>FLOOR(MOD(divplanetlongitude(Charts2[[#This Row],[Asdt ]],9,1),30),1)</f>
        <v>#VALUE!</v>
      </c>
      <c r="T72" s="126" t="e">
        <f>FLOOR(MOD(divplanetlongitude(Charts2[[#This Row],[Sun ]],9,1),30),1)</f>
        <v>#VALUE!</v>
      </c>
      <c r="U72" s="126" t="e">
        <f>FLOOR(MOD(divplanetlongitude(Charts2[[#This Row],[Moon ]],9,1),30),1)</f>
        <v>#VALUE!</v>
      </c>
      <c r="V72" s="126" t="e">
        <f>FLOOR(MOD(divplanetlongitude(Charts2[[#This Row],[Mars ]],9,1),30),1)</f>
        <v>#VALUE!</v>
      </c>
      <c r="W72" s="126" t="e">
        <f>FLOOR(MOD(divplanetlongitude(Charts2[[#This Row],[Merc]],9,1),30),1)</f>
        <v>#VALUE!</v>
      </c>
      <c r="X72" s="126" t="e">
        <f>FLOOR(MOD(divplanetlongitude(Charts2[[#This Row],[Jupiter]],9,1),30),1)</f>
        <v>#VALUE!</v>
      </c>
      <c r="Y72" s="126" t="e">
        <f>FLOOR(MOD(divplanetlongitude(Charts2[[#This Row],[Venus ]],9,1),30),1)</f>
        <v>#VALUE!</v>
      </c>
      <c r="Z72" s="126" t="e">
        <f>FLOOR(MOD(divplanetlongitude(Charts2[[#This Row],[Saturn ]],9,1),30),1)</f>
        <v>#VALUE!</v>
      </c>
      <c r="AA72" s="126" t="e">
        <f>FLOOR(MOD(divplanetlongitude(Charts2[[#This Row],[Rahu ]],9,1),30),1)</f>
        <v>#VALUE!</v>
      </c>
      <c r="AB72" s="126" t="e">
        <f>FLOOR(MOD(Charts2[[#This Row],[Asdt ]],30),1)</f>
        <v>#VALUE!</v>
      </c>
      <c r="AC72" s="126" t="e">
        <f>FLOOR(MOD(Charts2[[#This Row],[Sun ]],30),1)</f>
        <v>#VALUE!</v>
      </c>
      <c r="AD72" s="126" t="e">
        <f>FLOOR(MOD(Charts2[[#This Row],[Moon ]],30),1)</f>
        <v>#VALUE!</v>
      </c>
      <c r="AE72" s="126" t="e">
        <f>FLOOR(MOD(Charts2[[#This Row],[Mars ]],30),1)</f>
        <v>#VALUE!</v>
      </c>
      <c r="AF72" s="126" t="e">
        <f>FLOOR(MOD(Charts2[[#This Row],[Merc]],30),1)</f>
        <v>#VALUE!</v>
      </c>
      <c r="AG72" s="126" t="e">
        <f>FLOOR(MOD(Charts2[[#This Row],[Jupiter]],30),1)</f>
        <v>#VALUE!</v>
      </c>
      <c r="AH72" s="126" t="e">
        <f>FLOOR(MOD(Charts2[[#This Row],[Venus ]],30),1)</f>
        <v>#VALUE!</v>
      </c>
      <c r="AI72" s="126" t="e">
        <f>FLOOR(MOD(Charts2[[#This Row],[Saturn ]],30),1)</f>
        <v>#VALUE!</v>
      </c>
      <c r="AJ72" s="126" t="e">
        <f>FLOOR(MOD(Charts2[[#This Row],[Rahu ]],30),1)</f>
        <v>#VALUE!</v>
      </c>
    </row>
    <row r="73" spans="1:36" ht="15.6" x14ac:dyDescent="0.3">
      <c r="B73" s="114">
        <f t="shared" si="43"/>
        <v>44571</v>
      </c>
      <c r="C73">
        <f t="shared" si="15"/>
        <v>5.5</v>
      </c>
      <c r="D73" s="109">
        <f t="shared" si="16"/>
        <v>19.066666666666666</v>
      </c>
      <c r="E73" s="109">
        <f t="shared" si="17"/>
        <v>72.86666666666666</v>
      </c>
      <c r="F73" s="107">
        <f t="shared" si="36"/>
        <v>44571.402777777781</v>
      </c>
      <c r="G73" s="106">
        <f t="shared" si="35"/>
        <v>44571.301425592661</v>
      </c>
      <c r="H73" t="str">
        <f t="shared" si="31"/>
        <v>Monday</v>
      </c>
      <c r="I73" s="106">
        <v>0.63194444444443099</v>
      </c>
      <c r="J73" s="115" t="e">
        <f t="shared" si="37"/>
        <v>#VALUE!</v>
      </c>
      <c r="K73" s="115" t="e">
        <f t="shared" si="38"/>
        <v>#VALUE!</v>
      </c>
      <c r="L73" s="115" t="e">
        <f t="shared" si="39"/>
        <v>#VALUE!</v>
      </c>
      <c r="M73" s="115" t="e">
        <f t="shared" si="40"/>
        <v>#VALUE!</v>
      </c>
      <c r="N73" s="115" t="e">
        <f t="shared" si="41"/>
        <v>#VALUE!</v>
      </c>
      <c r="O73" s="115" t="e">
        <f t="shared" si="42"/>
        <v>#VALUE!</v>
      </c>
      <c r="P73" s="115" t="e">
        <f t="shared" si="32"/>
        <v>#VALUE!</v>
      </c>
      <c r="Q73" s="115" t="e">
        <f t="shared" si="33"/>
        <v>#VALUE!</v>
      </c>
      <c r="R73" s="115" t="e">
        <f t="shared" si="34"/>
        <v>#VALUE!</v>
      </c>
      <c r="S73" s="126" t="e">
        <f>FLOOR(MOD(divplanetlongitude(Charts2[[#This Row],[Asdt ]],9,1),30),1)</f>
        <v>#VALUE!</v>
      </c>
      <c r="T73" s="126" t="e">
        <f>FLOOR(MOD(divplanetlongitude(Charts2[[#This Row],[Sun ]],9,1),30),1)</f>
        <v>#VALUE!</v>
      </c>
      <c r="U73" s="126" t="e">
        <f>FLOOR(MOD(divplanetlongitude(Charts2[[#This Row],[Moon ]],9,1),30),1)</f>
        <v>#VALUE!</v>
      </c>
      <c r="V73" s="126" t="e">
        <f>FLOOR(MOD(divplanetlongitude(Charts2[[#This Row],[Mars ]],9,1),30),1)</f>
        <v>#VALUE!</v>
      </c>
      <c r="W73" s="126" t="e">
        <f>FLOOR(MOD(divplanetlongitude(Charts2[[#This Row],[Merc]],9,1),30),1)</f>
        <v>#VALUE!</v>
      </c>
      <c r="X73" s="126" t="e">
        <f>FLOOR(MOD(divplanetlongitude(Charts2[[#This Row],[Jupiter]],9,1),30),1)</f>
        <v>#VALUE!</v>
      </c>
      <c r="Y73" s="126" t="e">
        <f>FLOOR(MOD(divplanetlongitude(Charts2[[#This Row],[Venus ]],9,1),30),1)</f>
        <v>#VALUE!</v>
      </c>
      <c r="Z73" s="126" t="e">
        <f>FLOOR(MOD(divplanetlongitude(Charts2[[#This Row],[Saturn ]],9,1),30),1)</f>
        <v>#VALUE!</v>
      </c>
      <c r="AA73" s="126" t="e">
        <f>FLOOR(MOD(divplanetlongitude(Charts2[[#This Row],[Rahu ]],9,1),30),1)</f>
        <v>#VALUE!</v>
      </c>
      <c r="AB73" s="126" t="e">
        <f>FLOOR(MOD(Charts2[[#This Row],[Asdt ]],30),1)</f>
        <v>#VALUE!</v>
      </c>
      <c r="AC73" s="126" t="e">
        <f>FLOOR(MOD(Charts2[[#This Row],[Sun ]],30),1)</f>
        <v>#VALUE!</v>
      </c>
      <c r="AD73" s="126" t="e">
        <f>FLOOR(MOD(Charts2[[#This Row],[Moon ]],30),1)</f>
        <v>#VALUE!</v>
      </c>
      <c r="AE73" s="126" t="e">
        <f>FLOOR(MOD(Charts2[[#This Row],[Mars ]],30),1)</f>
        <v>#VALUE!</v>
      </c>
      <c r="AF73" s="126" t="e">
        <f>FLOOR(MOD(Charts2[[#This Row],[Merc]],30),1)</f>
        <v>#VALUE!</v>
      </c>
      <c r="AG73" s="126" t="e">
        <f>FLOOR(MOD(Charts2[[#This Row],[Jupiter]],30),1)</f>
        <v>#VALUE!</v>
      </c>
      <c r="AH73" s="126" t="e">
        <f>FLOOR(MOD(Charts2[[#This Row],[Venus ]],30),1)</f>
        <v>#VALUE!</v>
      </c>
      <c r="AI73" s="126" t="e">
        <f>FLOOR(MOD(Charts2[[#This Row],[Saturn ]],30),1)</f>
        <v>#VALUE!</v>
      </c>
      <c r="AJ73" s="126" t="e">
        <f>FLOOR(MOD(Charts2[[#This Row],[Rahu ]],30),1)</f>
        <v>#VALUE!</v>
      </c>
    </row>
    <row r="74" spans="1:36" ht="15.6" x14ac:dyDescent="0.3">
      <c r="B74" s="114">
        <f t="shared" si="43"/>
        <v>44571</v>
      </c>
      <c r="C74">
        <f t="shared" si="15"/>
        <v>5.5</v>
      </c>
      <c r="D74" s="109">
        <f t="shared" si="16"/>
        <v>19.066666666666666</v>
      </c>
      <c r="E74" s="109">
        <f t="shared" si="17"/>
        <v>72.86666666666666</v>
      </c>
      <c r="F74" s="107">
        <f t="shared" si="36"/>
        <v>44571.40625</v>
      </c>
      <c r="G74" s="106">
        <f t="shared" si="35"/>
        <v>44571.301425592661</v>
      </c>
      <c r="H74" t="str">
        <f t="shared" si="31"/>
        <v>Monday</v>
      </c>
      <c r="I74" s="106">
        <v>0.63541666666665297</v>
      </c>
      <c r="J74" s="115" t="e">
        <f t="shared" si="37"/>
        <v>#VALUE!</v>
      </c>
      <c r="K74" s="115" t="e">
        <f t="shared" si="38"/>
        <v>#VALUE!</v>
      </c>
      <c r="L74" s="115" t="e">
        <f t="shared" si="39"/>
        <v>#VALUE!</v>
      </c>
      <c r="M74" s="115" t="e">
        <f t="shared" si="40"/>
        <v>#VALUE!</v>
      </c>
      <c r="N74" s="115" t="e">
        <f t="shared" si="41"/>
        <v>#VALUE!</v>
      </c>
      <c r="O74" s="115" t="e">
        <f t="shared" si="42"/>
        <v>#VALUE!</v>
      </c>
      <c r="P74" s="115" t="e">
        <f t="shared" si="32"/>
        <v>#VALUE!</v>
      </c>
      <c r="Q74" s="115" t="e">
        <f t="shared" si="33"/>
        <v>#VALUE!</v>
      </c>
      <c r="R74" s="115" t="e">
        <f t="shared" si="34"/>
        <v>#VALUE!</v>
      </c>
      <c r="S74" s="126" t="e">
        <f>FLOOR(MOD(divplanetlongitude(Charts2[[#This Row],[Asdt ]],9,1),30),1)</f>
        <v>#VALUE!</v>
      </c>
      <c r="T74" s="126" t="e">
        <f>FLOOR(MOD(divplanetlongitude(Charts2[[#This Row],[Sun ]],9,1),30),1)</f>
        <v>#VALUE!</v>
      </c>
      <c r="U74" s="126" t="e">
        <f>FLOOR(MOD(divplanetlongitude(Charts2[[#This Row],[Moon ]],9,1),30),1)</f>
        <v>#VALUE!</v>
      </c>
      <c r="V74" s="126" t="e">
        <f>FLOOR(MOD(divplanetlongitude(Charts2[[#This Row],[Mars ]],9,1),30),1)</f>
        <v>#VALUE!</v>
      </c>
      <c r="W74" s="126" t="e">
        <f>FLOOR(MOD(divplanetlongitude(Charts2[[#This Row],[Merc]],9,1),30),1)</f>
        <v>#VALUE!</v>
      </c>
      <c r="X74" s="126" t="e">
        <f>FLOOR(MOD(divplanetlongitude(Charts2[[#This Row],[Jupiter]],9,1),30),1)</f>
        <v>#VALUE!</v>
      </c>
      <c r="Y74" s="126" t="e">
        <f>FLOOR(MOD(divplanetlongitude(Charts2[[#This Row],[Venus ]],9,1),30),1)</f>
        <v>#VALUE!</v>
      </c>
      <c r="Z74" s="126" t="e">
        <f>FLOOR(MOD(divplanetlongitude(Charts2[[#This Row],[Saturn ]],9,1),30),1)</f>
        <v>#VALUE!</v>
      </c>
      <c r="AA74" s="126" t="e">
        <f>FLOOR(MOD(divplanetlongitude(Charts2[[#This Row],[Rahu ]],9,1),30),1)</f>
        <v>#VALUE!</v>
      </c>
      <c r="AB74" s="126" t="e">
        <f>FLOOR(MOD(Charts2[[#This Row],[Asdt ]],30),1)</f>
        <v>#VALUE!</v>
      </c>
      <c r="AC74" s="126" t="e">
        <f>FLOOR(MOD(Charts2[[#This Row],[Sun ]],30),1)</f>
        <v>#VALUE!</v>
      </c>
      <c r="AD74" s="126" t="e">
        <f>FLOOR(MOD(Charts2[[#This Row],[Moon ]],30),1)</f>
        <v>#VALUE!</v>
      </c>
      <c r="AE74" s="126" t="e">
        <f>FLOOR(MOD(Charts2[[#This Row],[Mars ]],30),1)</f>
        <v>#VALUE!</v>
      </c>
      <c r="AF74" s="126" t="e">
        <f>FLOOR(MOD(Charts2[[#This Row],[Merc]],30),1)</f>
        <v>#VALUE!</v>
      </c>
      <c r="AG74" s="126" t="e">
        <f>FLOOR(MOD(Charts2[[#This Row],[Jupiter]],30),1)</f>
        <v>#VALUE!</v>
      </c>
      <c r="AH74" s="126" t="e">
        <f>FLOOR(MOD(Charts2[[#This Row],[Venus ]],30),1)</f>
        <v>#VALUE!</v>
      </c>
      <c r="AI74" s="126" t="e">
        <f>FLOOR(MOD(Charts2[[#This Row],[Saturn ]],30),1)</f>
        <v>#VALUE!</v>
      </c>
      <c r="AJ74" s="126" t="e">
        <f>FLOOR(MOD(Charts2[[#This Row],[Rahu ]],30),1)</f>
        <v>#VALUE!</v>
      </c>
    </row>
    <row r="75" spans="1:36" ht="15.6" x14ac:dyDescent="0.3">
      <c r="B75" s="114">
        <f t="shared" si="43"/>
        <v>44571</v>
      </c>
      <c r="C75">
        <f t="shared" si="15"/>
        <v>5.5</v>
      </c>
      <c r="D75" s="109">
        <f t="shared" si="16"/>
        <v>19.066666666666666</v>
      </c>
      <c r="E75" s="109">
        <f t="shared" si="17"/>
        <v>72.86666666666666</v>
      </c>
      <c r="F75" s="107">
        <f t="shared" si="36"/>
        <v>44571.409722222226</v>
      </c>
      <c r="G75" s="106">
        <f t="shared" si="35"/>
        <v>44571.301425592661</v>
      </c>
      <c r="H75" t="str">
        <f t="shared" si="31"/>
        <v>Monday</v>
      </c>
      <c r="I75" s="106">
        <v>0.63888888888887496</v>
      </c>
      <c r="J75" s="115" t="e">
        <f t="shared" si="37"/>
        <v>#VALUE!</v>
      </c>
      <c r="K75" s="115" t="e">
        <f t="shared" si="38"/>
        <v>#VALUE!</v>
      </c>
      <c r="L75" s="115" t="e">
        <f t="shared" si="39"/>
        <v>#VALUE!</v>
      </c>
      <c r="M75" s="115" t="e">
        <f t="shared" si="40"/>
        <v>#VALUE!</v>
      </c>
      <c r="N75" s="115" t="e">
        <f t="shared" si="41"/>
        <v>#VALUE!</v>
      </c>
      <c r="O75" s="115" t="e">
        <f t="shared" si="42"/>
        <v>#VALUE!</v>
      </c>
      <c r="P75" s="115" t="e">
        <f t="shared" si="32"/>
        <v>#VALUE!</v>
      </c>
      <c r="Q75" s="115" t="e">
        <f t="shared" si="33"/>
        <v>#VALUE!</v>
      </c>
      <c r="R75" s="115" t="e">
        <f t="shared" si="34"/>
        <v>#VALUE!</v>
      </c>
      <c r="S75" s="126" t="e">
        <f>FLOOR(MOD(divplanetlongitude(Charts2[[#This Row],[Asdt ]],9,1),30),1)</f>
        <v>#VALUE!</v>
      </c>
      <c r="T75" s="126" t="e">
        <f>FLOOR(MOD(divplanetlongitude(Charts2[[#This Row],[Sun ]],9,1),30),1)</f>
        <v>#VALUE!</v>
      </c>
      <c r="U75" s="126" t="e">
        <f>FLOOR(MOD(divplanetlongitude(Charts2[[#This Row],[Moon ]],9,1),30),1)</f>
        <v>#VALUE!</v>
      </c>
      <c r="V75" s="126" t="e">
        <f>FLOOR(MOD(divplanetlongitude(Charts2[[#This Row],[Mars ]],9,1),30),1)</f>
        <v>#VALUE!</v>
      </c>
      <c r="W75" s="126" t="e">
        <f>FLOOR(MOD(divplanetlongitude(Charts2[[#This Row],[Merc]],9,1),30),1)</f>
        <v>#VALUE!</v>
      </c>
      <c r="X75" s="126" t="e">
        <f>FLOOR(MOD(divplanetlongitude(Charts2[[#This Row],[Jupiter]],9,1),30),1)</f>
        <v>#VALUE!</v>
      </c>
      <c r="Y75" s="126" t="e">
        <f>FLOOR(MOD(divplanetlongitude(Charts2[[#This Row],[Venus ]],9,1),30),1)</f>
        <v>#VALUE!</v>
      </c>
      <c r="Z75" s="126" t="e">
        <f>FLOOR(MOD(divplanetlongitude(Charts2[[#This Row],[Saturn ]],9,1),30),1)</f>
        <v>#VALUE!</v>
      </c>
      <c r="AA75" s="126" t="e">
        <f>FLOOR(MOD(divplanetlongitude(Charts2[[#This Row],[Rahu ]],9,1),30),1)</f>
        <v>#VALUE!</v>
      </c>
      <c r="AB75" s="126" t="e">
        <f>FLOOR(MOD(Charts2[[#This Row],[Asdt ]],30),1)</f>
        <v>#VALUE!</v>
      </c>
      <c r="AC75" s="126" t="e">
        <f>FLOOR(MOD(Charts2[[#This Row],[Sun ]],30),1)</f>
        <v>#VALUE!</v>
      </c>
      <c r="AD75" s="126" t="e">
        <f>FLOOR(MOD(Charts2[[#This Row],[Moon ]],30),1)</f>
        <v>#VALUE!</v>
      </c>
      <c r="AE75" s="126" t="e">
        <f>FLOOR(MOD(Charts2[[#This Row],[Mars ]],30),1)</f>
        <v>#VALUE!</v>
      </c>
      <c r="AF75" s="126" t="e">
        <f>FLOOR(MOD(Charts2[[#This Row],[Merc]],30),1)</f>
        <v>#VALUE!</v>
      </c>
      <c r="AG75" s="126" t="e">
        <f>FLOOR(MOD(Charts2[[#This Row],[Jupiter]],30),1)</f>
        <v>#VALUE!</v>
      </c>
      <c r="AH75" s="126" t="e">
        <f>FLOOR(MOD(Charts2[[#This Row],[Venus ]],30),1)</f>
        <v>#VALUE!</v>
      </c>
      <c r="AI75" s="126" t="e">
        <f>FLOOR(MOD(Charts2[[#This Row],[Saturn ]],30),1)</f>
        <v>#VALUE!</v>
      </c>
      <c r="AJ75" s="126" t="e">
        <f>FLOOR(MOD(Charts2[[#This Row],[Rahu ]],30),1)</f>
        <v>#VALUE!</v>
      </c>
    </row>
    <row r="76" spans="1:36" ht="15.6" x14ac:dyDescent="0.3">
      <c r="B76" s="114">
        <f t="shared" si="43"/>
        <v>44571</v>
      </c>
      <c r="C76">
        <f t="shared" si="15"/>
        <v>5.5</v>
      </c>
      <c r="D76" s="109">
        <f t="shared" si="16"/>
        <v>19.066666666666666</v>
      </c>
      <c r="E76" s="109">
        <f t="shared" si="17"/>
        <v>72.86666666666666</v>
      </c>
      <c r="F76" s="107">
        <f t="shared" si="36"/>
        <v>44571.413194444445</v>
      </c>
      <c r="G76" s="106">
        <f t="shared" si="35"/>
        <v>44571.301425592661</v>
      </c>
      <c r="H76" t="str">
        <f t="shared" si="31"/>
        <v>Monday</v>
      </c>
      <c r="I76" s="106">
        <v>0.64236111111109695</v>
      </c>
      <c r="J76" s="115" t="e">
        <f t="shared" si="37"/>
        <v>#VALUE!</v>
      </c>
      <c r="K76" s="115" t="e">
        <f t="shared" si="38"/>
        <v>#VALUE!</v>
      </c>
      <c r="L76" s="115" t="e">
        <f t="shared" si="39"/>
        <v>#VALUE!</v>
      </c>
      <c r="M76" s="115" t="e">
        <f t="shared" si="40"/>
        <v>#VALUE!</v>
      </c>
      <c r="N76" s="115" t="e">
        <f t="shared" si="41"/>
        <v>#VALUE!</v>
      </c>
      <c r="O76" s="115" t="e">
        <f t="shared" si="42"/>
        <v>#VALUE!</v>
      </c>
      <c r="P76" s="115" t="e">
        <f t="shared" si="32"/>
        <v>#VALUE!</v>
      </c>
      <c r="Q76" s="115" t="e">
        <f t="shared" si="33"/>
        <v>#VALUE!</v>
      </c>
      <c r="R76" s="115" t="e">
        <f t="shared" si="34"/>
        <v>#VALUE!</v>
      </c>
      <c r="S76" s="126" t="e">
        <f>FLOOR(MOD(divplanetlongitude(Charts2[[#This Row],[Asdt ]],9,1),30),1)</f>
        <v>#VALUE!</v>
      </c>
      <c r="T76" s="126" t="e">
        <f>FLOOR(MOD(divplanetlongitude(Charts2[[#This Row],[Sun ]],9,1),30),1)</f>
        <v>#VALUE!</v>
      </c>
      <c r="U76" s="126" t="e">
        <f>FLOOR(MOD(divplanetlongitude(Charts2[[#This Row],[Moon ]],9,1),30),1)</f>
        <v>#VALUE!</v>
      </c>
      <c r="V76" s="126" t="e">
        <f>FLOOR(MOD(divplanetlongitude(Charts2[[#This Row],[Mars ]],9,1),30),1)</f>
        <v>#VALUE!</v>
      </c>
      <c r="W76" s="126" t="e">
        <f>FLOOR(MOD(divplanetlongitude(Charts2[[#This Row],[Merc]],9,1),30),1)</f>
        <v>#VALUE!</v>
      </c>
      <c r="X76" s="126" t="e">
        <f>FLOOR(MOD(divplanetlongitude(Charts2[[#This Row],[Jupiter]],9,1),30),1)</f>
        <v>#VALUE!</v>
      </c>
      <c r="Y76" s="126" t="e">
        <f>FLOOR(MOD(divplanetlongitude(Charts2[[#This Row],[Venus ]],9,1),30),1)</f>
        <v>#VALUE!</v>
      </c>
      <c r="Z76" s="126" t="e">
        <f>FLOOR(MOD(divplanetlongitude(Charts2[[#This Row],[Saturn ]],9,1),30),1)</f>
        <v>#VALUE!</v>
      </c>
      <c r="AA76" s="126" t="e">
        <f>FLOOR(MOD(divplanetlongitude(Charts2[[#This Row],[Rahu ]],9,1),30),1)</f>
        <v>#VALUE!</v>
      </c>
      <c r="AB76" s="126" t="e">
        <f>FLOOR(MOD(Charts2[[#This Row],[Asdt ]],30),1)</f>
        <v>#VALUE!</v>
      </c>
      <c r="AC76" s="126" t="e">
        <f>FLOOR(MOD(Charts2[[#This Row],[Sun ]],30),1)</f>
        <v>#VALUE!</v>
      </c>
      <c r="AD76" s="126" t="e">
        <f>FLOOR(MOD(Charts2[[#This Row],[Moon ]],30),1)</f>
        <v>#VALUE!</v>
      </c>
      <c r="AE76" s="126" t="e">
        <f>FLOOR(MOD(Charts2[[#This Row],[Mars ]],30),1)</f>
        <v>#VALUE!</v>
      </c>
      <c r="AF76" s="126" t="e">
        <f>FLOOR(MOD(Charts2[[#This Row],[Merc]],30),1)</f>
        <v>#VALUE!</v>
      </c>
      <c r="AG76" s="126" t="e">
        <f>FLOOR(MOD(Charts2[[#This Row],[Jupiter]],30),1)</f>
        <v>#VALUE!</v>
      </c>
      <c r="AH76" s="126" t="e">
        <f>FLOOR(MOD(Charts2[[#This Row],[Venus ]],30),1)</f>
        <v>#VALUE!</v>
      </c>
      <c r="AI76" s="126" t="e">
        <f>FLOOR(MOD(Charts2[[#This Row],[Saturn ]],30),1)</f>
        <v>#VALUE!</v>
      </c>
      <c r="AJ76" s="126" t="e">
        <f>FLOOR(MOD(Charts2[[#This Row],[Rahu ]],30),1)</f>
        <v>#VALUE!</v>
      </c>
    </row>
    <row r="77" spans="1:36" ht="15.6" x14ac:dyDescent="0.3">
      <c r="B77" s="114">
        <f t="shared" si="43"/>
        <v>44571</v>
      </c>
      <c r="C77">
        <f t="shared" si="15"/>
        <v>5.5</v>
      </c>
      <c r="D77" s="109">
        <f t="shared" si="16"/>
        <v>19.066666666666666</v>
      </c>
      <c r="E77" s="109">
        <f t="shared" si="17"/>
        <v>72.86666666666666</v>
      </c>
      <c r="F77" s="107">
        <f t="shared" si="36"/>
        <v>44571.416666666672</v>
      </c>
      <c r="G77" s="106">
        <f t="shared" si="35"/>
        <v>44571.301425592661</v>
      </c>
      <c r="H77" t="str">
        <f t="shared" si="31"/>
        <v>Monday</v>
      </c>
      <c r="I77" s="106">
        <v>0.64583333333331905</v>
      </c>
      <c r="J77" s="115" t="e">
        <f t="shared" si="37"/>
        <v>#VALUE!</v>
      </c>
      <c r="K77" s="115" t="e">
        <f t="shared" si="38"/>
        <v>#VALUE!</v>
      </c>
      <c r="L77" s="115" t="e">
        <f t="shared" si="39"/>
        <v>#VALUE!</v>
      </c>
      <c r="M77" s="115" t="e">
        <f t="shared" si="40"/>
        <v>#VALUE!</v>
      </c>
      <c r="N77" s="115" t="e">
        <f t="shared" si="41"/>
        <v>#VALUE!</v>
      </c>
      <c r="O77" s="115" t="e">
        <f t="shared" si="42"/>
        <v>#VALUE!</v>
      </c>
      <c r="P77" s="115" t="e">
        <f t="shared" si="32"/>
        <v>#VALUE!</v>
      </c>
      <c r="Q77" s="115" t="e">
        <f t="shared" si="33"/>
        <v>#VALUE!</v>
      </c>
      <c r="R77" s="115" t="e">
        <f t="shared" si="34"/>
        <v>#VALUE!</v>
      </c>
      <c r="S77" s="126" t="e">
        <f>FLOOR(MOD(divplanetlongitude(Charts2[[#This Row],[Asdt ]],9,1),30),1)</f>
        <v>#VALUE!</v>
      </c>
      <c r="T77" s="126" t="e">
        <f>FLOOR(MOD(divplanetlongitude(Charts2[[#This Row],[Sun ]],9,1),30),1)</f>
        <v>#VALUE!</v>
      </c>
      <c r="U77" s="126" t="e">
        <f>FLOOR(MOD(divplanetlongitude(Charts2[[#This Row],[Moon ]],9,1),30),1)</f>
        <v>#VALUE!</v>
      </c>
      <c r="V77" s="126" t="e">
        <f>FLOOR(MOD(divplanetlongitude(Charts2[[#This Row],[Mars ]],9,1),30),1)</f>
        <v>#VALUE!</v>
      </c>
      <c r="W77" s="126" t="e">
        <f>FLOOR(MOD(divplanetlongitude(Charts2[[#This Row],[Merc]],9,1),30),1)</f>
        <v>#VALUE!</v>
      </c>
      <c r="X77" s="126" t="e">
        <f>FLOOR(MOD(divplanetlongitude(Charts2[[#This Row],[Jupiter]],9,1),30),1)</f>
        <v>#VALUE!</v>
      </c>
      <c r="Y77" s="126" t="e">
        <f>FLOOR(MOD(divplanetlongitude(Charts2[[#This Row],[Venus ]],9,1),30),1)</f>
        <v>#VALUE!</v>
      </c>
      <c r="Z77" s="126" t="e">
        <f>FLOOR(MOD(divplanetlongitude(Charts2[[#This Row],[Saturn ]],9,1),30),1)</f>
        <v>#VALUE!</v>
      </c>
      <c r="AA77" s="126" t="e">
        <f>FLOOR(MOD(divplanetlongitude(Charts2[[#This Row],[Rahu ]],9,1),30),1)</f>
        <v>#VALUE!</v>
      </c>
      <c r="AB77" s="126" t="e">
        <f>FLOOR(MOD(Charts2[[#This Row],[Asdt ]],30),1)</f>
        <v>#VALUE!</v>
      </c>
      <c r="AC77" s="126" t="e">
        <f>FLOOR(MOD(Charts2[[#This Row],[Sun ]],30),1)</f>
        <v>#VALUE!</v>
      </c>
      <c r="AD77" s="126" t="e">
        <f>FLOOR(MOD(Charts2[[#This Row],[Moon ]],30),1)</f>
        <v>#VALUE!</v>
      </c>
      <c r="AE77" s="126" t="e">
        <f>FLOOR(MOD(Charts2[[#This Row],[Mars ]],30),1)</f>
        <v>#VALUE!</v>
      </c>
      <c r="AF77" s="126" t="e">
        <f>FLOOR(MOD(Charts2[[#This Row],[Merc]],30),1)</f>
        <v>#VALUE!</v>
      </c>
      <c r="AG77" s="126" t="e">
        <f>FLOOR(MOD(Charts2[[#This Row],[Jupiter]],30),1)</f>
        <v>#VALUE!</v>
      </c>
      <c r="AH77" s="126" t="e">
        <f>FLOOR(MOD(Charts2[[#This Row],[Venus ]],30),1)</f>
        <v>#VALUE!</v>
      </c>
      <c r="AI77" s="126" t="e">
        <f>FLOOR(MOD(Charts2[[#This Row],[Saturn ]],30),1)</f>
        <v>#VALUE!</v>
      </c>
      <c r="AJ77" s="126" t="e">
        <f>FLOOR(MOD(Charts2[[#This Row],[Rahu ]],30),1)</f>
        <v>#VALUE!</v>
      </c>
    </row>
    <row r="78" spans="1:36" x14ac:dyDescent="0.25">
      <c r="A78" t="s">
        <v>71</v>
      </c>
      <c r="B78" s="114"/>
      <c r="D78" s="109">
        <f>19+4/60</f>
        <v>19.066666666666666</v>
      </c>
      <c r="E78" s="109">
        <f>72+52/60</f>
        <v>72.86666666666666</v>
      </c>
      <c r="F78" s="107"/>
      <c r="G78" s="106"/>
      <c r="I78" s="106"/>
      <c r="J78" s="115"/>
      <c r="K78" s="115"/>
      <c r="L78" s="115"/>
      <c r="M78" s="115"/>
      <c r="N78" s="115"/>
      <c r="O78" s="115"/>
      <c r="P78" s="115"/>
      <c r="Q78" s="115"/>
      <c r="R78" s="115"/>
      <c r="S78" s="117"/>
      <c r="T78" s="117"/>
      <c r="U78" s="117"/>
      <c r="V78" s="117"/>
      <c r="W78" s="117"/>
      <c r="X78" s="117"/>
      <c r="Y78" s="117"/>
      <c r="Z78" s="117"/>
      <c r="AA78" s="117"/>
      <c r="AB78" s="117"/>
      <c r="AC78" s="117"/>
      <c r="AD78" s="117"/>
      <c r="AE78" s="117"/>
      <c r="AF78" s="117"/>
      <c r="AG78" s="117"/>
      <c r="AH78" s="117"/>
      <c r="AI78" s="117"/>
      <c r="AJ78" s="117"/>
    </row>
  </sheetData>
  <conditionalFormatting sqref="S1048565:S1048576">
    <cfRule type="expression" dxfId="125" priority="135">
      <formula>MATCH(#REF!,d1check,0)</formula>
    </cfRule>
  </conditionalFormatting>
  <conditionalFormatting sqref="S1048564">
    <cfRule type="expression" dxfId="124" priority="136">
      <formula>MATCH($S1,d1check,0)</formula>
    </cfRule>
  </conditionalFormatting>
  <conditionalFormatting sqref="T1048565:AJ1048576">
    <cfRule type="expression" dxfId="123" priority="80">
      <formula>MATCH(#REF!,d1check,0)</formula>
    </cfRule>
  </conditionalFormatting>
  <conditionalFormatting sqref="T1048564:AJ1048564">
    <cfRule type="expression" dxfId="122" priority="81">
      <formula>MATCH($S1,d1check,0)</formula>
    </cfRule>
  </conditionalFormatting>
  <conditionalFormatting sqref="S2:AJ77">
    <cfRule type="cellIs" dxfId="121" priority="137" stopIfTrue="1" operator="equal">
      <formula>27</formula>
    </cfRule>
    <cfRule type="cellIs" dxfId="120" priority="138" stopIfTrue="1" operator="equal">
      <formula>11</formula>
    </cfRule>
    <cfRule type="cellIs" dxfId="119" priority="139" stopIfTrue="1" operator="equal">
      <formula>5</formula>
    </cfRule>
    <cfRule type="cellIs" dxfId="118" priority="140" stopIfTrue="1" operator="equal">
      <formula>3</formula>
    </cfRule>
    <cfRule type="cellIs" dxfId="117" priority="141" stopIfTrue="1" operator="equal">
      <formula>23</formula>
    </cfRule>
    <cfRule type="cellIs" dxfId="116" priority="142" stopIfTrue="1" operator="equal">
      <formula>22</formula>
    </cfRule>
    <cfRule type="cellIs" dxfId="115" priority="143" stopIfTrue="1" operator="equal">
      <formula>7</formula>
    </cfRule>
    <cfRule type="cellIs" dxfId="114" priority="144" stopIfTrue="1" operator="equal">
      <formula>20</formula>
    </cfRule>
    <cfRule type="cellIs" dxfId="113" priority="145" stopIfTrue="1" operator="equal">
      <formula>4</formula>
    </cfRule>
    <cfRule type="cellIs" dxfId="112" priority="146" stopIfTrue="1" operator="equal">
      <formula>13</formula>
    </cfRule>
    <cfRule type="cellIs" dxfId="111" priority="147" stopIfTrue="1" operator="equal">
      <formula>25</formula>
    </cfRule>
    <cfRule type="cellIs" dxfId="110" priority="148" stopIfTrue="1" operator="equal">
      <formula>15</formula>
    </cfRule>
  </conditionalFormatting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R761"/>
  <sheetViews>
    <sheetView workbookViewId="0">
      <selection activeCell="F1" sqref="F1"/>
    </sheetView>
  </sheetViews>
  <sheetFormatPr defaultRowHeight="13.2" x14ac:dyDescent="0.25"/>
  <cols>
    <col min="1" max="1" width="15" customWidth="1"/>
    <col min="8" max="8" width="13.44140625" customWidth="1"/>
  </cols>
  <sheetData>
    <row r="1" spans="1:18" x14ac:dyDescent="0.25">
      <c r="A1" t="s">
        <v>57</v>
      </c>
      <c r="B1" t="s">
        <v>56</v>
      </c>
      <c r="C1" t="s">
        <v>59</v>
      </c>
      <c r="D1" t="s">
        <v>60</v>
      </c>
      <c r="E1" s="107" t="s">
        <v>61</v>
      </c>
      <c r="F1" t="s">
        <v>26</v>
      </c>
      <c r="G1" t="s">
        <v>20</v>
      </c>
      <c r="H1" t="s">
        <v>58</v>
      </c>
      <c r="I1" s="115" t="s">
        <v>9</v>
      </c>
      <c r="J1" s="115" t="s">
        <v>2</v>
      </c>
      <c r="K1" s="115" t="s">
        <v>3</v>
      </c>
      <c r="L1" s="115" t="s">
        <v>16</v>
      </c>
      <c r="M1" s="115" t="s">
        <v>62</v>
      </c>
      <c r="N1" s="115" t="s">
        <v>44</v>
      </c>
      <c r="O1" s="115" t="s">
        <v>5</v>
      </c>
      <c r="P1" s="115" t="s">
        <v>6</v>
      </c>
      <c r="Q1" s="115" t="s">
        <v>7</v>
      </c>
      <c r="R1" s="115"/>
    </row>
    <row r="2" spans="1:18" x14ac:dyDescent="0.25">
      <c r="A2" s="114">
        <f>Charts2[[#This Row],[Name]]</f>
        <v>44571</v>
      </c>
      <c r="B2">
        <v>5.5</v>
      </c>
      <c r="C2" s="109">
        <f>19+4/60</f>
        <v>19.066666666666666</v>
      </c>
      <c r="D2" s="109">
        <f>72+52/60</f>
        <v>72.86666666666666</v>
      </c>
      <c r="E2" s="107">
        <f t="shared" ref="E2" si="0">A2+H2-B2/24</f>
        <v>44571.15625</v>
      </c>
      <c r="F2" s="106">
        <f>sunrise(C2,D2,E2)+B2/24</f>
        <v>44571.301425592661</v>
      </c>
      <c r="G2" t="str">
        <f>CHOOSE(WEEKDAY(E2),"Sunday","Monday","Tuesday","Wednesday","Thursday","Friday","Saturday")</f>
        <v>Monday</v>
      </c>
      <c r="H2" s="129">
        <v>0.38541666666666669</v>
      </c>
      <c r="I2" s="115">
        <f>(Asdt(C2,D2,E2))</f>
        <v>296.24946100948034</v>
      </c>
      <c r="J2" s="115">
        <f>(Planet(E2,0))</f>
        <v>265.70273864588722</v>
      </c>
      <c r="K2" s="115">
        <f>(Planet(E2,1))</f>
        <v>0.2190144558048045</v>
      </c>
      <c r="L2" s="115">
        <f>(Planet(E2,4))</f>
        <v>235.47288851838886</v>
      </c>
      <c r="M2" s="115">
        <f>(Planet(E2,2))</f>
        <v>284.5339785086893</v>
      </c>
      <c r="N2" s="115">
        <f>(Planet(E2,5))</f>
        <v>308.23585673994472</v>
      </c>
      <c r="O2" s="115">
        <f>Planet(E2,3)</f>
        <v>263.87042219633213</v>
      </c>
      <c r="P2" s="115">
        <f>Planet(E2,6)</f>
        <v>288.75828090541756</v>
      </c>
      <c r="Q2" s="115">
        <f>Planet(E2,10)</f>
        <v>34.88499296762221</v>
      </c>
      <c r="R2" s="115"/>
    </row>
    <row r="3" spans="1:18" x14ac:dyDescent="0.25">
      <c r="A3" s="114">
        <f>A2</f>
        <v>44571</v>
      </c>
      <c r="B3">
        <f>B2</f>
        <v>5.5</v>
      </c>
      <c r="C3" s="109">
        <f>C2</f>
        <v>19.066666666666666</v>
      </c>
      <c r="D3" s="109">
        <f>D2</f>
        <v>72.86666666666666</v>
      </c>
      <c r="E3" s="107">
        <f t="shared" ref="E3" si="1">A3+H3-B3/24</f>
        <v>44571.159722222226</v>
      </c>
      <c r="F3" s="106">
        <f t="shared" ref="F3:F66" si="2">sunrise(C3,D3,E3)+B3/24</f>
        <v>44571.301425592661</v>
      </c>
      <c r="G3" t="str">
        <f>CHOOSE(WEEKDAY(E3),"Sunday","Monday","Tuesday","Wednesday","Thursday","Friday","Saturday")</f>
        <v>Monday</v>
      </c>
      <c r="H3" s="129">
        <v>0.3888888888888889</v>
      </c>
      <c r="I3" s="115">
        <f t="shared" ref="I3:I28" si="3">(Asdt(C3,D3,E3))</f>
        <v>298.59589579406406</v>
      </c>
      <c r="J3" s="115">
        <f t="shared" ref="J3:J28" si="4">(Planet(E3,0))</f>
        <v>265.70627682133193</v>
      </c>
      <c r="K3" s="115">
        <f t="shared" ref="K3:K28" si="5">(Planet(E3,1))</f>
        <v>0.2616925802657088</v>
      </c>
      <c r="L3" s="115">
        <f t="shared" ref="L3:L28" si="6">(Planet(E3,4))</f>
        <v>235.47537593129618</v>
      </c>
      <c r="M3" s="115">
        <f t="shared" ref="M3:M28" si="7">(Planet(E3,2))</f>
        <v>284.53646847629125</v>
      </c>
      <c r="N3" s="115">
        <f t="shared" ref="N3:N28" si="8">(Planet(E3,5))</f>
        <v>308.23658035252049</v>
      </c>
      <c r="O3" s="115">
        <f t="shared" ref="O3:O28" si="9">Planet(E3,3)</f>
        <v>263.86830334888407</v>
      </c>
      <c r="P3" s="115">
        <f t="shared" ref="P3:P28" si="10">Planet(E3,6)</f>
        <v>288.75867499054885</v>
      </c>
      <c r="Q3" s="115">
        <f t="shared" ref="Q3:Q28" si="11">Planet(E3,10)</f>
        <v>34.884808967669265</v>
      </c>
    </row>
    <row r="4" spans="1:18" x14ac:dyDescent="0.25">
      <c r="A4" s="114">
        <f t="shared" ref="A4:A67" si="12">A3</f>
        <v>44571</v>
      </c>
      <c r="B4">
        <f t="shared" ref="B4:B67" si="13">B3</f>
        <v>5.5</v>
      </c>
      <c r="C4" s="109">
        <f t="shared" ref="C4:C67" si="14">C3</f>
        <v>19.066666666666666</v>
      </c>
      <c r="D4" s="109">
        <f t="shared" ref="D4:D67" si="15">D3</f>
        <v>72.86666666666666</v>
      </c>
      <c r="E4" s="107">
        <f t="shared" ref="E4:E67" si="16">A4+H4-B4/24</f>
        <v>44571.163194444445</v>
      </c>
      <c r="F4" s="106">
        <f t="shared" si="2"/>
        <v>44571.301425592661</v>
      </c>
      <c r="G4" t="str">
        <f t="shared" ref="G4:G67" si="17">CHOOSE(WEEKDAY(E4),"Sunday","Monday","Tuesday","Wednesday","Thursday","Friday","Saturday")</f>
        <v>Monday</v>
      </c>
      <c r="H4" s="129">
        <v>0.39236111111111099</v>
      </c>
      <c r="I4" s="115">
        <f t="shared" si="3"/>
        <v>300.06874864775654</v>
      </c>
      <c r="J4" s="115">
        <f t="shared" si="4"/>
        <v>265.70981499552232</v>
      </c>
      <c r="K4" s="115">
        <f t="shared" si="5"/>
        <v>0.30436710250357496</v>
      </c>
      <c r="L4" s="115">
        <f t="shared" si="6"/>
        <v>235.47786335171503</v>
      </c>
      <c r="M4" s="115">
        <f t="shared" si="7"/>
        <v>284.53895681400724</v>
      </c>
      <c r="N4" s="115">
        <f t="shared" si="8"/>
        <v>308.23730398060718</v>
      </c>
      <c r="O4" s="115">
        <f t="shared" si="9"/>
        <v>263.86618456157754</v>
      </c>
      <c r="P4" s="115">
        <f t="shared" si="10"/>
        <v>288.75906908047773</v>
      </c>
      <c r="Q4" s="115">
        <f t="shared" si="11"/>
        <v>34.8846249676998</v>
      </c>
    </row>
    <row r="5" spans="1:18" x14ac:dyDescent="0.25">
      <c r="A5" s="114">
        <f t="shared" si="12"/>
        <v>44571</v>
      </c>
      <c r="B5">
        <f t="shared" si="13"/>
        <v>5.5</v>
      </c>
      <c r="C5" s="109">
        <f t="shared" si="14"/>
        <v>19.066666666666666</v>
      </c>
      <c r="D5" s="109">
        <f t="shared" si="15"/>
        <v>72.86666666666666</v>
      </c>
      <c r="E5" s="107">
        <f t="shared" si="16"/>
        <v>44571.166666666672</v>
      </c>
      <c r="F5" s="106">
        <f t="shared" si="2"/>
        <v>44571.301425592661</v>
      </c>
      <c r="G5" t="str">
        <f t="shared" si="17"/>
        <v>Monday</v>
      </c>
      <c r="H5" s="129">
        <v>0.39583333333333298</v>
      </c>
      <c r="I5" s="115">
        <f t="shared" si="3"/>
        <v>301.55109319387816</v>
      </c>
      <c r="J5" s="115">
        <f t="shared" si="4"/>
        <v>265.71335316749787</v>
      </c>
      <c r="K5" s="115">
        <f t="shared" si="5"/>
        <v>0.34703801475476448</v>
      </c>
      <c r="L5" s="115">
        <f t="shared" si="6"/>
        <v>235.48035077903674</v>
      </c>
      <c r="M5" s="115">
        <f t="shared" si="7"/>
        <v>284.54144352051441</v>
      </c>
      <c r="N5" s="115">
        <f t="shared" si="8"/>
        <v>308.23802762426089</v>
      </c>
      <c r="O5" s="115">
        <f t="shared" si="9"/>
        <v>263.86406583516663</v>
      </c>
      <c r="P5" s="115">
        <f t="shared" si="10"/>
        <v>288.75946317764982</v>
      </c>
      <c r="Q5" s="115">
        <f t="shared" si="11"/>
        <v>34.884440967730505</v>
      </c>
    </row>
    <row r="6" spans="1:18" x14ac:dyDescent="0.25">
      <c r="A6" s="114">
        <f t="shared" si="12"/>
        <v>44571</v>
      </c>
      <c r="B6">
        <f t="shared" si="13"/>
        <v>5.5</v>
      </c>
      <c r="C6" s="109">
        <f t="shared" si="14"/>
        <v>19.066666666666666</v>
      </c>
      <c r="D6" s="109">
        <f t="shared" si="15"/>
        <v>72.86666666666666</v>
      </c>
      <c r="E6" s="107">
        <f t="shared" si="16"/>
        <v>44571.170138888891</v>
      </c>
      <c r="F6" s="106">
        <f t="shared" si="2"/>
        <v>44571.301425592661</v>
      </c>
      <c r="G6" t="str">
        <f t="shared" si="17"/>
        <v>Monday</v>
      </c>
      <c r="H6" s="129">
        <v>0.39930555555555503</v>
      </c>
      <c r="I6" s="115">
        <f t="shared" si="3"/>
        <v>303.04277102126417</v>
      </c>
      <c r="J6" s="115">
        <f t="shared" si="4"/>
        <v>265.71689133827192</v>
      </c>
      <c r="K6" s="115">
        <f t="shared" si="5"/>
        <v>0.38970533207203467</v>
      </c>
      <c r="L6" s="115">
        <f t="shared" si="6"/>
        <v>235.48283821392297</v>
      </c>
      <c r="M6" s="115">
        <f t="shared" si="7"/>
        <v>284.54392859588665</v>
      </c>
      <c r="N6" s="115">
        <f t="shared" si="8"/>
        <v>308.23875128341354</v>
      </c>
      <c r="O6" s="115">
        <f t="shared" si="9"/>
        <v>263.86194716922159</v>
      </c>
      <c r="P6" s="115">
        <f t="shared" si="10"/>
        <v>288.75985727966776</v>
      </c>
      <c r="Q6" s="115">
        <f t="shared" si="11"/>
        <v>34.884256967727879</v>
      </c>
    </row>
    <row r="7" spans="1:18" x14ac:dyDescent="0.25">
      <c r="A7" s="114">
        <f t="shared" si="12"/>
        <v>44571</v>
      </c>
      <c r="B7">
        <f t="shared" si="13"/>
        <v>5.5</v>
      </c>
      <c r="C7" s="109">
        <f t="shared" si="14"/>
        <v>19.066666666666666</v>
      </c>
      <c r="D7" s="109">
        <f t="shared" si="15"/>
        <v>72.86666666666666</v>
      </c>
      <c r="E7" s="107">
        <f t="shared" si="16"/>
        <v>44571.173611111117</v>
      </c>
      <c r="F7" s="106">
        <f t="shared" si="2"/>
        <v>44571.301425592661</v>
      </c>
      <c r="G7" t="str">
        <f t="shared" si="17"/>
        <v>Monday</v>
      </c>
      <c r="H7" s="129">
        <v>0.40277777777777801</v>
      </c>
      <c r="I7" s="115">
        <f t="shared" si="3"/>
        <v>304.54359721480438</v>
      </c>
      <c r="J7" s="115">
        <f t="shared" si="4"/>
        <v>265.72042950679167</v>
      </c>
      <c r="K7" s="115">
        <f t="shared" si="5"/>
        <v>0.43236904672635151</v>
      </c>
      <c r="L7" s="115">
        <f t="shared" si="6"/>
        <v>235.48532565568831</v>
      </c>
      <c r="M7" s="115">
        <f t="shared" si="7"/>
        <v>284.5464120387893</v>
      </c>
      <c r="N7" s="115">
        <f t="shared" si="8"/>
        <v>308.23947495790395</v>
      </c>
      <c r="O7" s="115">
        <f t="shared" si="9"/>
        <v>263.85982856448845</v>
      </c>
      <c r="P7" s="115">
        <f t="shared" si="10"/>
        <v>288.76025138817329</v>
      </c>
      <c r="Q7" s="115">
        <f t="shared" si="11"/>
        <v>34.884072967791546</v>
      </c>
    </row>
    <row r="8" spans="1:18" x14ac:dyDescent="0.25">
      <c r="A8" s="114">
        <f t="shared" si="12"/>
        <v>44571</v>
      </c>
      <c r="B8">
        <f t="shared" si="13"/>
        <v>5.5</v>
      </c>
      <c r="C8" s="109">
        <f t="shared" si="14"/>
        <v>19.066666666666666</v>
      </c>
      <c r="D8" s="109">
        <f t="shared" si="15"/>
        <v>72.86666666666666</v>
      </c>
      <c r="E8" s="107">
        <f t="shared" si="16"/>
        <v>44571.177083333336</v>
      </c>
      <c r="F8" s="106">
        <f t="shared" si="2"/>
        <v>44571.301425592661</v>
      </c>
      <c r="G8" t="str">
        <f t="shared" si="17"/>
        <v>Monday</v>
      </c>
      <c r="H8" s="129">
        <v>0.40625</v>
      </c>
      <c r="I8" s="115">
        <f t="shared" si="3"/>
        <v>306.05336155334084</v>
      </c>
      <c r="J8" s="115">
        <f t="shared" si="4"/>
        <v>265.72396767397015</v>
      </c>
      <c r="K8" s="115">
        <f t="shared" si="5"/>
        <v>0.47502917380052562</v>
      </c>
      <c r="L8" s="115">
        <f t="shared" si="6"/>
        <v>235.48781310476318</v>
      </c>
      <c r="M8" s="115">
        <f t="shared" si="7"/>
        <v>284.54889384920551</v>
      </c>
      <c r="N8" s="115">
        <f t="shared" si="8"/>
        <v>308.24019864794855</v>
      </c>
      <c r="O8" s="115">
        <f t="shared" si="9"/>
        <v>263.85771002078127</v>
      </c>
      <c r="P8" s="115">
        <f t="shared" si="10"/>
        <v>288.76064550243285</v>
      </c>
      <c r="Q8" s="115">
        <f t="shared" si="11"/>
        <v>34.883888967822124</v>
      </c>
    </row>
    <row r="9" spans="1:18" x14ac:dyDescent="0.25">
      <c r="A9" s="114">
        <f t="shared" si="12"/>
        <v>44571</v>
      </c>
      <c r="B9">
        <f t="shared" si="13"/>
        <v>5.5</v>
      </c>
      <c r="C9" s="109">
        <f t="shared" si="14"/>
        <v>19.066666666666666</v>
      </c>
      <c r="D9" s="109">
        <f t="shared" si="15"/>
        <v>72.86666666666666</v>
      </c>
      <c r="E9" s="107">
        <f t="shared" si="16"/>
        <v>44571.180555555555</v>
      </c>
      <c r="F9" s="106">
        <f t="shared" si="2"/>
        <v>44571.301425592661</v>
      </c>
      <c r="G9" t="str">
        <f t="shared" si="17"/>
        <v>Monday</v>
      </c>
      <c r="H9" s="129">
        <v>0.40972222222222199</v>
      </c>
      <c r="I9" s="115">
        <f t="shared" si="3"/>
        <v>307.57182661133345</v>
      </c>
      <c r="J9" s="115">
        <f t="shared" si="4"/>
        <v>265.72750583900751</v>
      </c>
      <c r="K9" s="115">
        <f t="shared" si="5"/>
        <v>0.5176857054792724</v>
      </c>
      <c r="L9" s="115">
        <f t="shared" si="6"/>
        <v>235.49030056086943</v>
      </c>
      <c r="M9" s="115">
        <f t="shared" si="7"/>
        <v>284.55137402596563</v>
      </c>
      <c r="N9" s="115">
        <f t="shared" si="8"/>
        <v>308.24092235356898</v>
      </c>
      <c r="O9" s="115">
        <f t="shared" si="9"/>
        <v>263.85559153851051</v>
      </c>
      <c r="P9" s="115">
        <f t="shared" si="10"/>
        <v>288.76103962247163</v>
      </c>
      <c r="Q9" s="115">
        <f t="shared" si="11"/>
        <v>34.883704967869249</v>
      </c>
    </row>
    <row r="10" spans="1:18" x14ac:dyDescent="0.25">
      <c r="A10" s="114">
        <f t="shared" si="12"/>
        <v>44571</v>
      </c>
      <c r="B10">
        <f t="shared" si="13"/>
        <v>5.5</v>
      </c>
      <c r="C10" s="109">
        <f t="shared" si="14"/>
        <v>19.066666666666666</v>
      </c>
      <c r="D10" s="109">
        <f t="shared" si="15"/>
        <v>72.86666666666666</v>
      </c>
      <c r="E10" s="107">
        <f t="shared" si="16"/>
        <v>44571.184027777781</v>
      </c>
      <c r="F10" s="106">
        <f t="shared" si="2"/>
        <v>44571.301425592661</v>
      </c>
      <c r="G10" t="str">
        <f t="shared" si="17"/>
        <v>Monday</v>
      </c>
      <c r="H10" s="129">
        <v>0.41319444444444398</v>
      </c>
      <c r="I10" s="115">
        <f t="shared" si="3"/>
        <v>309.09872923358984</v>
      </c>
      <c r="J10" s="115">
        <f t="shared" si="4"/>
        <v>265.73104400279334</v>
      </c>
      <c r="K10" s="115">
        <f t="shared" si="5"/>
        <v>0.56033865685747897</v>
      </c>
      <c r="L10" s="115">
        <f t="shared" si="6"/>
        <v>235.49278802460739</v>
      </c>
      <c r="M10" s="115">
        <f t="shared" si="7"/>
        <v>284.55385256900871</v>
      </c>
      <c r="N10" s="115">
        <f t="shared" si="8"/>
        <v>308.24164607447517</v>
      </c>
      <c r="O10" s="115">
        <f t="shared" si="9"/>
        <v>263.85347311763496</v>
      </c>
      <c r="P10" s="115">
        <f t="shared" si="10"/>
        <v>288.76143374863693</v>
      </c>
      <c r="Q10" s="115">
        <f t="shared" si="11"/>
        <v>34.883520967899827</v>
      </c>
    </row>
    <row r="11" spans="1:18" x14ac:dyDescent="0.25">
      <c r="A11" s="114">
        <f t="shared" si="12"/>
        <v>44571</v>
      </c>
      <c r="B11">
        <f t="shared" si="13"/>
        <v>5.5</v>
      </c>
      <c r="C11" s="109">
        <f t="shared" si="14"/>
        <v>19.066666666666666</v>
      </c>
      <c r="D11" s="109">
        <f t="shared" si="15"/>
        <v>72.86666666666666</v>
      </c>
      <c r="E11" s="107">
        <f t="shared" si="16"/>
        <v>44571.1875</v>
      </c>
      <c r="F11" s="106">
        <f t="shared" si="2"/>
        <v>44571.301425592661</v>
      </c>
      <c r="G11" t="str">
        <f t="shared" si="17"/>
        <v>Monday</v>
      </c>
      <c r="H11" s="129">
        <v>0.41666666666666702</v>
      </c>
      <c r="I11" s="115">
        <f t="shared" si="3"/>
        <v>310.63377889687473</v>
      </c>
      <c r="J11" s="115">
        <f t="shared" si="4"/>
        <v>265.73458216436018</v>
      </c>
      <c r="K11" s="115">
        <f t="shared" si="5"/>
        <v>0.60298802018992226</v>
      </c>
      <c r="L11" s="115">
        <f t="shared" si="6"/>
        <v>235.4952754952447</v>
      </c>
      <c r="M11" s="115">
        <f t="shared" si="7"/>
        <v>284.55632947707346</v>
      </c>
      <c r="N11" s="115">
        <f t="shared" si="8"/>
        <v>308.24236981075285</v>
      </c>
      <c r="O11" s="115">
        <f t="shared" si="9"/>
        <v>263.85135475855526</v>
      </c>
      <c r="P11" s="115">
        <f t="shared" si="10"/>
        <v>288.76182788046776</v>
      </c>
      <c r="Q11" s="115">
        <f t="shared" si="11"/>
        <v>34.883336967930411</v>
      </c>
    </row>
    <row r="12" spans="1:18" x14ac:dyDescent="0.25">
      <c r="A12" s="114">
        <f t="shared" si="12"/>
        <v>44571</v>
      </c>
      <c r="B12">
        <f t="shared" si="13"/>
        <v>5.5</v>
      </c>
      <c r="C12" s="109">
        <f t="shared" si="14"/>
        <v>19.066666666666666</v>
      </c>
      <c r="D12" s="109">
        <f t="shared" si="15"/>
        <v>72.86666666666666</v>
      </c>
      <c r="E12" s="107">
        <f t="shared" si="16"/>
        <v>44571.190972222226</v>
      </c>
      <c r="F12" s="106">
        <f t="shared" si="2"/>
        <v>44571.301425592661</v>
      </c>
      <c r="G12" t="str">
        <f t="shared" si="17"/>
        <v>Monday</v>
      </c>
      <c r="H12" s="129">
        <v>0.42013888888888901</v>
      </c>
      <c r="I12" s="115">
        <f t="shared" si="3"/>
        <v>312.17665929370781</v>
      </c>
      <c r="J12" s="115">
        <f t="shared" si="4"/>
        <v>265.73812032425081</v>
      </c>
      <c r="K12" s="115">
        <f t="shared" si="5"/>
        <v>0.64563380484390176</v>
      </c>
      <c r="L12" s="115">
        <f t="shared" si="6"/>
        <v>235.49776297308736</v>
      </c>
      <c r="M12" s="115">
        <f t="shared" si="7"/>
        <v>284.55880474988521</v>
      </c>
      <c r="N12" s="115">
        <f t="shared" si="8"/>
        <v>308.24309356268606</v>
      </c>
      <c r="O12" s="115">
        <f t="shared" si="9"/>
        <v>263.8492364613935</v>
      </c>
      <c r="P12" s="115">
        <f t="shared" si="10"/>
        <v>288.76222201840386</v>
      </c>
      <c r="Q12" s="115">
        <f t="shared" si="11"/>
        <v>34.883152967977523</v>
      </c>
    </row>
    <row r="13" spans="1:18" x14ac:dyDescent="0.25">
      <c r="A13" s="114">
        <f t="shared" si="12"/>
        <v>44571</v>
      </c>
      <c r="B13">
        <f t="shared" si="13"/>
        <v>5.5</v>
      </c>
      <c r="C13" s="109">
        <f t="shared" si="14"/>
        <v>19.066666666666666</v>
      </c>
      <c r="D13" s="109">
        <f t="shared" si="15"/>
        <v>72.86666666666666</v>
      </c>
      <c r="E13" s="107">
        <f t="shared" si="16"/>
        <v>44571.194444444445</v>
      </c>
      <c r="F13" s="106">
        <f t="shared" si="2"/>
        <v>44571.301425592661</v>
      </c>
      <c r="G13" t="str">
        <f t="shared" si="17"/>
        <v>Monday</v>
      </c>
      <c r="H13" s="129">
        <v>0.42361111111111099</v>
      </c>
      <c r="I13" s="115">
        <f t="shared" si="3"/>
        <v>313.7270280324928</v>
      </c>
      <c r="J13" s="115">
        <f t="shared" si="4"/>
        <v>265.74165848274629</v>
      </c>
      <c r="K13" s="115">
        <f t="shared" si="5"/>
        <v>0.68827602016098988</v>
      </c>
      <c r="L13" s="115">
        <f t="shared" si="6"/>
        <v>235.50025045831856</v>
      </c>
      <c r="M13" s="115">
        <f t="shared" si="7"/>
        <v>284.56127838702912</v>
      </c>
      <c r="N13" s="115">
        <f t="shared" si="8"/>
        <v>308.24381733014769</v>
      </c>
      <c r="O13" s="115">
        <f t="shared" si="9"/>
        <v>263.84711822602651</v>
      </c>
      <c r="P13" s="115">
        <f t="shared" si="10"/>
        <v>288.76261616196655</v>
      </c>
      <c r="Q13" s="115">
        <f t="shared" si="11"/>
        <v>34.882968968008058</v>
      </c>
    </row>
    <row r="14" spans="1:18" x14ac:dyDescent="0.25">
      <c r="A14" s="114">
        <f t="shared" si="12"/>
        <v>44571</v>
      </c>
      <c r="B14">
        <f t="shared" si="13"/>
        <v>5.5</v>
      </c>
      <c r="C14" s="109">
        <f t="shared" si="14"/>
        <v>19.066666666666666</v>
      </c>
      <c r="D14" s="109">
        <f t="shared" si="15"/>
        <v>72.86666666666666</v>
      </c>
      <c r="E14" s="107">
        <f t="shared" si="16"/>
        <v>44571.197916666672</v>
      </c>
      <c r="F14" s="106">
        <f t="shared" si="2"/>
        <v>44571.301425592661</v>
      </c>
      <c r="G14" t="str">
        <f t="shared" si="17"/>
        <v>Monday</v>
      </c>
      <c r="H14" s="129">
        <v>0.42708333333333298</v>
      </c>
      <c r="I14" s="115">
        <f t="shared" si="3"/>
        <v>315.28451648770823</v>
      </c>
      <c r="J14" s="115">
        <f t="shared" si="4"/>
        <v>265.74519663910934</v>
      </c>
      <c r="K14" s="115">
        <f t="shared" si="5"/>
        <v>0.73091465842093706</v>
      </c>
      <c r="L14" s="115">
        <f t="shared" si="6"/>
        <v>235.50273795053917</v>
      </c>
      <c r="M14" s="115">
        <f t="shared" si="7"/>
        <v>284.56375038733427</v>
      </c>
      <c r="N14" s="115">
        <f t="shared" si="8"/>
        <v>308.24454111307205</v>
      </c>
      <c r="O14" s="115">
        <f t="shared" si="9"/>
        <v>263.84500005316426</v>
      </c>
      <c r="P14" s="115">
        <f t="shared" si="10"/>
        <v>288.76301031269912</v>
      </c>
      <c r="Q14" s="115">
        <f t="shared" si="11"/>
        <v>34.882784968055134</v>
      </c>
    </row>
    <row r="15" spans="1:18" x14ac:dyDescent="0.25">
      <c r="A15" s="114">
        <f t="shared" si="12"/>
        <v>44571</v>
      </c>
      <c r="B15">
        <f t="shared" si="13"/>
        <v>5.5</v>
      </c>
      <c r="C15" s="109">
        <f t="shared" si="14"/>
        <v>19.066666666666666</v>
      </c>
      <c r="D15" s="109">
        <f t="shared" si="15"/>
        <v>72.86666666666666</v>
      </c>
      <c r="E15" s="107">
        <f t="shared" si="16"/>
        <v>44571.201388888891</v>
      </c>
      <c r="F15" s="106">
        <f t="shared" si="2"/>
        <v>44571.301425592661</v>
      </c>
      <c r="G15" t="str">
        <f t="shared" si="17"/>
        <v>Monday</v>
      </c>
      <c r="H15" s="129">
        <v>0.43055555555555503</v>
      </c>
      <c r="I15" s="115">
        <f t="shared" si="3"/>
        <v>316.84873191634296</v>
      </c>
      <c r="J15" s="115">
        <f t="shared" si="4"/>
        <v>265.74873479420717</v>
      </c>
      <c r="K15" s="115">
        <f t="shared" si="5"/>
        <v>0.77354973470158273</v>
      </c>
      <c r="L15" s="115">
        <f t="shared" si="6"/>
        <v>235.50522545027766</v>
      </c>
      <c r="M15" s="115">
        <f t="shared" si="7"/>
        <v>284.56622075079019</v>
      </c>
      <c r="N15" s="115">
        <f t="shared" si="8"/>
        <v>308.24526491133969</v>
      </c>
      <c r="O15" s="115">
        <f t="shared" si="9"/>
        <v>263.84288194241236</v>
      </c>
      <c r="P15" s="115">
        <f t="shared" si="10"/>
        <v>288.76340446818256</v>
      </c>
      <c r="Q15" s="115">
        <f t="shared" si="11"/>
        <v>34.882600968085704</v>
      </c>
    </row>
    <row r="16" spans="1:18" x14ac:dyDescent="0.25">
      <c r="A16" s="114">
        <f t="shared" si="12"/>
        <v>44571</v>
      </c>
      <c r="B16">
        <f t="shared" si="13"/>
        <v>5.5</v>
      </c>
      <c r="C16" s="109">
        <f t="shared" si="14"/>
        <v>19.066666666666666</v>
      </c>
      <c r="D16" s="109">
        <f t="shared" si="15"/>
        <v>72.86666666666666</v>
      </c>
      <c r="E16" s="107">
        <f t="shared" si="16"/>
        <v>44571.204861111117</v>
      </c>
      <c r="F16" s="106">
        <f t="shared" si="2"/>
        <v>44571.301425592661</v>
      </c>
      <c r="G16" t="str">
        <f t="shared" si="17"/>
        <v>Monday</v>
      </c>
      <c r="H16" s="129">
        <v>0.43402777777777801</v>
      </c>
      <c r="I16" s="115">
        <f t="shared" si="3"/>
        <v>318.41925661426598</v>
      </c>
      <c r="J16" s="115">
        <f t="shared" si="4"/>
        <v>265.7522729470806</v>
      </c>
      <c r="K16" s="115">
        <f t="shared" si="5"/>
        <v>0.81618124117955393</v>
      </c>
      <c r="L16" s="115">
        <f t="shared" si="6"/>
        <v>235.50771295693667</v>
      </c>
      <c r="M16" s="115">
        <f t="shared" si="7"/>
        <v>284.56868947608109</v>
      </c>
      <c r="N16" s="115">
        <f t="shared" si="8"/>
        <v>308.24598872511496</v>
      </c>
      <c r="O16" s="115">
        <f t="shared" si="9"/>
        <v>263.84076389451775</v>
      </c>
      <c r="P16" s="115">
        <f t="shared" si="10"/>
        <v>288.76379862947289</v>
      </c>
      <c r="Q16" s="115">
        <f t="shared" si="11"/>
        <v>34.882416968132823</v>
      </c>
    </row>
    <row r="17" spans="1:17" x14ac:dyDescent="0.25">
      <c r="A17" s="114">
        <f t="shared" si="12"/>
        <v>44571</v>
      </c>
      <c r="B17">
        <f t="shared" si="13"/>
        <v>5.5</v>
      </c>
      <c r="C17" s="109">
        <f t="shared" si="14"/>
        <v>19.066666666666666</v>
      </c>
      <c r="D17" s="109">
        <f t="shared" si="15"/>
        <v>72.86666666666666</v>
      </c>
      <c r="E17" s="107">
        <f t="shared" si="16"/>
        <v>44571.208333333336</v>
      </c>
      <c r="F17" s="106">
        <f t="shared" si="2"/>
        <v>44571.301425592661</v>
      </c>
      <c r="G17" t="str">
        <f t="shared" si="17"/>
        <v>Monday</v>
      </c>
      <c r="H17" s="129">
        <v>0.4375</v>
      </c>
      <c r="I17" s="115">
        <f t="shared" si="3"/>
        <v>319.99565060915455</v>
      </c>
      <c r="J17" s="115">
        <f t="shared" si="4"/>
        <v>265.75581109869819</v>
      </c>
      <c r="K17" s="115">
        <f t="shared" si="5"/>
        <v>0.85880919302176517</v>
      </c>
      <c r="L17" s="115">
        <f t="shared" si="6"/>
        <v>235.51020047105931</v>
      </c>
      <c r="M17" s="115">
        <f t="shared" si="7"/>
        <v>284.57115656326744</v>
      </c>
      <c r="N17" s="115">
        <f t="shared" si="8"/>
        <v>308.24671255454376</v>
      </c>
      <c r="O17" s="115">
        <f t="shared" si="9"/>
        <v>263.83864590910605</v>
      </c>
      <c r="P17" s="115">
        <f t="shared" si="10"/>
        <v>288.76419279729703</v>
      </c>
      <c r="Q17" s="115">
        <f t="shared" si="11"/>
        <v>34.882232968146859</v>
      </c>
    </row>
    <row r="18" spans="1:17" x14ac:dyDescent="0.25">
      <c r="A18" s="114">
        <f t="shared" si="12"/>
        <v>44571</v>
      </c>
      <c r="B18">
        <f t="shared" si="13"/>
        <v>5.5</v>
      </c>
      <c r="C18" s="109">
        <f t="shared" si="14"/>
        <v>19.066666666666666</v>
      </c>
      <c r="D18" s="109">
        <f t="shared" si="15"/>
        <v>72.86666666666666</v>
      </c>
      <c r="E18" s="107">
        <f t="shared" si="16"/>
        <v>44571.211805555555</v>
      </c>
      <c r="F18" s="106">
        <f t="shared" si="2"/>
        <v>44571.301425592661</v>
      </c>
      <c r="G18" t="str">
        <f t="shared" si="17"/>
        <v>Monday</v>
      </c>
      <c r="H18" s="129">
        <v>0.44097222222222199</v>
      </c>
      <c r="I18" s="115">
        <f t="shared" si="3"/>
        <v>321.57745115864168</v>
      </c>
      <c r="J18" s="115">
        <f t="shared" si="4"/>
        <v>265.75934924823179</v>
      </c>
      <c r="K18" s="115">
        <f t="shared" si="5"/>
        <v>0.90143358242007188</v>
      </c>
      <c r="L18" s="115">
        <f t="shared" si="6"/>
        <v>235.51268799231801</v>
      </c>
      <c r="M18" s="115">
        <f t="shared" si="7"/>
        <v>284.57362201112136</v>
      </c>
      <c r="N18" s="115">
        <f t="shared" si="8"/>
        <v>308.24743639951964</v>
      </c>
      <c r="O18" s="115">
        <f t="shared" si="9"/>
        <v>263.83652798696312</v>
      </c>
      <c r="P18" s="115">
        <f t="shared" si="10"/>
        <v>288.76458697111127</v>
      </c>
      <c r="Q18" s="115">
        <f t="shared" si="11"/>
        <v>34.882048968160845</v>
      </c>
    </row>
    <row r="19" spans="1:17" x14ac:dyDescent="0.25">
      <c r="A19" s="114">
        <f t="shared" si="12"/>
        <v>44571</v>
      </c>
      <c r="B19">
        <f t="shared" si="13"/>
        <v>5.5</v>
      </c>
      <c r="C19" s="109">
        <f t="shared" si="14"/>
        <v>19.066666666666666</v>
      </c>
      <c r="D19" s="109">
        <f t="shared" si="15"/>
        <v>72.86666666666666</v>
      </c>
      <c r="E19" s="107">
        <f t="shared" si="16"/>
        <v>44571.215277777781</v>
      </c>
      <c r="F19" s="106">
        <f t="shared" si="2"/>
        <v>44571.301425592661</v>
      </c>
      <c r="G19" t="str">
        <f t="shared" si="17"/>
        <v>Monday</v>
      </c>
      <c r="H19" s="129">
        <v>0.44444444444444398</v>
      </c>
      <c r="I19" s="115">
        <f t="shared" si="3"/>
        <v>323.16417580757332</v>
      </c>
      <c r="J19" s="115">
        <f t="shared" si="4"/>
        <v>265.76288739624471</v>
      </c>
      <c r="K19" s="115">
        <f t="shared" si="5"/>
        <v>0.94405442446078336</v>
      </c>
      <c r="L19" s="115">
        <f t="shared" si="6"/>
        <v>235.51517552076763</v>
      </c>
      <c r="M19" s="115">
        <f t="shared" si="7"/>
        <v>284.57608581941315</v>
      </c>
      <c r="N19" s="115">
        <f t="shared" si="8"/>
        <v>308.248160259359</v>
      </c>
      <c r="O19" s="115">
        <f t="shared" si="9"/>
        <v>263.83441012756748</v>
      </c>
      <c r="P19" s="115">
        <f t="shared" si="10"/>
        <v>288.76498115028704</v>
      </c>
      <c r="Q19" s="115">
        <f t="shared" si="11"/>
        <v>34.881864968207971</v>
      </c>
    </row>
    <row r="20" spans="1:17" x14ac:dyDescent="0.25">
      <c r="A20" s="114">
        <f t="shared" si="12"/>
        <v>44571</v>
      </c>
      <c r="B20">
        <f t="shared" si="13"/>
        <v>5.5</v>
      </c>
      <c r="C20" s="109">
        <f t="shared" si="14"/>
        <v>19.066666666666666</v>
      </c>
      <c r="D20" s="109">
        <f t="shared" si="15"/>
        <v>72.86666666666666</v>
      </c>
      <c r="E20" s="107">
        <f t="shared" si="16"/>
        <v>44571.21875</v>
      </c>
      <c r="F20" s="106">
        <f t="shared" si="2"/>
        <v>44571.301425592661</v>
      </c>
      <c r="G20" t="str">
        <f t="shared" si="17"/>
        <v>Monday</v>
      </c>
      <c r="H20" s="129">
        <v>0.44791666666666602</v>
      </c>
      <c r="I20" s="115">
        <f t="shared" si="3"/>
        <v>324.75532221603032</v>
      </c>
      <c r="J20" s="115">
        <f t="shared" si="4"/>
        <v>265.76642554217193</v>
      </c>
      <c r="K20" s="115">
        <f t="shared" si="5"/>
        <v>0.98667171141985588</v>
      </c>
      <c r="L20" s="115">
        <f t="shared" si="6"/>
        <v>235.51766305628647</v>
      </c>
      <c r="M20" s="115">
        <f t="shared" si="7"/>
        <v>284.57854798710605</v>
      </c>
      <c r="N20" s="115">
        <f t="shared" si="8"/>
        <v>308.24888413496035</v>
      </c>
      <c r="O20" s="115">
        <f t="shared" si="9"/>
        <v>263.83229233180356</v>
      </c>
      <c r="P20" s="115">
        <f t="shared" si="10"/>
        <v>288.76537533539482</v>
      </c>
      <c r="Q20" s="115">
        <f t="shared" si="11"/>
        <v>34.881680968255147</v>
      </c>
    </row>
    <row r="21" spans="1:17" x14ac:dyDescent="0.25">
      <c r="A21" s="114">
        <f t="shared" si="12"/>
        <v>44571</v>
      </c>
      <c r="B21">
        <f t="shared" si="13"/>
        <v>5.5</v>
      </c>
      <c r="C21" s="109">
        <f t="shared" si="14"/>
        <v>19.066666666666666</v>
      </c>
      <c r="D21" s="109">
        <f t="shared" si="15"/>
        <v>72.86666666666666</v>
      </c>
      <c r="E21" s="107">
        <f t="shared" si="16"/>
        <v>44571.222222222226</v>
      </c>
      <c r="F21" s="106">
        <f t="shared" si="2"/>
        <v>44571.301425592661</v>
      </c>
      <c r="G21" t="str">
        <f t="shared" si="17"/>
        <v>Monday</v>
      </c>
      <c r="H21" s="129">
        <v>0.45138888888888801</v>
      </c>
      <c r="I21" s="115">
        <f t="shared" si="3"/>
        <v>326.35037134077578</v>
      </c>
      <c r="J21" s="115">
        <f t="shared" si="4"/>
        <v>265.76996368636168</v>
      </c>
      <c r="K21" s="115">
        <f t="shared" si="5"/>
        <v>1.0292854526514661</v>
      </c>
      <c r="L21" s="115">
        <f t="shared" si="6"/>
        <v>235.52015059893583</v>
      </c>
      <c r="M21" s="115">
        <f t="shared" si="7"/>
        <v>284.58100851381187</v>
      </c>
      <c r="N21" s="115">
        <f t="shared" si="8"/>
        <v>308.24960802608513</v>
      </c>
      <c r="O21" s="115">
        <f t="shared" si="9"/>
        <v>263.83017459959382</v>
      </c>
      <c r="P21" s="115">
        <f t="shared" si="10"/>
        <v>288.76576952729386</v>
      </c>
      <c r="Q21" s="115">
        <f t="shared" si="11"/>
        <v>34.881496968302315</v>
      </c>
    </row>
    <row r="22" spans="1:17" x14ac:dyDescent="0.25">
      <c r="A22" s="114">
        <f t="shared" si="12"/>
        <v>44571</v>
      </c>
      <c r="B22">
        <f t="shared" si="13"/>
        <v>5.5</v>
      </c>
      <c r="C22" s="109">
        <f t="shared" si="14"/>
        <v>19.066666666666666</v>
      </c>
      <c r="D22" s="109">
        <f t="shared" si="15"/>
        <v>72.86666666666666</v>
      </c>
      <c r="E22" s="107">
        <f t="shared" si="16"/>
        <v>44571.225694444445</v>
      </c>
      <c r="F22" s="106">
        <f t="shared" si="2"/>
        <v>44571.301425592661</v>
      </c>
      <c r="G22" t="str">
        <f t="shared" si="17"/>
        <v>Monday</v>
      </c>
      <c r="H22" s="129">
        <v>0.45486111111110999</v>
      </c>
      <c r="I22" s="115">
        <f t="shared" si="3"/>
        <v>327.94878863588389</v>
      </c>
      <c r="J22" s="115">
        <f t="shared" si="4"/>
        <v>265.77350182928018</v>
      </c>
      <c r="K22" s="115">
        <f t="shared" si="5"/>
        <v>1.0718956575216985</v>
      </c>
      <c r="L22" s="115">
        <f t="shared" si="6"/>
        <v>235.52263814924888</v>
      </c>
      <c r="M22" s="115">
        <f t="shared" si="7"/>
        <v>284.58346739924411</v>
      </c>
      <c r="N22" s="115">
        <f t="shared" si="8"/>
        <v>308.25033193275789</v>
      </c>
      <c r="O22" s="115">
        <f t="shared" si="9"/>
        <v>263.82805693059521</v>
      </c>
      <c r="P22" s="115">
        <f t="shared" si="10"/>
        <v>288.76616372437638</v>
      </c>
      <c r="Q22" s="115">
        <f t="shared" si="11"/>
        <v>34.881312968316216</v>
      </c>
    </row>
    <row r="23" spans="1:17" x14ac:dyDescent="0.25">
      <c r="A23" s="114">
        <f t="shared" si="12"/>
        <v>44571</v>
      </c>
      <c r="B23">
        <f t="shared" si="13"/>
        <v>5.5</v>
      </c>
      <c r="C23" s="109">
        <f t="shared" si="14"/>
        <v>19.066666666666666</v>
      </c>
      <c r="D23" s="109">
        <f t="shared" si="15"/>
        <v>72.86666666666666</v>
      </c>
      <c r="E23" s="107">
        <f t="shared" si="16"/>
        <v>44571.229166666672</v>
      </c>
      <c r="F23" s="106">
        <f t="shared" si="2"/>
        <v>44571.301425592661</v>
      </c>
      <c r="G23" t="str">
        <f t="shared" si="17"/>
        <v>Monday</v>
      </c>
      <c r="H23" s="129">
        <v>0.45833333333333198</v>
      </c>
      <c r="I23" s="115">
        <f t="shared" si="3"/>
        <v>329.55002538000838</v>
      </c>
      <c r="J23" s="115">
        <f t="shared" si="4"/>
        <v>265.77703997010991</v>
      </c>
      <c r="K23" s="115">
        <f t="shared" si="5"/>
        <v>1.1145023182966689</v>
      </c>
      <c r="L23" s="115">
        <f t="shared" si="6"/>
        <v>235.52512570659792</v>
      </c>
      <c r="M23" s="115">
        <f t="shared" si="7"/>
        <v>284.58592464219163</v>
      </c>
      <c r="N23" s="115">
        <f t="shared" si="8"/>
        <v>308.25105585481458</v>
      </c>
      <c r="O23" s="115">
        <f t="shared" si="9"/>
        <v>263.82593932583279</v>
      </c>
      <c r="P23" s="115">
        <f t="shared" si="10"/>
        <v>288.76655792768116</v>
      </c>
      <c r="Q23" s="115">
        <f t="shared" si="11"/>
        <v>34.881128968379919</v>
      </c>
    </row>
    <row r="24" spans="1:17" x14ac:dyDescent="0.25">
      <c r="A24" s="114">
        <f t="shared" si="12"/>
        <v>44571</v>
      </c>
      <c r="B24">
        <f t="shared" si="13"/>
        <v>5.5</v>
      </c>
      <c r="C24" s="109">
        <f t="shared" si="14"/>
        <v>19.066666666666666</v>
      </c>
      <c r="D24" s="109">
        <f t="shared" si="15"/>
        <v>72.86666666666666</v>
      </c>
      <c r="E24" s="107">
        <f t="shared" si="16"/>
        <v>44571.232638888891</v>
      </c>
      <c r="F24" s="106">
        <f t="shared" si="2"/>
        <v>44571.301425592661</v>
      </c>
      <c r="G24" t="str">
        <f t="shared" si="17"/>
        <v>Monday</v>
      </c>
      <c r="H24" s="129">
        <v>0.46180555555555403</v>
      </c>
      <c r="I24" s="115">
        <f t="shared" si="3"/>
        <v>331.15352227747803</v>
      </c>
      <c r="J24" s="115">
        <f t="shared" si="4"/>
        <v>265.78057810949559</v>
      </c>
      <c r="K24" s="115">
        <f t="shared" si="5"/>
        <v>1.1571054500656444</v>
      </c>
      <c r="L24" s="115">
        <f t="shared" si="6"/>
        <v>235.52761327119106</v>
      </c>
      <c r="M24" s="115">
        <f t="shared" si="7"/>
        <v>284.58838024244329</v>
      </c>
      <c r="N24" s="115">
        <f t="shared" si="8"/>
        <v>308.25177979230506</v>
      </c>
      <c r="O24" s="115">
        <f t="shared" si="9"/>
        <v>263.82382178471318</v>
      </c>
      <c r="P24" s="115">
        <f t="shared" si="10"/>
        <v>288.76695213622912</v>
      </c>
      <c r="Q24" s="115">
        <f t="shared" si="11"/>
        <v>34.880944968393962</v>
      </c>
    </row>
    <row r="25" spans="1:17" x14ac:dyDescent="0.25">
      <c r="A25" s="114">
        <f t="shared" si="12"/>
        <v>44571</v>
      </c>
      <c r="B25">
        <f t="shared" si="13"/>
        <v>5.5</v>
      </c>
      <c r="C25" s="109">
        <f t="shared" si="14"/>
        <v>19.066666666666666</v>
      </c>
      <c r="D25" s="109">
        <f t="shared" si="15"/>
        <v>72.86666666666666</v>
      </c>
      <c r="E25" s="107">
        <f t="shared" si="16"/>
        <v>44571.236111111117</v>
      </c>
      <c r="F25" s="106">
        <f t="shared" si="2"/>
        <v>44571.301425592661</v>
      </c>
      <c r="G25" t="str">
        <f t="shared" si="17"/>
        <v>Monday</v>
      </c>
      <c r="H25" s="129">
        <v>0.46527777777777601</v>
      </c>
      <c r="I25" s="115">
        <f t="shared" si="3"/>
        <v>332.75870993498239</v>
      </c>
      <c r="J25" s="115">
        <f t="shared" si="4"/>
        <v>265.7841162466587</v>
      </c>
      <c r="K25" s="115">
        <f t="shared" si="5"/>
        <v>1.1997050450556161</v>
      </c>
      <c r="L25" s="115">
        <f t="shared" si="6"/>
        <v>235.53010084269863</v>
      </c>
      <c r="M25" s="115">
        <f t="shared" si="7"/>
        <v>284.59083419887583</v>
      </c>
      <c r="N25" s="115">
        <f t="shared" si="8"/>
        <v>308.25250374503264</v>
      </c>
      <c r="O25" s="115">
        <f t="shared" si="9"/>
        <v>263.82170430814676</v>
      </c>
      <c r="P25" s="115">
        <f t="shared" si="10"/>
        <v>288.76734635110739</v>
      </c>
      <c r="Q25" s="115">
        <f t="shared" si="11"/>
        <v>34.880760968441038</v>
      </c>
    </row>
    <row r="26" spans="1:17" x14ac:dyDescent="0.25">
      <c r="A26" s="114">
        <f t="shared" si="12"/>
        <v>44571</v>
      </c>
      <c r="B26">
        <f t="shared" si="13"/>
        <v>5.5</v>
      </c>
      <c r="C26" s="109">
        <f t="shared" si="14"/>
        <v>19.066666666666666</v>
      </c>
      <c r="D26" s="109">
        <f t="shared" si="15"/>
        <v>72.86666666666666</v>
      </c>
      <c r="E26" s="107">
        <f t="shared" si="16"/>
        <v>44571.239583333336</v>
      </c>
      <c r="F26" s="106">
        <f t="shared" si="2"/>
        <v>44571.301425592661</v>
      </c>
      <c r="G26" t="str">
        <f t="shared" si="17"/>
        <v>Monday</v>
      </c>
      <c r="H26" s="129">
        <v>0.468749999999998</v>
      </c>
      <c r="I26" s="115">
        <f t="shared" si="3"/>
        <v>334.36501287029296</v>
      </c>
      <c r="J26" s="115">
        <f t="shared" si="4"/>
        <v>265.78765438261456</v>
      </c>
      <c r="K26" s="115">
        <f t="shared" si="5"/>
        <v>1.2423011183422452</v>
      </c>
      <c r="L26" s="115">
        <f t="shared" si="6"/>
        <v>235.53258842180446</v>
      </c>
      <c r="M26" s="115">
        <f t="shared" si="7"/>
        <v>284.59328651150571</v>
      </c>
      <c r="N26" s="115">
        <f t="shared" si="8"/>
        <v>308.25322771341229</v>
      </c>
      <c r="O26" s="115">
        <f t="shared" si="9"/>
        <v>263.81958689573133</v>
      </c>
      <c r="P26" s="115">
        <f t="shared" si="10"/>
        <v>288.76774057241664</v>
      </c>
      <c r="Q26" s="115">
        <f t="shared" si="11"/>
        <v>34.880576968471658</v>
      </c>
    </row>
    <row r="27" spans="1:17" x14ac:dyDescent="0.25">
      <c r="A27" s="114">
        <f t="shared" si="12"/>
        <v>44571</v>
      </c>
      <c r="B27">
        <f t="shared" si="13"/>
        <v>5.5</v>
      </c>
      <c r="C27" s="109">
        <f t="shared" si="14"/>
        <v>19.066666666666666</v>
      </c>
      <c r="D27" s="109">
        <f t="shared" si="15"/>
        <v>72.86666666666666</v>
      </c>
      <c r="E27" s="107">
        <f t="shared" si="16"/>
        <v>44571.243055555555</v>
      </c>
      <c r="F27" s="106">
        <f t="shared" si="2"/>
        <v>44571.301425592661</v>
      </c>
      <c r="G27" t="str">
        <f t="shared" si="17"/>
        <v>Monday</v>
      </c>
      <c r="H27" s="129">
        <v>0.47222222222221999</v>
      </c>
      <c r="I27" s="115">
        <f t="shared" si="3"/>
        <v>335.97185013389242</v>
      </c>
      <c r="J27" s="115">
        <f t="shared" si="4"/>
        <v>265.79119251636644</v>
      </c>
      <c r="K27" s="115">
        <f t="shared" si="5"/>
        <v>1.2848936621875626</v>
      </c>
      <c r="L27" s="115">
        <f t="shared" si="6"/>
        <v>235.53507600777255</v>
      </c>
      <c r="M27" s="115">
        <f t="shared" si="7"/>
        <v>284.5957371790517</v>
      </c>
      <c r="N27" s="115">
        <f t="shared" si="8"/>
        <v>308.25395169741915</v>
      </c>
      <c r="O27" s="115">
        <f t="shared" si="9"/>
        <v>263.81746954800002</v>
      </c>
      <c r="P27" s="115">
        <f t="shared" si="10"/>
        <v>288.76813479896208</v>
      </c>
      <c r="Q27" s="115">
        <f t="shared" si="11"/>
        <v>34.880392968502186</v>
      </c>
    </row>
    <row r="28" spans="1:17" x14ac:dyDescent="0.25">
      <c r="A28" s="114">
        <f t="shared" si="12"/>
        <v>44571</v>
      </c>
      <c r="B28">
        <f t="shared" si="13"/>
        <v>5.5</v>
      </c>
      <c r="C28" s="109">
        <f t="shared" si="14"/>
        <v>19.066666666666666</v>
      </c>
      <c r="D28" s="109">
        <f t="shared" si="15"/>
        <v>72.86666666666666</v>
      </c>
      <c r="E28" s="107">
        <f t="shared" si="16"/>
        <v>44571.246527777781</v>
      </c>
      <c r="F28" s="106">
        <f t="shared" si="2"/>
        <v>44571.301425592661</v>
      </c>
      <c r="G28" t="str">
        <f t="shared" si="17"/>
        <v>Monday</v>
      </c>
      <c r="H28" s="129">
        <v>0.47569444444444198</v>
      </c>
      <c r="I28" s="115">
        <f t="shared" si="3"/>
        <v>337.5786394280517</v>
      </c>
      <c r="J28" s="115">
        <f t="shared" si="4"/>
        <v>265.79473064884405</v>
      </c>
      <c r="K28" s="115">
        <f t="shared" si="5"/>
        <v>1.3274826917237734</v>
      </c>
      <c r="L28" s="115">
        <f t="shared" si="6"/>
        <v>235.53756360135696</v>
      </c>
      <c r="M28" s="115">
        <f t="shared" si="7"/>
        <v>284.59818620151083</v>
      </c>
      <c r="N28" s="115">
        <f t="shared" si="8"/>
        <v>308.2546756966799</v>
      </c>
      <c r="O28" s="115">
        <f t="shared" si="9"/>
        <v>263.81535226488148</v>
      </c>
      <c r="P28" s="115">
        <f t="shared" si="10"/>
        <v>288.76852903149342</v>
      </c>
      <c r="Q28" s="115">
        <f t="shared" si="11"/>
        <v>34.880208968532777</v>
      </c>
    </row>
    <row r="29" spans="1:17" x14ac:dyDescent="0.25">
      <c r="A29" s="114">
        <f t="shared" si="12"/>
        <v>44571</v>
      </c>
      <c r="B29">
        <f t="shared" si="13"/>
        <v>5.5</v>
      </c>
      <c r="C29" s="109">
        <f t="shared" si="14"/>
        <v>19.066666666666666</v>
      </c>
      <c r="D29" s="109">
        <f t="shared" si="15"/>
        <v>72.86666666666666</v>
      </c>
      <c r="E29" s="107">
        <f t="shared" si="16"/>
        <v>44571.25</v>
      </c>
      <c r="F29" s="106">
        <f t="shared" si="2"/>
        <v>44571.301425592661</v>
      </c>
      <c r="G29" t="str">
        <f t="shared" si="17"/>
        <v>Monday</v>
      </c>
      <c r="H29" s="129">
        <v>0.47916666666666402</v>
      </c>
      <c r="I29" s="115">
        <f t="shared" ref="I29:I92" si="18">(Asdt(C29,D29,E29))</f>
        <v>339.18479779033783</v>
      </c>
      <c r="J29" s="115">
        <f t="shared" ref="J29:J92" si="19">(Planet(E29,0))</f>
        <v>265.79826877916776</v>
      </c>
      <c r="K29" s="115">
        <f t="shared" ref="K29:K92" si="20">(Planet(E29,1))</f>
        <v>1.3700681991668899</v>
      </c>
      <c r="L29" s="115">
        <f t="shared" ref="L29:L92" si="21">(Planet(E29,4))</f>
        <v>235.54005120189095</v>
      </c>
      <c r="M29" s="115">
        <f t="shared" ref="M29:M92" si="22">(Planet(E29,2))</f>
        <v>284.60063357762539</v>
      </c>
      <c r="N29" s="115">
        <f t="shared" ref="N29:N92" si="23">(Planet(E29,5))</f>
        <v>308.25539971141029</v>
      </c>
      <c r="O29" s="115">
        <f t="shared" ref="O29:O92" si="24">Planet(E29,3)</f>
        <v>263.81323504676493</v>
      </c>
      <c r="P29" s="115">
        <f t="shared" ref="P29:P92" si="25">Planet(E29,6)</f>
        <v>288.76892327052838</v>
      </c>
      <c r="Q29" s="115">
        <f t="shared" ref="Q29:Q92" si="26">Planet(E29,10)</f>
        <v>34.880024968579889</v>
      </c>
    </row>
    <row r="30" spans="1:17" x14ac:dyDescent="0.25">
      <c r="A30" s="114">
        <f t="shared" si="12"/>
        <v>44571</v>
      </c>
      <c r="B30">
        <f t="shared" si="13"/>
        <v>5.5</v>
      </c>
      <c r="C30" s="109">
        <f t="shared" si="14"/>
        <v>19.066666666666666</v>
      </c>
      <c r="D30" s="109">
        <f t="shared" si="15"/>
        <v>72.86666666666666</v>
      </c>
      <c r="E30" s="107">
        <f t="shared" si="16"/>
        <v>44571.253472222226</v>
      </c>
      <c r="F30" s="106">
        <f t="shared" si="2"/>
        <v>44571.301425592661</v>
      </c>
      <c r="G30" t="str">
        <f t="shared" si="17"/>
        <v>Monday</v>
      </c>
      <c r="H30" s="129">
        <v>0.48263888888888601</v>
      </c>
      <c r="I30" s="115">
        <f t="shared" si="18"/>
        <v>340.78974551631711</v>
      </c>
      <c r="J30" s="115">
        <f t="shared" si="19"/>
        <v>265.80180690769572</v>
      </c>
      <c r="K30" s="115">
        <f t="shared" si="20"/>
        <v>1.4126501938610574</v>
      </c>
      <c r="L30" s="115">
        <f t="shared" si="21"/>
        <v>235.54253880954369</v>
      </c>
      <c r="M30" s="115">
        <f t="shared" si="22"/>
        <v>284.60307930704028</v>
      </c>
      <c r="N30" s="115">
        <f t="shared" si="23"/>
        <v>308.25612374165314</v>
      </c>
      <c r="O30" s="115">
        <f t="shared" si="24"/>
        <v>263.81111789386426</v>
      </c>
      <c r="P30" s="115">
        <f t="shared" si="25"/>
        <v>288.76931751524916</v>
      </c>
      <c r="Q30" s="115">
        <f t="shared" si="26"/>
        <v>34.879840968627008</v>
      </c>
    </row>
    <row r="31" spans="1:17" x14ac:dyDescent="0.25">
      <c r="A31" s="114">
        <f t="shared" si="12"/>
        <v>44571</v>
      </c>
      <c r="B31">
        <f t="shared" si="13"/>
        <v>5.5</v>
      </c>
      <c r="C31" s="109">
        <f t="shared" si="14"/>
        <v>19.066666666666666</v>
      </c>
      <c r="D31" s="109">
        <f t="shared" si="15"/>
        <v>72.86666666666666</v>
      </c>
      <c r="E31" s="107">
        <f t="shared" si="16"/>
        <v>44571.256944444445</v>
      </c>
      <c r="F31" s="106">
        <f t="shared" si="2"/>
        <v>44571.301425592661</v>
      </c>
      <c r="G31" t="str">
        <f t="shared" si="17"/>
        <v>Monday</v>
      </c>
      <c r="H31" s="129">
        <v>0.486111111111108</v>
      </c>
      <c r="I31" s="115">
        <f t="shared" si="18"/>
        <v>342.39290789618804</v>
      </c>
      <c r="J31" s="115">
        <f t="shared" si="19"/>
        <v>265.8053450348886</v>
      </c>
      <c r="K31" s="115">
        <f t="shared" si="20"/>
        <v>1.4552286852602325</v>
      </c>
      <c r="L31" s="115">
        <f t="shared" si="21"/>
        <v>235.54502642467639</v>
      </c>
      <c r="M31" s="115">
        <f t="shared" si="22"/>
        <v>284.60552338945092</v>
      </c>
      <c r="N31" s="115">
        <f t="shared" si="23"/>
        <v>308.25684778727395</v>
      </c>
      <c r="O31" s="115">
        <f t="shared" si="24"/>
        <v>263.80900080595353</v>
      </c>
      <c r="P31" s="115">
        <f t="shared" si="25"/>
        <v>288.76971176544311</v>
      </c>
      <c r="Q31" s="115">
        <f t="shared" si="26"/>
        <v>34.879656968640951</v>
      </c>
    </row>
    <row r="32" spans="1:17" x14ac:dyDescent="0.25">
      <c r="A32" s="114">
        <f t="shared" si="12"/>
        <v>44571</v>
      </c>
      <c r="B32">
        <f t="shared" si="13"/>
        <v>5.5</v>
      </c>
      <c r="C32" s="109">
        <f t="shared" si="14"/>
        <v>19.066666666666666</v>
      </c>
      <c r="D32" s="109">
        <f t="shared" si="15"/>
        <v>72.86666666666666</v>
      </c>
      <c r="E32" s="107">
        <f t="shared" si="16"/>
        <v>44571.260416666672</v>
      </c>
      <c r="F32" s="106">
        <f t="shared" si="2"/>
        <v>44571.301425592661</v>
      </c>
      <c r="G32" t="str">
        <f t="shared" si="17"/>
        <v>Monday</v>
      </c>
      <c r="H32" s="129">
        <v>0.48958333333332998</v>
      </c>
      <c r="I32" s="115">
        <f t="shared" si="18"/>
        <v>343.9937169077952</v>
      </c>
      <c r="J32" s="115">
        <f t="shared" si="19"/>
        <v>265.80888315991047</v>
      </c>
      <c r="K32" s="115">
        <f t="shared" si="20"/>
        <v>1.497803665543358</v>
      </c>
      <c r="L32" s="115">
        <f t="shared" si="21"/>
        <v>235.54751404674533</v>
      </c>
      <c r="M32" s="115">
        <f t="shared" si="22"/>
        <v>284.60796582360626</v>
      </c>
      <c r="N32" s="115">
        <f t="shared" si="23"/>
        <v>308.25757184833975</v>
      </c>
      <c r="O32" s="115">
        <f t="shared" si="24"/>
        <v>263.80688378375589</v>
      </c>
      <c r="P32" s="115">
        <f t="shared" si="25"/>
        <v>288.77010602167917</v>
      </c>
      <c r="Q32" s="115">
        <f t="shared" si="26"/>
        <v>34.879472968671514</v>
      </c>
    </row>
    <row r="33" spans="1:17" x14ac:dyDescent="0.25">
      <c r="A33" s="114">
        <f t="shared" si="12"/>
        <v>44571</v>
      </c>
      <c r="B33">
        <f t="shared" si="13"/>
        <v>5.5</v>
      </c>
      <c r="C33" s="109">
        <f t="shared" si="14"/>
        <v>19.066666666666666</v>
      </c>
      <c r="D33" s="109">
        <f t="shared" si="15"/>
        <v>72.86666666666666</v>
      </c>
      <c r="E33" s="107">
        <f t="shared" si="16"/>
        <v>44571.263888888891</v>
      </c>
      <c r="F33" s="106">
        <f t="shared" si="2"/>
        <v>44571.301425592661</v>
      </c>
      <c r="G33" t="str">
        <f t="shared" si="17"/>
        <v>Monday</v>
      </c>
      <c r="H33" s="129">
        <v>0.49305555555555203</v>
      </c>
      <c r="I33" s="115">
        <f t="shared" si="18"/>
        <v>345.59161499628539</v>
      </c>
      <c r="J33" s="115">
        <f t="shared" si="19"/>
        <v>265.81242128368132</v>
      </c>
      <c r="K33" s="115">
        <f t="shared" si="20"/>
        <v>1.5403751498438349</v>
      </c>
      <c r="L33" s="115">
        <f t="shared" si="21"/>
        <v>235.55000167635114</v>
      </c>
      <c r="M33" s="115">
        <f t="shared" si="22"/>
        <v>284.61040660953518</v>
      </c>
      <c r="N33" s="115">
        <f t="shared" si="23"/>
        <v>308.25829592477157</v>
      </c>
      <c r="O33" s="115">
        <f t="shared" si="24"/>
        <v>263.80476682691818</v>
      </c>
      <c r="P33" s="115">
        <f t="shared" si="25"/>
        <v>288.77050028410355</v>
      </c>
      <c r="Q33" s="115">
        <f t="shared" si="26"/>
        <v>34.879288968702113</v>
      </c>
    </row>
    <row r="34" spans="1:17" x14ac:dyDescent="0.25">
      <c r="A34" s="114">
        <f t="shared" si="12"/>
        <v>44571</v>
      </c>
      <c r="B34">
        <f t="shared" si="13"/>
        <v>5.5</v>
      </c>
      <c r="C34" s="109">
        <f t="shared" si="14"/>
        <v>19.066666666666666</v>
      </c>
      <c r="D34" s="109">
        <f t="shared" si="15"/>
        <v>72.86666666666666</v>
      </c>
      <c r="E34" s="107">
        <f t="shared" si="16"/>
        <v>44571.267361111117</v>
      </c>
      <c r="F34" s="106">
        <f t="shared" si="2"/>
        <v>44571.301425592661</v>
      </c>
      <c r="G34" t="str">
        <f t="shared" si="17"/>
        <v>Monday</v>
      </c>
      <c r="H34" s="129">
        <v>0.49652777777777402</v>
      </c>
      <c r="I34" s="115">
        <f t="shared" si="18"/>
        <v>347.18605553537424</v>
      </c>
      <c r="J34" s="115">
        <f t="shared" si="19"/>
        <v>265.81595940571231</v>
      </c>
      <c r="K34" s="115">
        <f t="shared" si="20"/>
        <v>1.5829431361512152</v>
      </c>
      <c r="L34" s="115">
        <f t="shared" si="21"/>
        <v>235.5524893132538</v>
      </c>
      <c r="M34" s="115">
        <f t="shared" si="22"/>
        <v>284.61284574623824</v>
      </c>
      <c r="N34" s="115">
        <f t="shared" si="23"/>
        <v>308.25902001670397</v>
      </c>
      <c r="O34" s="115">
        <f t="shared" si="24"/>
        <v>263.8026499359666</v>
      </c>
      <c r="P34" s="115">
        <f t="shared" si="25"/>
        <v>288.7708945522665</v>
      </c>
      <c r="Q34" s="115">
        <f t="shared" si="26"/>
        <v>34.87910496873269</v>
      </c>
    </row>
    <row r="35" spans="1:17" x14ac:dyDescent="0.25">
      <c r="A35" s="114">
        <f t="shared" si="12"/>
        <v>44571</v>
      </c>
      <c r="B35">
        <f t="shared" si="13"/>
        <v>5.5</v>
      </c>
      <c r="C35" s="109">
        <f t="shared" si="14"/>
        <v>19.066666666666666</v>
      </c>
      <c r="D35" s="109">
        <f t="shared" si="15"/>
        <v>72.86666666666666</v>
      </c>
      <c r="E35" s="107">
        <f t="shared" si="16"/>
        <v>44571.270833333336</v>
      </c>
      <c r="F35" s="106">
        <f t="shared" si="2"/>
        <v>44571.301425592661</v>
      </c>
      <c r="G35" t="str">
        <f t="shared" si="17"/>
        <v>Monday</v>
      </c>
      <c r="H35" s="129">
        <v>0.499999999999996</v>
      </c>
      <c r="I35" s="115">
        <f t="shared" si="18"/>
        <v>348.77650662274237</v>
      </c>
      <c r="J35" s="115">
        <f t="shared" si="19"/>
        <v>265.81949752605072</v>
      </c>
      <c r="K35" s="115">
        <f t="shared" si="20"/>
        <v>1.6255076280888474</v>
      </c>
      <c r="L35" s="115">
        <f t="shared" si="21"/>
        <v>235.55497695741096</v>
      </c>
      <c r="M35" s="115">
        <f t="shared" si="22"/>
        <v>284.61528323313257</v>
      </c>
      <c r="N35" s="115">
        <f t="shared" si="23"/>
        <v>308.2597441244551</v>
      </c>
      <c r="O35" s="115">
        <f t="shared" si="24"/>
        <v>263.80053311081031</v>
      </c>
      <c r="P35" s="115">
        <f t="shared" si="25"/>
        <v>288.77128882612158</v>
      </c>
      <c r="Q35" s="115">
        <f t="shared" si="26"/>
        <v>34.878920968746684</v>
      </c>
    </row>
    <row r="36" spans="1:17" x14ac:dyDescent="0.25">
      <c r="A36" s="114">
        <f t="shared" si="12"/>
        <v>44571</v>
      </c>
      <c r="B36">
        <f t="shared" si="13"/>
        <v>5.5</v>
      </c>
      <c r="C36" s="109">
        <f t="shared" si="14"/>
        <v>19.066666666666666</v>
      </c>
      <c r="D36" s="109">
        <f t="shared" si="15"/>
        <v>72.86666666666666</v>
      </c>
      <c r="E36" s="107">
        <f t="shared" si="16"/>
        <v>44571.274305555555</v>
      </c>
      <c r="F36" s="106">
        <f t="shared" si="2"/>
        <v>44571.301425592661</v>
      </c>
      <c r="G36" t="str">
        <f t="shared" si="17"/>
        <v>Monday</v>
      </c>
      <c r="H36" s="129">
        <v>0.50347222222221799</v>
      </c>
      <c r="I36" s="115">
        <f t="shared" si="18"/>
        <v>350.36245131794158</v>
      </c>
      <c r="J36" s="115">
        <f t="shared" si="19"/>
        <v>265.82303564411723</v>
      </c>
      <c r="K36" s="115">
        <f t="shared" si="20"/>
        <v>1.6680686236770967</v>
      </c>
      <c r="L36" s="115">
        <f t="shared" si="21"/>
        <v>235.55746460838785</v>
      </c>
      <c r="M36" s="115">
        <f t="shared" si="22"/>
        <v>284.6177190692228</v>
      </c>
      <c r="N36" s="115">
        <f t="shared" si="23"/>
        <v>308.26046824730719</v>
      </c>
      <c r="O36" s="115">
        <f t="shared" si="24"/>
        <v>263.79841635222078</v>
      </c>
      <c r="P36" s="115">
        <f t="shared" si="25"/>
        <v>288.7716831063106</v>
      </c>
      <c r="Q36" s="115">
        <f t="shared" si="26"/>
        <v>34.878736968810344</v>
      </c>
    </row>
    <row r="37" spans="1:17" x14ac:dyDescent="0.25">
      <c r="A37" s="114">
        <f t="shared" si="12"/>
        <v>44571</v>
      </c>
      <c r="B37">
        <f t="shared" si="13"/>
        <v>5.5</v>
      </c>
      <c r="C37" s="109">
        <f t="shared" si="14"/>
        <v>19.066666666666666</v>
      </c>
      <c r="D37" s="109">
        <f t="shared" si="15"/>
        <v>72.86666666666666</v>
      </c>
      <c r="E37" s="107">
        <f t="shared" si="16"/>
        <v>44571.277777777781</v>
      </c>
      <c r="F37" s="106">
        <f t="shared" si="2"/>
        <v>44571.301425592661</v>
      </c>
      <c r="G37" t="str">
        <f t="shared" si="17"/>
        <v>Monday</v>
      </c>
      <c r="H37" s="129">
        <v>0.50694444444443998</v>
      </c>
      <c r="I37" s="115">
        <f t="shared" si="18"/>
        <v>351.94339116788069</v>
      </c>
      <c r="J37" s="115">
        <f t="shared" si="19"/>
        <v>265.826573760835</v>
      </c>
      <c r="K37" s="115">
        <f t="shared" si="20"/>
        <v>1.7106261379297594</v>
      </c>
      <c r="L37" s="115">
        <f t="shared" si="21"/>
        <v>235.55995226673465</v>
      </c>
      <c r="M37" s="115">
        <f t="shared" si="22"/>
        <v>284.62015325446299</v>
      </c>
      <c r="N37" s="115">
        <f t="shared" si="23"/>
        <v>308.26119238549302</v>
      </c>
      <c r="O37" s="115">
        <f t="shared" si="24"/>
        <v>263.79629965977318</v>
      </c>
      <c r="P37" s="115">
        <f t="shared" si="25"/>
        <v>288.77207739212281</v>
      </c>
      <c r="Q37" s="115">
        <f t="shared" si="26"/>
        <v>34.878552968824373</v>
      </c>
    </row>
    <row r="38" spans="1:17" x14ac:dyDescent="0.25">
      <c r="A38" s="114">
        <f t="shared" si="12"/>
        <v>44571</v>
      </c>
      <c r="B38">
        <f t="shared" si="13"/>
        <v>5.5</v>
      </c>
      <c r="C38" s="109">
        <f t="shared" si="14"/>
        <v>19.066666666666666</v>
      </c>
      <c r="D38" s="109">
        <f t="shared" si="15"/>
        <v>72.86666666666666</v>
      </c>
      <c r="E38" s="107">
        <f t="shared" si="16"/>
        <v>44571.28125</v>
      </c>
      <c r="F38" s="106">
        <f t="shared" si="2"/>
        <v>44571.301425592661</v>
      </c>
      <c r="G38" t="str">
        <f t="shared" si="17"/>
        <v>Monday</v>
      </c>
      <c r="H38" s="129">
        <v>0.51041666666666197</v>
      </c>
      <c r="I38" s="115">
        <f t="shared" si="18"/>
        <v>353.51884616444545</v>
      </c>
      <c r="J38" s="115">
        <f t="shared" si="19"/>
        <v>265.83011187541769</v>
      </c>
      <c r="K38" s="115">
        <f t="shared" si="20"/>
        <v>1.7531801631311268</v>
      </c>
      <c r="L38" s="115">
        <f t="shared" si="21"/>
        <v>235.56243993210848</v>
      </c>
      <c r="M38" s="115">
        <f t="shared" si="22"/>
        <v>284.62258578770178</v>
      </c>
      <c r="N38" s="115">
        <f t="shared" si="23"/>
        <v>308.26191653918647</v>
      </c>
      <c r="O38" s="115">
        <f t="shared" si="24"/>
        <v>263.79418303397802</v>
      </c>
      <c r="P38" s="115">
        <f t="shared" si="25"/>
        <v>288.77247168427056</v>
      </c>
      <c r="Q38" s="115">
        <f t="shared" si="26"/>
        <v>34.878368968854957</v>
      </c>
    </row>
    <row r="39" spans="1:17" x14ac:dyDescent="0.25">
      <c r="A39" s="114">
        <f t="shared" si="12"/>
        <v>44571</v>
      </c>
      <c r="B39">
        <f t="shared" si="13"/>
        <v>5.5</v>
      </c>
      <c r="C39" s="109">
        <f t="shared" si="14"/>
        <v>19.066666666666666</v>
      </c>
      <c r="D39" s="109">
        <f t="shared" si="15"/>
        <v>72.86666666666666</v>
      </c>
      <c r="E39" s="107">
        <f t="shared" si="16"/>
        <v>44571.284722222226</v>
      </c>
      <c r="F39" s="106">
        <f t="shared" si="2"/>
        <v>44571.301425592661</v>
      </c>
      <c r="G39" t="str">
        <f t="shared" si="17"/>
        <v>Monday</v>
      </c>
      <c r="H39" s="129">
        <v>0.51388888888888395</v>
      </c>
      <c r="I39" s="115">
        <f t="shared" si="18"/>
        <v>355.08835773677055</v>
      </c>
      <c r="J39" s="115">
        <f t="shared" si="19"/>
        <v>265.83364998825499</v>
      </c>
      <c r="K39" s="115">
        <f t="shared" si="20"/>
        <v>1.7957307087283798</v>
      </c>
      <c r="L39" s="115">
        <f t="shared" si="21"/>
        <v>235.56492760476203</v>
      </c>
      <c r="M39" s="115">
        <f t="shared" si="22"/>
        <v>284.62501666857003</v>
      </c>
      <c r="N39" s="115">
        <f t="shared" si="23"/>
        <v>308.26264070834503</v>
      </c>
      <c r="O39" s="115">
        <f t="shared" si="24"/>
        <v>263.79206647497557</v>
      </c>
      <c r="P39" s="115">
        <f t="shared" si="25"/>
        <v>288.77286598157514</v>
      </c>
      <c r="Q39" s="115">
        <f t="shared" si="26"/>
        <v>34.878184968902126</v>
      </c>
    </row>
    <row r="40" spans="1:17" x14ac:dyDescent="0.25">
      <c r="A40" s="114">
        <f t="shared" si="12"/>
        <v>44571</v>
      </c>
      <c r="B40">
        <f t="shared" si="13"/>
        <v>5.5</v>
      </c>
      <c r="C40" s="109">
        <f t="shared" si="14"/>
        <v>19.066666666666666</v>
      </c>
      <c r="D40" s="109">
        <f t="shared" si="15"/>
        <v>72.86666666666666</v>
      </c>
      <c r="E40" s="107">
        <f t="shared" si="16"/>
        <v>44571.288194444445</v>
      </c>
      <c r="F40" s="106">
        <f t="shared" si="2"/>
        <v>44571.301425592661</v>
      </c>
      <c r="G40" t="str">
        <f t="shared" si="17"/>
        <v>Monday</v>
      </c>
      <c r="H40" s="129">
        <v>0.51736111111110605</v>
      </c>
      <c r="I40" s="115">
        <f t="shared" si="18"/>
        <v>356.65148944289723</v>
      </c>
      <c r="J40" s="115">
        <f t="shared" si="19"/>
        <v>265.83718809981258</v>
      </c>
      <c r="K40" s="115">
        <f t="shared" si="20"/>
        <v>1.8382777840637436</v>
      </c>
      <c r="L40" s="115">
        <f t="shared" si="21"/>
        <v>235.56741528493825</v>
      </c>
      <c r="M40" s="115">
        <f t="shared" si="22"/>
        <v>284.62744589675214</v>
      </c>
      <c r="N40" s="115">
        <f t="shared" si="23"/>
        <v>308.26336489294266</v>
      </c>
      <c r="O40" s="115">
        <f t="shared" si="24"/>
        <v>263.78994998255678</v>
      </c>
      <c r="P40" s="115">
        <f t="shared" si="25"/>
        <v>288.77326028555495</v>
      </c>
      <c r="Q40" s="115">
        <f t="shared" si="26"/>
        <v>34.878000968949102</v>
      </c>
    </row>
    <row r="41" spans="1:17" x14ac:dyDescent="0.25">
      <c r="A41" s="114">
        <f t="shared" si="12"/>
        <v>44571</v>
      </c>
      <c r="B41">
        <f t="shared" si="13"/>
        <v>5.5</v>
      </c>
      <c r="C41" s="109">
        <f t="shared" si="14"/>
        <v>19.066666666666666</v>
      </c>
      <c r="D41" s="109">
        <f t="shared" si="15"/>
        <v>72.86666666666666</v>
      </c>
      <c r="E41" s="107">
        <f t="shared" si="16"/>
        <v>44571.291666666672</v>
      </c>
      <c r="F41" s="106">
        <f t="shared" si="2"/>
        <v>44571.301425592661</v>
      </c>
      <c r="G41" t="str">
        <f t="shared" si="17"/>
        <v>Monday</v>
      </c>
      <c r="H41" s="129">
        <v>0.52083333333332804</v>
      </c>
      <c r="I41" s="115">
        <f t="shared" si="18"/>
        <v>358.20782750115677</v>
      </c>
      <c r="J41" s="115">
        <f t="shared" si="19"/>
        <v>265.84072620920603</v>
      </c>
      <c r="K41" s="115">
        <f t="shared" si="20"/>
        <v>1.880821381388212</v>
      </c>
      <c r="L41" s="115">
        <f t="shared" si="21"/>
        <v>235.56990297211095</v>
      </c>
      <c r="M41" s="115">
        <f t="shared" si="22"/>
        <v>284.62987347099488</v>
      </c>
      <c r="N41" s="115">
        <f t="shared" si="23"/>
        <v>308.26408909305479</v>
      </c>
      <c r="O41" s="115">
        <f t="shared" si="24"/>
        <v>263.78783355746185</v>
      </c>
      <c r="P41" s="115">
        <f t="shared" si="25"/>
        <v>288.77365459508962</v>
      </c>
      <c r="Q41" s="115">
        <f t="shared" si="26"/>
        <v>34.877816968996321</v>
      </c>
    </row>
    <row r="42" spans="1:17" x14ac:dyDescent="0.25">
      <c r="A42" s="114">
        <f t="shared" si="12"/>
        <v>44571</v>
      </c>
      <c r="B42">
        <f t="shared" si="13"/>
        <v>5.5</v>
      </c>
      <c r="C42" s="109">
        <f t="shared" si="14"/>
        <v>19.066666666666666</v>
      </c>
      <c r="D42" s="109">
        <f t="shared" si="15"/>
        <v>72.86666666666666</v>
      </c>
      <c r="E42" s="107">
        <f t="shared" si="16"/>
        <v>44571.295138888891</v>
      </c>
      <c r="F42" s="106">
        <f t="shared" si="2"/>
        <v>44571.301425592661</v>
      </c>
      <c r="G42" t="str">
        <f t="shared" si="17"/>
        <v>Monday</v>
      </c>
      <c r="H42" s="129">
        <v>0.52430555555555003</v>
      </c>
      <c r="I42" s="115">
        <f t="shared" si="18"/>
        <v>359.75698324019839</v>
      </c>
      <c r="J42" s="115">
        <f t="shared" si="19"/>
        <v>265.84426431721772</v>
      </c>
      <c r="K42" s="115">
        <f t="shared" si="20"/>
        <v>1.9233615157918524</v>
      </c>
      <c r="L42" s="115">
        <f t="shared" si="21"/>
        <v>235.57239066649271</v>
      </c>
      <c r="M42" s="115">
        <f t="shared" si="22"/>
        <v>284.63229939125188</v>
      </c>
      <c r="N42" s="115">
        <f t="shared" si="23"/>
        <v>308.26481330861515</v>
      </c>
      <c r="O42" s="115">
        <f t="shared" si="24"/>
        <v>263.78571719938708</v>
      </c>
      <c r="P42" s="115">
        <f t="shared" si="25"/>
        <v>288.77404891049844</v>
      </c>
      <c r="Q42" s="115">
        <f t="shared" si="26"/>
        <v>34.877632969010364</v>
      </c>
    </row>
    <row r="43" spans="1:17" x14ac:dyDescent="0.25">
      <c r="A43" s="114">
        <f t="shared" si="12"/>
        <v>44571</v>
      </c>
      <c r="B43">
        <f t="shared" si="13"/>
        <v>5.5</v>
      </c>
      <c r="C43" s="109">
        <f t="shared" si="14"/>
        <v>19.066666666666666</v>
      </c>
      <c r="D43" s="109">
        <f t="shared" si="15"/>
        <v>72.86666666666666</v>
      </c>
      <c r="E43" s="107">
        <f t="shared" si="16"/>
        <v>44571.298611111117</v>
      </c>
      <c r="F43" s="106">
        <f t="shared" si="2"/>
        <v>44571.301425592661</v>
      </c>
      <c r="G43" t="str">
        <f t="shared" si="17"/>
        <v>Monday</v>
      </c>
      <c r="H43" s="129">
        <v>0.52777777777777202</v>
      </c>
      <c r="I43" s="115">
        <f t="shared" si="18"/>
        <v>1.2985922271540424</v>
      </c>
      <c r="J43" s="115">
        <f t="shared" si="19"/>
        <v>265.84780242307841</v>
      </c>
      <c r="K43" s="115">
        <f t="shared" si="20"/>
        <v>1.9658981795358741</v>
      </c>
      <c r="L43" s="115">
        <f t="shared" si="21"/>
        <v>235.5748783680603</v>
      </c>
      <c r="M43" s="115">
        <f t="shared" si="22"/>
        <v>284.63472365632242</v>
      </c>
      <c r="N43" s="115">
        <f t="shared" si="23"/>
        <v>308.26553753959132</v>
      </c>
      <c r="O43" s="115">
        <f t="shared" si="24"/>
        <v>263.78360090899474</v>
      </c>
      <c r="P43" s="115">
        <f t="shared" si="25"/>
        <v>288.77444323166395</v>
      </c>
      <c r="Q43" s="115">
        <f t="shared" si="26"/>
        <v>34.877448969057433</v>
      </c>
    </row>
    <row r="44" spans="1:17" x14ac:dyDescent="0.25">
      <c r="A44" s="114">
        <f t="shared" si="12"/>
        <v>44571</v>
      </c>
      <c r="B44">
        <f t="shared" si="13"/>
        <v>5.5</v>
      </c>
      <c r="C44" s="109">
        <f t="shared" si="14"/>
        <v>19.066666666666666</v>
      </c>
      <c r="D44" s="109">
        <f t="shared" si="15"/>
        <v>72.86666666666666</v>
      </c>
      <c r="E44" s="107">
        <f t="shared" si="16"/>
        <v>44571.302083333336</v>
      </c>
      <c r="F44" s="106">
        <f t="shared" si="2"/>
        <v>44571.301425592661</v>
      </c>
      <c r="G44" t="str">
        <f t="shared" si="17"/>
        <v>Monday</v>
      </c>
      <c r="H44" s="129">
        <v>0.531249999999994</v>
      </c>
      <c r="I44" s="115">
        <f t="shared" si="18"/>
        <v>2.8323165596243634</v>
      </c>
      <c r="J44" s="115">
        <f t="shared" si="19"/>
        <v>265.85134052764846</v>
      </c>
      <c r="K44" s="115">
        <f t="shared" si="20"/>
        <v>2.0084313877298796</v>
      </c>
      <c r="L44" s="115">
        <f t="shared" si="21"/>
        <v>235.5773660770588</v>
      </c>
      <c r="M44" s="115">
        <f t="shared" si="22"/>
        <v>284.63714626616951</v>
      </c>
      <c r="N44" s="115">
        <f t="shared" si="23"/>
        <v>308.26626178580739</v>
      </c>
      <c r="O44" s="115">
        <f t="shared" si="24"/>
        <v>263.78148468590467</v>
      </c>
      <c r="P44" s="115">
        <f t="shared" si="25"/>
        <v>288.7748375586927</v>
      </c>
      <c r="Q44" s="115">
        <f t="shared" si="26"/>
        <v>34.877264969054885</v>
      </c>
    </row>
    <row r="45" spans="1:17" x14ac:dyDescent="0.25">
      <c r="A45" s="114">
        <f t="shared" si="12"/>
        <v>44571</v>
      </c>
      <c r="B45">
        <f t="shared" si="13"/>
        <v>5.5</v>
      </c>
      <c r="C45" s="109">
        <f t="shared" si="14"/>
        <v>19.066666666666666</v>
      </c>
      <c r="D45" s="109">
        <f t="shared" si="15"/>
        <v>72.86666666666666</v>
      </c>
      <c r="E45" s="107">
        <f t="shared" si="16"/>
        <v>44571.305555555555</v>
      </c>
      <c r="F45" s="106">
        <f t="shared" si="2"/>
        <v>44571.301425592661</v>
      </c>
      <c r="G45" t="str">
        <f t="shared" si="17"/>
        <v>Monday</v>
      </c>
      <c r="H45" s="129">
        <v>0.53472222222221599</v>
      </c>
      <c r="I45" s="115">
        <f t="shared" si="18"/>
        <v>4.3578436593849155</v>
      </c>
      <c r="J45" s="115">
        <f t="shared" si="19"/>
        <v>265.85487863000293</v>
      </c>
      <c r="K45" s="115">
        <f t="shared" si="20"/>
        <v>2.0509611326718757</v>
      </c>
      <c r="L45" s="115">
        <f t="shared" si="21"/>
        <v>235.57985379299106</v>
      </c>
      <c r="M45" s="115">
        <f t="shared" si="22"/>
        <v>284.63956721952201</v>
      </c>
      <c r="N45" s="115">
        <f t="shared" si="23"/>
        <v>308.26698604761071</v>
      </c>
      <c r="O45" s="115">
        <f t="shared" si="24"/>
        <v>263.77936853088983</v>
      </c>
      <c r="P45" s="115">
        <f t="shared" si="25"/>
        <v>288.77523189176151</v>
      </c>
      <c r="Q45" s="115">
        <f t="shared" si="26"/>
        <v>34.87708096910201</v>
      </c>
    </row>
    <row r="46" spans="1:17" x14ac:dyDescent="0.25">
      <c r="A46" s="114">
        <f t="shared" si="12"/>
        <v>44571</v>
      </c>
      <c r="B46">
        <f t="shared" si="13"/>
        <v>5.5</v>
      </c>
      <c r="C46" s="109">
        <f t="shared" si="14"/>
        <v>19.066666666666666</v>
      </c>
      <c r="D46" s="109">
        <f t="shared" si="15"/>
        <v>72.86666666666666</v>
      </c>
      <c r="E46" s="107">
        <f t="shared" si="16"/>
        <v>44571.309027777781</v>
      </c>
      <c r="F46" s="106">
        <f t="shared" si="2"/>
        <v>44571.301425592661</v>
      </c>
      <c r="G46" t="str">
        <f t="shared" si="17"/>
        <v>Monday</v>
      </c>
      <c r="H46" s="129">
        <v>0.53819444444443798</v>
      </c>
      <c r="I46" s="115">
        <f t="shared" si="18"/>
        <v>5.8748882064367756</v>
      </c>
      <c r="J46" s="115">
        <f t="shared" si="19"/>
        <v>265.858416731087</v>
      </c>
      <c r="K46" s="115">
        <f t="shared" si="20"/>
        <v>2.0934874294257209</v>
      </c>
      <c r="L46" s="115">
        <f t="shared" si="21"/>
        <v>235.58234151642057</v>
      </c>
      <c r="M46" s="115">
        <f t="shared" si="22"/>
        <v>284.64198651638907</v>
      </c>
      <c r="N46" s="115">
        <f t="shared" si="23"/>
        <v>308.26771032501176</v>
      </c>
      <c r="O46" s="115">
        <f t="shared" si="24"/>
        <v>263.77725244355435</v>
      </c>
      <c r="P46" s="115">
        <f t="shared" si="25"/>
        <v>288.77562623077461</v>
      </c>
      <c r="Q46" s="115">
        <f t="shared" si="26"/>
        <v>34.876896969149179</v>
      </c>
    </row>
    <row r="47" spans="1:17" x14ac:dyDescent="0.25">
      <c r="A47" s="114">
        <f t="shared" si="12"/>
        <v>44571</v>
      </c>
      <c r="B47">
        <f t="shared" si="13"/>
        <v>5.5</v>
      </c>
      <c r="C47" s="109">
        <f t="shared" si="14"/>
        <v>19.066666666666666</v>
      </c>
      <c r="D47" s="109">
        <f t="shared" si="15"/>
        <v>72.86666666666666</v>
      </c>
      <c r="E47" s="107">
        <f t="shared" si="16"/>
        <v>44571.3125</v>
      </c>
      <c r="F47" s="106">
        <f t="shared" si="2"/>
        <v>44571.301425592661</v>
      </c>
      <c r="G47" t="str">
        <f t="shared" si="17"/>
        <v>Monday</v>
      </c>
      <c r="H47" s="129">
        <v>0.54166666666665997</v>
      </c>
      <c r="I47" s="115">
        <f t="shared" si="18"/>
        <v>7.3831906210095148</v>
      </c>
      <c r="J47" s="115">
        <f t="shared" si="19"/>
        <v>265.86195483007248</v>
      </c>
      <c r="K47" s="115">
        <f t="shared" si="20"/>
        <v>2.1360102702467119</v>
      </c>
      <c r="L47" s="115">
        <f t="shared" si="21"/>
        <v>235.58482924695488</v>
      </c>
      <c r="M47" s="115">
        <f t="shared" si="22"/>
        <v>284.64440415560563</v>
      </c>
      <c r="N47" s="115">
        <f t="shared" si="23"/>
        <v>308.26843461761962</v>
      </c>
      <c r="O47" s="115">
        <f t="shared" si="24"/>
        <v>263.77513642467369</v>
      </c>
      <c r="P47" s="115">
        <f t="shared" si="25"/>
        <v>288.77602057590639</v>
      </c>
      <c r="Q47" s="115">
        <f t="shared" si="26"/>
        <v>34.876712969196298</v>
      </c>
    </row>
    <row r="48" spans="1:17" x14ac:dyDescent="0.25">
      <c r="A48" s="114">
        <f t="shared" si="12"/>
        <v>44571</v>
      </c>
      <c r="B48">
        <f t="shared" si="13"/>
        <v>5.5</v>
      </c>
      <c r="C48" s="109">
        <f t="shared" si="14"/>
        <v>19.066666666666666</v>
      </c>
      <c r="D48" s="109">
        <f t="shared" si="15"/>
        <v>72.86666666666666</v>
      </c>
      <c r="E48" s="107">
        <f t="shared" si="16"/>
        <v>44571.315972222226</v>
      </c>
      <c r="F48" s="106">
        <f t="shared" si="2"/>
        <v>44571.301425592661</v>
      </c>
      <c r="G48" t="str">
        <f t="shared" si="17"/>
        <v>Monday</v>
      </c>
      <c r="H48" s="129">
        <v>0.54513888888888196</v>
      </c>
      <c r="I48" s="115">
        <f t="shared" si="18"/>
        <v>8.8825184651294826</v>
      </c>
      <c r="J48" s="115">
        <f t="shared" si="19"/>
        <v>265.86549292706809</v>
      </c>
      <c r="K48" s="115">
        <f t="shared" si="20"/>
        <v>2.1785296645212715</v>
      </c>
      <c r="L48" s="115">
        <f t="shared" si="21"/>
        <v>235.58731698437305</v>
      </c>
      <c r="M48" s="115">
        <f t="shared" si="22"/>
        <v>284.6468201365746</v>
      </c>
      <c r="N48" s="115">
        <f t="shared" si="23"/>
        <v>308.26915892551756</v>
      </c>
      <c r="O48" s="115">
        <f t="shared" si="24"/>
        <v>263.77302047412962</v>
      </c>
      <c r="P48" s="115">
        <f t="shared" si="25"/>
        <v>288.77641492661627</v>
      </c>
      <c r="Q48" s="115">
        <f t="shared" si="26"/>
        <v>34.87652896924341</v>
      </c>
    </row>
    <row r="49" spans="1:17" x14ac:dyDescent="0.25">
      <c r="A49" s="114">
        <f t="shared" si="12"/>
        <v>44571</v>
      </c>
      <c r="B49">
        <f t="shared" si="13"/>
        <v>5.5</v>
      </c>
      <c r="C49" s="109">
        <f t="shared" si="14"/>
        <v>19.066666666666666</v>
      </c>
      <c r="D49" s="109">
        <f t="shared" si="15"/>
        <v>72.86666666666666</v>
      </c>
      <c r="E49" s="107">
        <f t="shared" si="16"/>
        <v>44571.319444444445</v>
      </c>
      <c r="F49" s="106">
        <f t="shared" si="2"/>
        <v>44571.301425592661</v>
      </c>
      <c r="G49" t="str">
        <f t="shared" si="17"/>
        <v>Monday</v>
      </c>
      <c r="H49" s="129">
        <v>0.54861111111110406</v>
      </c>
      <c r="I49" s="115">
        <f t="shared" si="18"/>
        <v>10.37266565272002</v>
      </c>
      <c r="J49" s="115">
        <f t="shared" si="19"/>
        <v>265.86903102290484</v>
      </c>
      <c r="K49" s="115">
        <f t="shared" si="20"/>
        <v>2.2210456216461099</v>
      </c>
      <c r="L49" s="115">
        <f t="shared" si="21"/>
        <v>235.58980472946197</v>
      </c>
      <c r="M49" s="115">
        <f t="shared" si="22"/>
        <v>284.64923445925956</v>
      </c>
      <c r="N49" s="115">
        <f t="shared" si="23"/>
        <v>308.26988324913776</v>
      </c>
      <c r="O49" s="115">
        <f t="shared" si="24"/>
        <v>263.77090459173763</v>
      </c>
      <c r="P49" s="115">
        <f t="shared" si="25"/>
        <v>288.77680928336258</v>
      </c>
      <c r="Q49" s="115">
        <f t="shared" si="26"/>
        <v>34.876344969273937</v>
      </c>
    </row>
    <row r="50" spans="1:17" x14ac:dyDescent="0.25">
      <c r="A50" s="114">
        <f t="shared" si="12"/>
        <v>44571</v>
      </c>
      <c r="B50">
        <f t="shared" si="13"/>
        <v>5.5</v>
      </c>
      <c r="C50" s="109">
        <f t="shared" si="14"/>
        <v>19.066666666666666</v>
      </c>
      <c r="D50" s="109">
        <f t="shared" si="15"/>
        <v>72.86666666666666</v>
      </c>
      <c r="E50" s="107">
        <f t="shared" si="16"/>
        <v>44571.322916666672</v>
      </c>
      <c r="F50" s="106">
        <f t="shared" si="2"/>
        <v>44571.301425592661</v>
      </c>
      <c r="G50" t="str">
        <f t="shared" si="17"/>
        <v>Monday</v>
      </c>
      <c r="H50" s="129">
        <v>0.55208333333332604</v>
      </c>
      <c r="I50" s="115">
        <f t="shared" si="18"/>
        <v>11.853451548942353</v>
      </c>
      <c r="J50" s="115">
        <f t="shared" si="19"/>
        <v>265.87256911652253</v>
      </c>
      <c r="K50" s="115">
        <f t="shared" si="20"/>
        <v>2.2635581339006938</v>
      </c>
      <c r="L50" s="115">
        <f t="shared" si="21"/>
        <v>235.59229248143416</v>
      </c>
      <c r="M50" s="115">
        <f t="shared" si="22"/>
        <v>284.65164712229654</v>
      </c>
      <c r="N50" s="115">
        <f t="shared" si="23"/>
        <v>308.2706075879442</v>
      </c>
      <c r="O50" s="115">
        <f t="shared" si="24"/>
        <v>263.76878877831632</v>
      </c>
      <c r="P50" s="115">
        <f t="shared" si="25"/>
        <v>288.77720364606233</v>
      </c>
      <c r="Q50" s="115">
        <f t="shared" si="26"/>
        <v>34.876160969304472</v>
      </c>
    </row>
    <row r="51" spans="1:17" x14ac:dyDescent="0.25">
      <c r="A51" s="114">
        <f t="shared" si="12"/>
        <v>44571</v>
      </c>
      <c r="B51">
        <f t="shared" si="13"/>
        <v>5.5</v>
      </c>
      <c r="C51" s="109">
        <f t="shared" si="14"/>
        <v>19.066666666666666</v>
      </c>
      <c r="D51" s="109">
        <f t="shared" si="15"/>
        <v>72.86666666666666</v>
      </c>
      <c r="E51" s="107">
        <f t="shared" si="16"/>
        <v>44571.326388888891</v>
      </c>
      <c r="F51" s="106">
        <f t="shared" si="2"/>
        <v>44571.301425592661</v>
      </c>
      <c r="G51" t="str">
        <f t="shared" si="17"/>
        <v>Monday</v>
      </c>
      <c r="H51" s="129">
        <v>0.55555555555554803</v>
      </c>
      <c r="I51" s="115">
        <f t="shared" si="18"/>
        <v>13.324721943760395</v>
      </c>
      <c r="J51" s="115">
        <f t="shared" si="19"/>
        <v>265.87610720887182</v>
      </c>
      <c r="K51" s="115">
        <f t="shared" si="20"/>
        <v>2.3060672163655029</v>
      </c>
      <c r="L51" s="115">
        <f t="shared" si="21"/>
        <v>235.5947802410476</v>
      </c>
      <c r="M51" s="115">
        <f t="shared" si="22"/>
        <v>284.654058125679</v>
      </c>
      <c r="N51" s="115">
        <f t="shared" si="23"/>
        <v>308.27133194229395</v>
      </c>
      <c r="O51" s="115">
        <f t="shared" si="24"/>
        <v>263.76667303346215</v>
      </c>
      <c r="P51" s="115">
        <f t="shared" si="25"/>
        <v>288.77759801478038</v>
      </c>
      <c r="Q51" s="115">
        <f t="shared" si="26"/>
        <v>34.875976969318508</v>
      </c>
    </row>
    <row r="52" spans="1:17" x14ac:dyDescent="0.25">
      <c r="A52" s="114">
        <f t="shared" si="12"/>
        <v>44571</v>
      </c>
      <c r="B52">
        <f t="shared" si="13"/>
        <v>5.5</v>
      </c>
      <c r="C52" s="109">
        <f t="shared" si="14"/>
        <v>19.066666666666666</v>
      </c>
      <c r="D52" s="109">
        <f t="shared" si="15"/>
        <v>72.86666666666666</v>
      </c>
      <c r="E52" s="107">
        <f t="shared" si="16"/>
        <v>44571.329861111117</v>
      </c>
      <c r="F52" s="106">
        <f t="shared" si="2"/>
        <v>44571.301425592661</v>
      </c>
      <c r="G52" t="str">
        <f t="shared" si="17"/>
        <v>Monday</v>
      </c>
      <c r="H52" s="129">
        <v>0.55902777777777002</v>
      </c>
      <c r="I52" s="115">
        <f t="shared" si="18"/>
        <v>14.786346923142244</v>
      </c>
      <c r="J52" s="115">
        <f t="shared" si="19"/>
        <v>265.87964529905679</v>
      </c>
      <c r="K52" s="115">
        <f t="shared" si="20"/>
        <v>2.3485728613597328</v>
      </c>
      <c r="L52" s="115">
        <f t="shared" si="21"/>
        <v>235.59726800763809</v>
      </c>
      <c r="M52" s="115">
        <f t="shared" si="22"/>
        <v>284.65646746819073</v>
      </c>
      <c r="N52" s="115">
        <f t="shared" si="23"/>
        <v>308.27205631222785</v>
      </c>
      <c r="O52" s="115">
        <f t="shared" si="24"/>
        <v>263.76455735782639</v>
      </c>
      <c r="P52" s="115">
        <f t="shared" si="25"/>
        <v>288.77799238950797</v>
      </c>
      <c r="Q52" s="115">
        <f t="shared" si="26"/>
        <v>34.875792969382182</v>
      </c>
    </row>
    <row r="53" spans="1:17" x14ac:dyDescent="0.25">
      <c r="A53" s="114">
        <f t="shared" si="12"/>
        <v>44571</v>
      </c>
      <c r="B53">
        <f t="shared" si="13"/>
        <v>5.5</v>
      </c>
      <c r="C53" s="109">
        <f t="shared" si="14"/>
        <v>19.066666666666666</v>
      </c>
      <c r="D53" s="109">
        <f t="shared" si="15"/>
        <v>72.86666666666666</v>
      </c>
      <c r="E53" s="107">
        <f t="shared" si="16"/>
        <v>44571.333333333336</v>
      </c>
      <c r="F53" s="106">
        <f t="shared" si="2"/>
        <v>44571.301425592661</v>
      </c>
      <c r="G53" t="str">
        <f t="shared" si="17"/>
        <v>Monday</v>
      </c>
      <c r="H53" s="129">
        <v>0.56249999999999201</v>
      </c>
      <c r="I53" s="115">
        <f t="shared" si="18"/>
        <v>16.23822181852794</v>
      </c>
      <c r="J53" s="115">
        <f t="shared" si="19"/>
        <v>265.88318338790407</v>
      </c>
      <c r="K53" s="115">
        <f t="shared" si="20"/>
        <v>2.3910750838994344</v>
      </c>
      <c r="L53" s="115">
        <f t="shared" si="21"/>
        <v>235.59975578159825</v>
      </c>
      <c r="M53" s="115">
        <f t="shared" si="22"/>
        <v>284.65887514973855</v>
      </c>
      <c r="N53" s="115">
        <f t="shared" si="23"/>
        <v>308.27278069751452</v>
      </c>
      <c r="O53" s="115">
        <f t="shared" si="24"/>
        <v>263.76244175130785</v>
      </c>
      <c r="P53" s="115">
        <f t="shared" si="25"/>
        <v>288.77838676951643</v>
      </c>
      <c r="Q53" s="115">
        <f t="shared" si="26"/>
        <v>34.875608969412703</v>
      </c>
    </row>
    <row r="54" spans="1:17" x14ac:dyDescent="0.25">
      <c r="A54" s="114">
        <f t="shared" si="12"/>
        <v>44571</v>
      </c>
      <c r="B54">
        <f t="shared" si="13"/>
        <v>5.5</v>
      </c>
      <c r="C54" s="109">
        <f t="shared" si="14"/>
        <v>19.066666666666666</v>
      </c>
      <c r="D54" s="109">
        <f t="shared" si="15"/>
        <v>72.86666666666666</v>
      </c>
      <c r="E54" s="107">
        <f t="shared" si="16"/>
        <v>44571.336805555555</v>
      </c>
      <c r="F54" s="106">
        <f t="shared" si="2"/>
        <v>44571.301425592661</v>
      </c>
      <c r="G54" t="str">
        <f t="shared" si="17"/>
        <v>Monday</v>
      </c>
      <c r="H54" s="129">
        <v>0.56597222222221399</v>
      </c>
      <c r="I54" s="115">
        <f t="shared" si="18"/>
        <v>17.680264915255609</v>
      </c>
      <c r="J54" s="115">
        <f t="shared" si="19"/>
        <v>265.88672147446226</v>
      </c>
      <c r="K54" s="115">
        <f t="shared" si="20"/>
        <v>2.4335738762857377</v>
      </c>
      <c r="L54" s="115">
        <f t="shared" si="21"/>
        <v>235.60224356237555</v>
      </c>
      <c r="M54" s="115">
        <f t="shared" si="22"/>
        <v>284.66128116909562</v>
      </c>
      <c r="N54" s="115">
        <f t="shared" si="23"/>
        <v>308.27350509785936</v>
      </c>
      <c r="O54" s="115">
        <f t="shared" si="24"/>
        <v>263.76032621431199</v>
      </c>
      <c r="P54" s="115">
        <f t="shared" si="25"/>
        <v>288.77878115574271</v>
      </c>
      <c r="Q54" s="115">
        <f t="shared" si="26"/>
        <v>34.875424969443337</v>
      </c>
    </row>
    <row r="55" spans="1:17" x14ac:dyDescent="0.25">
      <c r="A55" s="114">
        <f t="shared" si="12"/>
        <v>44571</v>
      </c>
      <c r="B55">
        <f t="shared" si="13"/>
        <v>5.5</v>
      </c>
      <c r="C55" s="109">
        <f t="shared" si="14"/>
        <v>19.066666666666666</v>
      </c>
      <c r="D55" s="109">
        <f t="shared" si="15"/>
        <v>72.86666666666666</v>
      </c>
      <c r="E55" s="107">
        <f t="shared" si="16"/>
        <v>44571.340277777781</v>
      </c>
      <c r="F55" s="106">
        <f t="shared" si="2"/>
        <v>44571.301425592661</v>
      </c>
      <c r="G55" t="str">
        <f t="shared" si="17"/>
        <v>Monday</v>
      </c>
      <c r="H55" s="129">
        <v>0.56944444444443598</v>
      </c>
      <c r="I55" s="115">
        <f t="shared" si="18"/>
        <v>19.112418221671398</v>
      </c>
      <c r="J55" s="115">
        <f t="shared" si="19"/>
        <v>265.89025955981242</v>
      </c>
      <c r="K55" s="115">
        <f t="shared" si="20"/>
        <v>2.4760692536403637</v>
      </c>
      <c r="L55" s="115">
        <f t="shared" si="21"/>
        <v>235.60473135081713</v>
      </c>
      <c r="M55" s="115">
        <f t="shared" si="22"/>
        <v>284.66368552631241</v>
      </c>
      <c r="N55" s="115">
        <f t="shared" si="23"/>
        <v>308.27422951407834</v>
      </c>
      <c r="O55" s="115">
        <f t="shared" si="24"/>
        <v>263.75821074676503</v>
      </c>
      <c r="P55" s="115">
        <f t="shared" si="25"/>
        <v>288.77917554820635</v>
      </c>
      <c r="Q55" s="115">
        <f t="shared" si="26"/>
        <v>34.87524096945733</v>
      </c>
    </row>
    <row r="56" spans="1:17" x14ac:dyDescent="0.25">
      <c r="A56" s="114">
        <f t="shared" si="12"/>
        <v>44571</v>
      </c>
      <c r="B56">
        <f t="shared" si="13"/>
        <v>5.5</v>
      </c>
      <c r="C56" s="109">
        <f t="shared" si="14"/>
        <v>19.066666666666666</v>
      </c>
      <c r="D56" s="109">
        <f t="shared" si="15"/>
        <v>72.86666666666666</v>
      </c>
      <c r="E56" s="107">
        <f t="shared" si="16"/>
        <v>44571.34375</v>
      </c>
      <c r="F56" s="106">
        <f t="shared" si="2"/>
        <v>44571.301425592661</v>
      </c>
      <c r="G56" t="str">
        <f t="shared" si="17"/>
        <v>Monday</v>
      </c>
      <c r="H56" s="129">
        <v>0.57291666666665797</v>
      </c>
      <c r="I56" s="115">
        <f t="shared" si="18"/>
        <v>20.534645062521278</v>
      </c>
      <c r="J56" s="115">
        <f t="shared" si="19"/>
        <v>265.89379764293597</v>
      </c>
      <c r="K56" s="115">
        <f t="shared" si="20"/>
        <v>2.5185612082466231</v>
      </c>
      <c r="L56" s="115">
        <f t="shared" si="21"/>
        <v>235.60721914612304</v>
      </c>
      <c r="M56" s="115">
        <f t="shared" si="22"/>
        <v>284.66608822006805</v>
      </c>
      <c r="N56" s="115">
        <f t="shared" si="23"/>
        <v>308.27495394530706</v>
      </c>
      <c r="O56" s="115">
        <f t="shared" si="24"/>
        <v>263.75609534907483</v>
      </c>
      <c r="P56" s="115">
        <f t="shared" si="25"/>
        <v>288.77956994613385</v>
      </c>
      <c r="Q56" s="115">
        <f t="shared" si="26"/>
        <v>34.875056969504499</v>
      </c>
    </row>
    <row r="57" spans="1:17" x14ac:dyDescent="0.25">
      <c r="A57" s="114">
        <f t="shared" si="12"/>
        <v>44571</v>
      </c>
      <c r="B57">
        <f t="shared" si="13"/>
        <v>5.5</v>
      </c>
      <c r="C57" s="109">
        <f t="shared" si="14"/>
        <v>19.066666666666666</v>
      </c>
      <c r="D57" s="109">
        <f t="shared" si="15"/>
        <v>72.86666666666666</v>
      </c>
      <c r="E57" s="107">
        <f t="shared" si="16"/>
        <v>44571.347222222226</v>
      </c>
      <c r="F57" s="106">
        <f t="shared" si="2"/>
        <v>44571.301425592661</v>
      </c>
      <c r="G57" t="str">
        <f t="shared" si="17"/>
        <v>Monday</v>
      </c>
      <c r="H57" s="129">
        <v>0.57638888888887996</v>
      </c>
      <c r="I57" s="115">
        <f t="shared" si="18"/>
        <v>21.946930524295105</v>
      </c>
      <c r="J57" s="115">
        <f t="shared" si="19"/>
        <v>265.89733572431709</v>
      </c>
      <c r="K57" s="115">
        <f t="shared" si="20"/>
        <v>2.5610497494717319</v>
      </c>
      <c r="L57" s="115">
        <f t="shared" si="21"/>
        <v>235.60970694859211</v>
      </c>
      <c r="M57" s="115">
        <f t="shared" si="22"/>
        <v>284.66848925007668</v>
      </c>
      <c r="N57" s="115">
        <f t="shared" si="23"/>
        <v>308.27567839214623</v>
      </c>
      <c r="O57" s="115">
        <f t="shared" si="24"/>
        <v>263.75398002141134</v>
      </c>
      <c r="P57" s="115">
        <f t="shared" si="25"/>
        <v>288.77996434995572</v>
      </c>
      <c r="Q57" s="115">
        <f t="shared" si="26"/>
        <v>34.874872969551568</v>
      </c>
    </row>
    <row r="58" spans="1:17" x14ac:dyDescent="0.25">
      <c r="A58" s="114">
        <f t="shared" si="12"/>
        <v>44571</v>
      </c>
      <c r="B58">
        <f t="shared" si="13"/>
        <v>5.5</v>
      </c>
      <c r="C58" s="109">
        <f t="shared" si="14"/>
        <v>19.066666666666666</v>
      </c>
      <c r="D58" s="109">
        <f t="shared" si="15"/>
        <v>72.86666666666666</v>
      </c>
      <c r="E58" s="107">
        <f t="shared" si="16"/>
        <v>44571.350694444445</v>
      </c>
      <c r="F58" s="106">
        <f t="shared" si="2"/>
        <v>44571.301425592661</v>
      </c>
      <c r="G58" t="str">
        <f t="shared" si="17"/>
        <v>Monday</v>
      </c>
      <c r="H58" s="129">
        <v>0.57986111111110095</v>
      </c>
      <c r="I58" s="115">
        <f t="shared" si="18"/>
        <v>23.349279924773541</v>
      </c>
      <c r="J58" s="115">
        <f t="shared" si="19"/>
        <v>265.90087380453542</v>
      </c>
      <c r="K58" s="115">
        <f t="shared" si="20"/>
        <v>2.6035348867090518</v>
      </c>
      <c r="L58" s="115">
        <f t="shared" si="21"/>
        <v>235.61219475893196</v>
      </c>
      <c r="M58" s="115">
        <f t="shared" si="22"/>
        <v>284.67088861610341</v>
      </c>
      <c r="N58" s="115">
        <f t="shared" si="23"/>
        <v>308.27640285462758</v>
      </c>
      <c r="O58" s="115">
        <f t="shared" si="24"/>
        <v>263.75186476359926</v>
      </c>
      <c r="P58" s="115">
        <f t="shared" si="25"/>
        <v>288.78035875945125</v>
      </c>
      <c r="Q58" s="115">
        <f t="shared" si="26"/>
        <v>34.874688969565604</v>
      </c>
    </row>
    <row r="59" spans="1:17" x14ac:dyDescent="0.25">
      <c r="A59" s="114">
        <f t="shared" si="12"/>
        <v>44571</v>
      </c>
      <c r="B59">
        <f t="shared" si="13"/>
        <v>5.5</v>
      </c>
      <c r="C59" s="109">
        <f t="shared" si="14"/>
        <v>19.066666666666666</v>
      </c>
      <c r="D59" s="109">
        <f t="shared" si="15"/>
        <v>72.86666666666666</v>
      </c>
      <c r="E59" s="107">
        <f t="shared" si="16"/>
        <v>44571.354166666672</v>
      </c>
      <c r="F59" s="106">
        <f t="shared" si="2"/>
        <v>44571.301425592661</v>
      </c>
      <c r="G59" t="str">
        <f t="shared" si="17"/>
        <v>Monday</v>
      </c>
      <c r="H59" s="129">
        <v>0.58333333333332305</v>
      </c>
      <c r="I59" s="115">
        <f t="shared" si="18"/>
        <v>24.741717276278141</v>
      </c>
      <c r="J59" s="115">
        <f t="shared" si="19"/>
        <v>265.90441188240305</v>
      </c>
      <c r="K59" s="115">
        <f t="shared" si="20"/>
        <v>2.6460166122133599</v>
      </c>
      <c r="L59" s="115">
        <f t="shared" si="21"/>
        <v>235.61468257592782</v>
      </c>
      <c r="M59" s="115">
        <f t="shared" si="22"/>
        <v>284.67328631668238</v>
      </c>
      <c r="N59" s="115">
        <f t="shared" si="23"/>
        <v>308.27712733237757</v>
      </c>
      <c r="O59" s="115">
        <f t="shared" si="24"/>
        <v>263.74974957631855</v>
      </c>
      <c r="P59" s="115">
        <f t="shared" si="25"/>
        <v>288.78075317527549</v>
      </c>
      <c r="Q59" s="115">
        <f t="shared" si="26"/>
        <v>34.874504969612779</v>
      </c>
    </row>
    <row r="60" spans="1:17" x14ac:dyDescent="0.25">
      <c r="A60" s="114">
        <f t="shared" si="12"/>
        <v>44571</v>
      </c>
      <c r="B60">
        <f t="shared" si="13"/>
        <v>5.5</v>
      </c>
      <c r="C60" s="109">
        <f t="shared" si="14"/>
        <v>19.066666666666666</v>
      </c>
      <c r="D60" s="109">
        <f t="shared" si="15"/>
        <v>72.86666666666666</v>
      </c>
      <c r="E60" s="107">
        <f t="shared" si="16"/>
        <v>44571.357638888891</v>
      </c>
      <c r="F60" s="106">
        <f t="shared" si="2"/>
        <v>44571.301425592661</v>
      </c>
      <c r="G60" t="str">
        <f t="shared" si="17"/>
        <v>Monday</v>
      </c>
      <c r="H60" s="129">
        <v>0.58680555555554503</v>
      </c>
      <c r="I60" s="115">
        <f t="shared" si="18"/>
        <v>26.124285604598601</v>
      </c>
      <c r="J60" s="115">
        <f t="shared" si="19"/>
        <v>265.90794995888382</v>
      </c>
      <c r="K60" s="115">
        <f t="shared" si="20"/>
        <v>2.6884949411046621</v>
      </c>
      <c r="L60" s="115">
        <f t="shared" si="21"/>
        <v>235.61717040027199</v>
      </c>
      <c r="M60" s="115">
        <f t="shared" si="22"/>
        <v>284.67568235185365</v>
      </c>
      <c r="N60" s="115">
        <f t="shared" si="23"/>
        <v>308.27785182540799</v>
      </c>
      <c r="O60" s="115">
        <f t="shared" si="24"/>
        <v>263.74763445919638</v>
      </c>
      <c r="P60" s="115">
        <f t="shared" si="25"/>
        <v>288.78114759661787</v>
      </c>
      <c r="Q60" s="115">
        <f t="shared" si="26"/>
        <v>34.874320969643307</v>
      </c>
    </row>
    <row r="61" spans="1:17" x14ac:dyDescent="0.25">
      <c r="A61" s="114">
        <f t="shared" si="12"/>
        <v>44571</v>
      </c>
      <c r="B61">
        <f t="shared" si="13"/>
        <v>5.5</v>
      </c>
      <c r="C61" s="109">
        <f t="shared" si="14"/>
        <v>19.066666666666666</v>
      </c>
      <c r="D61" s="109">
        <f t="shared" si="15"/>
        <v>72.86666666666666</v>
      </c>
      <c r="E61" s="107">
        <f t="shared" si="16"/>
        <v>44571.361111111117</v>
      </c>
      <c r="F61" s="106">
        <f t="shared" si="2"/>
        <v>44571.301425592661</v>
      </c>
      <c r="G61" t="str">
        <f t="shared" si="17"/>
        <v>Monday</v>
      </c>
      <c r="H61" s="129">
        <v>0.59027777777776702</v>
      </c>
      <c r="I61" s="115">
        <f t="shared" si="18"/>
        <v>27.49704444060437</v>
      </c>
      <c r="J61" s="115">
        <f t="shared" si="19"/>
        <v>265.91148803326496</v>
      </c>
      <c r="K61" s="115">
        <f t="shared" si="20"/>
        <v>2.7309698656992065</v>
      </c>
      <c r="L61" s="115">
        <f t="shared" si="21"/>
        <v>235.61965823169351</v>
      </c>
      <c r="M61" s="115">
        <f t="shared" si="22"/>
        <v>284.67807672048707</v>
      </c>
      <c r="N61" s="115">
        <f t="shared" si="23"/>
        <v>308.27857633383269</v>
      </c>
      <c r="O61" s="115">
        <f t="shared" si="24"/>
        <v>263.74551941304424</v>
      </c>
      <c r="P61" s="115">
        <f t="shared" si="25"/>
        <v>288.78154202429698</v>
      </c>
      <c r="Q61" s="115">
        <f t="shared" si="26"/>
        <v>34.874136969690319</v>
      </c>
    </row>
    <row r="62" spans="1:17" x14ac:dyDescent="0.25">
      <c r="A62" s="114">
        <f t="shared" si="12"/>
        <v>44571</v>
      </c>
      <c r="B62">
        <f t="shared" si="13"/>
        <v>5.5</v>
      </c>
      <c r="C62" s="109">
        <f t="shared" si="14"/>
        <v>19.066666666666666</v>
      </c>
      <c r="D62" s="109">
        <f t="shared" si="15"/>
        <v>72.86666666666666</v>
      </c>
      <c r="E62" s="107">
        <f t="shared" si="16"/>
        <v>44571.364583333336</v>
      </c>
      <c r="F62" s="106">
        <f t="shared" si="2"/>
        <v>44571.301425592661</v>
      </c>
      <c r="G62" t="str">
        <f t="shared" si="17"/>
        <v>Monday</v>
      </c>
      <c r="H62" s="129">
        <v>0.59374999999998901</v>
      </c>
      <c r="I62" s="115">
        <f t="shared" si="18"/>
        <v>28.860070293142588</v>
      </c>
      <c r="J62" s="115">
        <f t="shared" si="19"/>
        <v>265.91502610636161</v>
      </c>
      <c r="K62" s="115">
        <f t="shared" si="20"/>
        <v>2.7734414010571524</v>
      </c>
      <c r="L62" s="115">
        <f t="shared" si="21"/>
        <v>235.62214607062296</v>
      </c>
      <c r="M62" s="115">
        <f t="shared" si="22"/>
        <v>284.68046942252369</v>
      </c>
      <c r="N62" s="115">
        <f t="shared" si="23"/>
        <v>308.27930085780116</v>
      </c>
      <c r="O62" s="115">
        <f t="shared" si="24"/>
        <v>263.74340443742665</v>
      </c>
      <c r="P62" s="115">
        <f t="shared" si="25"/>
        <v>288.78193645764202</v>
      </c>
      <c r="Q62" s="115">
        <f t="shared" si="26"/>
        <v>34.873952969720904</v>
      </c>
    </row>
    <row r="63" spans="1:17" x14ac:dyDescent="0.25">
      <c r="A63" s="114">
        <f t="shared" si="12"/>
        <v>44571</v>
      </c>
      <c r="B63">
        <f t="shared" si="13"/>
        <v>5.5</v>
      </c>
      <c r="C63" s="109">
        <f t="shared" si="14"/>
        <v>19.066666666666666</v>
      </c>
      <c r="D63" s="109">
        <f t="shared" si="15"/>
        <v>72.86666666666666</v>
      </c>
      <c r="E63" s="107">
        <f t="shared" si="16"/>
        <v>44571.368055555555</v>
      </c>
      <c r="F63" s="106">
        <f t="shared" si="2"/>
        <v>44571.301425592661</v>
      </c>
      <c r="G63" t="str">
        <f t="shared" si="17"/>
        <v>Monday</v>
      </c>
      <c r="H63" s="129">
        <v>0.597222222222211</v>
      </c>
      <c r="I63" s="115">
        <f t="shared" si="18"/>
        <v>30.21345416013623</v>
      </c>
      <c r="J63" s="115">
        <f t="shared" si="19"/>
        <v>265.91856417722568</v>
      </c>
      <c r="K63" s="115">
        <f t="shared" si="20"/>
        <v>2.8159095394587079</v>
      </c>
      <c r="L63" s="115">
        <f t="shared" si="21"/>
        <v>235.62463391646526</v>
      </c>
      <c r="M63" s="115">
        <f t="shared" si="22"/>
        <v>284.68286045667884</v>
      </c>
      <c r="N63" s="115">
        <f t="shared" si="23"/>
        <v>308.28002539710695</v>
      </c>
      <c r="O63" s="115">
        <f t="shared" si="24"/>
        <v>263.7412895330944</v>
      </c>
      <c r="P63" s="115">
        <f t="shared" si="25"/>
        <v>288.78233089658107</v>
      </c>
      <c r="Q63" s="115">
        <f t="shared" si="26"/>
        <v>34.873768969751531</v>
      </c>
    </row>
    <row r="64" spans="1:17" x14ac:dyDescent="0.25">
      <c r="A64" s="114">
        <f t="shared" si="12"/>
        <v>44571</v>
      </c>
      <c r="B64">
        <f t="shared" si="13"/>
        <v>5.5</v>
      </c>
      <c r="C64" s="109">
        <f t="shared" si="14"/>
        <v>19.066666666666666</v>
      </c>
      <c r="D64" s="109">
        <f t="shared" si="15"/>
        <v>72.86666666666666</v>
      </c>
      <c r="E64" s="107">
        <f t="shared" si="16"/>
        <v>44571.371527777781</v>
      </c>
      <c r="F64" s="106">
        <f t="shared" si="2"/>
        <v>44571.301425592661</v>
      </c>
      <c r="G64" t="str">
        <f t="shared" si="17"/>
        <v>Monday</v>
      </c>
      <c r="H64" s="129">
        <v>0.60069444444443298</v>
      </c>
      <c r="I64" s="115">
        <f t="shared" si="18"/>
        <v>31.557301992320276</v>
      </c>
      <c r="J64" s="115">
        <f t="shared" si="19"/>
        <v>265.92210224688716</v>
      </c>
      <c r="K64" s="115">
        <f t="shared" si="20"/>
        <v>2.8583742960037846</v>
      </c>
      <c r="L64" s="115">
        <f t="shared" si="21"/>
        <v>235.62712177005761</v>
      </c>
      <c r="M64" s="115">
        <f t="shared" si="22"/>
        <v>284.68524982301761</v>
      </c>
      <c r="N64" s="115">
        <f t="shared" si="23"/>
        <v>308.28074995203286</v>
      </c>
      <c r="O64" s="115">
        <f t="shared" si="24"/>
        <v>263.73917469964761</v>
      </c>
      <c r="P64" s="115">
        <f t="shared" si="25"/>
        <v>288.78272534245832</v>
      </c>
      <c r="Q64" s="115">
        <f t="shared" si="26"/>
        <v>34.873584969782115</v>
      </c>
    </row>
    <row r="65" spans="1:17" x14ac:dyDescent="0.25">
      <c r="A65" s="114">
        <f t="shared" si="12"/>
        <v>44571</v>
      </c>
      <c r="B65">
        <f t="shared" si="13"/>
        <v>5.5</v>
      </c>
      <c r="C65" s="109">
        <f t="shared" si="14"/>
        <v>19.066666666666666</v>
      </c>
      <c r="D65" s="109">
        <f t="shared" si="15"/>
        <v>72.86666666666666</v>
      </c>
      <c r="E65" s="107">
        <f t="shared" si="16"/>
        <v>44571.375</v>
      </c>
      <c r="F65" s="106">
        <f t="shared" si="2"/>
        <v>44571.301425592661</v>
      </c>
      <c r="G65" t="str">
        <f t="shared" si="17"/>
        <v>Monday</v>
      </c>
      <c r="H65" s="129">
        <v>0.60416666666665497</v>
      </c>
      <c r="I65" s="115">
        <f t="shared" si="18"/>
        <v>32.891732248991246</v>
      </c>
      <c r="J65" s="115">
        <f t="shared" si="19"/>
        <v>265.92564031419266</v>
      </c>
      <c r="K65" s="115">
        <f t="shared" si="20"/>
        <v>2.9008356629453882</v>
      </c>
      <c r="L65" s="115">
        <f t="shared" si="21"/>
        <v>235.62960963022596</v>
      </c>
      <c r="M65" s="115">
        <f t="shared" si="22"/>
        <v>284.68763752014388</v>
      </c>
      <c r="N65" s="115">
        <f t="shared" si="23"/>
        <v>308.28147452202518</v>
      </c>
      <c r="O65" s="115">
        <f t="shared" si="24"/>
        <v>263.73705993789417</v>
      </c>
      <c r="P65" s="115">
        <f t="shared" si="25"/>
        <v>288.78311979312696</v>
      </c>
      <c r="Q65" s="115">
        <f t="shared" si="26"/>
        <v>34.873400969829234</v>
      </c>
    </row>
    <row r="66" spans="1:17" x14ac:dyDescent="0.25">
      <c r="A66" s="114">
        <f t="shared" si="12"/>
        <v>44571</v>
      </c>
      <c r="B66">
        <f t="shared" si="13"/>
        <v>5.5</v>
      </c>
      <c r="C66" s="109">
        <f t="shared" si="14"/>
        <v>19.066666666666666</v>
      </c>
      <c r="D66" s="109">
        <f t="shared" si="15"/>
        <v>72.86666666666666</v>
      </c>
      <c r="E66" s="107">
        <f t="shared" si="16"/>
        <v>44571.378472222226</v>
      </c>
      <c r="F66" s="106">
        <f t="shared" si="2"/>
        <v>44571.301425592661</v>
      </c>
      <c r="G66" t="str">
        <f t="shared" si="17"/>
        <v>Monday</v>
      </c>
      <c r="H66" s="129">
        <v>0.60763888888887696</v>
      </c>
      <c r="I66" s="115">
        <f t="shared" si="18"/>
        <v>34.216876197845558</v>
      </c>
      <c r="J66" s="115">
        <f t="shared" si="19"/>
        <v>265.92917837980565</v>
      </c>
      <c r="K66" s="115">
        <f t="shared" si="20"/>
        <v>2.9432936497392168</v>
      </c>
      <c r="L66" s="115">
        <f t="shared" si="21"/>
        <v>235.63209749774467</v>
      </c>
      <c r="M66" s="115">
        <f t="shared" si="22"/>
        <v>284.69002354784681</v>
      </c>
      <c r="N66" s="115">
        <f t="shared" si="23"/>
        <v>308.2821991076417</v>
      </c>
      <c r="O66" s="115">
        <f t="shared" si="24"/>
        <v>263.73494524773594</v>
      </c>
      <c r="P66" s="115">
        <f t="shared" si="25"/>
        <v>288.78351424972448</v>
      </c>
      <c r="Q66" s="115">
        <f t="shared" si="26"/>
        <v>34.873216969876296</v>
      </c>
    </row>
    <row r="67" spans="1:17" x14ac:dyDescent="0.25">
      <c r="A67" s="114">
        <f t="shared" si="12"/>
        <v>44571</v>
      </c>
      <c r="B67">
        <f t="shared" si="13"/>
        <v>5.5</v>
      </c>
      <c r="C67" s="109">
        <f t="shared" si="14"/>
        <v>19.066666666666666</v>
      </c>
      <c r="D67" s="109">
        <f t="shared" si="15"/>
        <v>72.86666666666666</v>
      </c>
      <c r="E67" s="107">
        <f t="shared" si="16"/>
        <v>44571.381944444445</v>
      </c>
      <c r="F67" s="106">
        <f t="shared" ref="F67:F130" si="27">sunrise(C67,D67,E67)+B67/24</f>
        <v>44571.301425592661</v>
      </c>
      <c r="G67" t="str">
        <f t="shared" si="17"/>
        <v>Monday</v>
      </c>
      <c r="H67" s="129">
        <v>0.61111111111109895</v>
      </c>
      <c r="I67" s="115">
        <f t="shared" si="18"/>
        <v>35.532876422454962</v>
      </c>
      <c r="J67" s="115">
        <f t="shared" si="19"/>
        <v>265.93271644413727</v>
      </c>
      <c r="K67" s="115">
        <f t="shared" si="20"/>
        <v>2.9857482657123882</v>
      </c>
      <c r="L67" s="115">
        <f t="shared" si="21"/>
        <v>235.63458537276145</v>
      </c>
      <c r="M67" s="115">
        <f t="shared" si="22"/>
        <v>284.69240790575572</v>
      </c>
      <c r="N67" s="115">
        <f t="shared" si="23"/>
        <v>308.28292370862852</v>
      </c>
      <c r="O67" s="115">
        <f t="shared" si="24"/>
        <v>263.73283062884678</v>
      </c>
      <c r="P67" s="115">
        <f t="shared" si="25"/>
        <v>288.78390871261411</v>
      </c>
      <c r="Q67" s="115">
        <f t="shared" si="26"/>
        <v>34.873032969890339</v>
      </c>
    </row>
    <row r="68" spans="1:17" x14ac:dyDescent="0.25">
      <c r="A68" s="114">
        <f t="shared" ref="A68:A77" si="28">A67</f>
        <v>44571</v>
      </c>
      <c r="B68">
        <f t="shared" ref="B68:B131" si="29">B67</f>
        <v>5.5</v>
      </c>
      <c r="C68" s="109">
        <f t="shared" ref="C68:C131" si="30">C67</f>
        <v>19.066666666666666</v>
      </c>
      <c r="D68" s="109">
        <f t="shared" ref="D68:D131" si="31">D67</f>
        <v>72.86666666666666</v>
      </c>
      <c r="E68" s="107">
        <f t="shared" ref="E68:E131" si="32">A68+H68-B68/24</f>
        <v>44571.385416666672</v>
      </c>
      <c r="F68" s="106">
        <f t="shared" si="27"/>
        <v>44571.301425592661</v>
      </c>
      <c r="G68" t="str">
        <f t="shared" ref="G68:G131" si="33">CHOOSE(WEEKDAY(E68),"Sunday","Monday","Tuesday","Wednesday","Thursday","Friday","Saturday")</f>
        <v>Monday</v>
      </c>
      <c r="H68" s="129">
        <v>0.61458333333332105</v>
      </c>
      <c r="I68" s="115">
        <f t="shared" si="18"/>
        <v>36.839885379487029</v>
      </c>
      <c r="J68" s="115">
        <f t="shared" si="19"/>
        <v>265.9362545061885</v>
      </c>
      <c r="K68" s="115">
        <f t="shared" si="20"/>
        <v>3.028199503253699</v>
      </c>
      <c r="L68" s="115">
        <f t="shared" si="21"/>
        <v>235.63707325473914</v>
      </c>
      <c r="M68" s="115">
        <f t="shared" si="22"/>
        <v>284.6947905925943</v>
      </c>
      <c r="N68" s="115">
        <f t="shared" si="23"/>
        <v>308.28364832488546</v>
      </c>
      <c r="O68" s="115">
        <f t="shared" si="24"/>
        <v>263.73071608224745</v>
      </c>
      <c r="P68" s="115">
        <f t="shared" si="25"/>
        <v>288.78430318142301</v>
      </c>
      <c r="Q68" s="115">
        <f t="shared" si="26"/>
        <v>34.87284896995412</v>
      </c>
    </row>
    <row r="69" spans="1:17" x14ac:dyDescent="0.25">
      <c r="A69" s="114">
        <f t="shared" si="28"/>
        <v>44571</v>
      </c>
      <c r="B69">
        <f t="shared" si="29"/>
        <v>5.5</v>
      </c>
      <c r="C69" s="109">
        <f t="shared" si="30"/>
        <v>19.066666666666666</v>
      </c>
      <c r="D69" s="109">
        <f t="shared" si="31"/>
        <v>72.86666666666666</v>
      </c>
      <c r="E69" s="107">
        <f t="shared" si="32"/>
        <v>44571.388888888891</v>
      </c>
      <c r="F69" s="106">
        <f t="shared" si="27"/>
        <v>44571.301425592661</v>
      </c>
      <c r="G69" t="str">
        <f t="shared" si="33"/>
        <v>Monday</v>
      </c>
      <c r="H69" s="129">
        <v>0.61805555555554303</v>
      </c>
      <c r="I69" s="115">
        <f t="shared" si="18"/>
        <v>38.138065747294092</v>
      </c>
      <c r="J69" s="115">
        <f t="shared" si="19"/>
        <v>265.93979256707098</v>
      </c>
      <c r="K69" s="115">
        <f t="shared" si="20"/>
        <v>3.0706473773454994</v>
      </c>
      <c r="L69" s="115">
        <f t="shared" si="21"/>
        <v>235.63956114426759</v>
      </c>
      <c r="M69" s="115">
        <f t="shared" si="22"/>
        <v>284.69717160850541</v>
      </c>
      <c r="N69" s="115">
        <f t="shared" si="23"/>
        <v>308.28437295659137</v>
      </c>
      <c r="O69" s="115">
        <f t="shared" si="24"/>
        <v>263.72860160739543</v>
      </c>
      <c r="P69" s="115">
        <f t="shared" si="25"/>
        <v>288.78469765565762</v>
      </c>
      <c r="Q69" s="115">
        <f t="shared" si="26"/>
        <v>34.872664969951401</v>
      </c>
    </row>
    <row r="70" spans="1:17" x14ac:dyDescent="0.25">
      <c r="A70" s="114">
        <f t="shared" si="28"/>
        <v>44571</v>
      </c>
      <c r="B70">
        <f t="shared" si="29"/>
        <v>5.5</v>
      </c>
      <c r="C70" s="109">
        <f t="shared" si="30"/>
        <v>19.066666666666666</v>
      </c>
      <c r="D70" s="109">
        <f t="shared" si="31"/>
        <v>72.86666666666666</v>
      </c>
      <c r="E70" s="107">
        <f t="shared" si="32"/>
        <v>44571.392361111117</v>
      </c>
      <c r="F70" s="106">
        <f t="shared" si="27"/>
        <v>44571.301425592661</v>
      </c>
      <c r="G70" t="str">
        <f t="shared" si="33"/>
        <v>Monday</v>
      </c>
      <c r="H70" s="129">
        <v>0.62152777777776502</v>
      </c>
      <c r="I70" s="115">
        <f t="shared" si="18"/>
        <v>39.42758816475088</v>
      </c>
      <c r="J70" s="115">
        <f t="shared" si="19"/>
        <v>265.94333062573378</v>
      </c>
      <c r="K70" s="115">
        <f t="shared" si="20"/>
        <v>3.1130918803397631</v>
      </c>
      <c r="L70" s="115">
        <f t="shared" si="21"/>
        <v>235.64204904087239</v>
      </c>
      <c r="M70" s="115">
        <f t="shared" si="22"/>
        <v>284.69955095208184</v>
      </c>
      <c r="N70" s="115">
        <f t="shared" si="23"/>
        <v>308.28509760387846</v>
      </c>
      <c r="O70" s="115">
        <f t="shared" si="24"/>
        <v>263.72648720508579</v>
      </c>
      <c r="P70" s="115">
        <f t="shared" si="25"/>
        <v>288.78509213625227</v>
      </c>
      <c r="Q70" s="115">
        <f t="shared" si="26"/>
        <v>34.872480969998634</v>
      </c>
    </row>
    <row r="71" spans="1:17" x14ac:dyDescent="0.25">
      <c r="A71" s="114">
        <f t="shared" si="28"/>
        <v>44571</v>
      </c>
      <c r="B71">
        <f t="shared" si="29"/>
        <v>5.5</v>
      </c>
      <c r="C71" s="109">
        <f t="shared" si="30"/>
        <v>19.066666666666666</v>
      </c>
      <c r="D71" s="109">
        <f t="shared" si="31"/>
        <v>72.86666666666666</v>
      </c>
      <c r="E71" s="107">
        <f t="shared" si="32"/>
        <v>44571.395833333336</v>
      </c>
      <c r="F71" s="106">
        <f t="shared" si="27"/>
        <v>44571.301425592661</v>
      </c>
      <c r="G71" t="str">
        <f t="shared" si="33"/>
        <v>Monday</v>
      </c>
      <c r="H71" s="129">
        <v>0.62499999999998701</v>
      </c>
      <c r="I71" s="115">
        <f t="shared" si="18"/>
        <v>40.708631807415529</v>
      </c>
      <c r="J71" s="115">
        <f t="shared" si="19"/>
        <v>265.94686868299527</v>
      </c>
      <c r="K71" s="115">
        <f t="shared" si="20"/>
        <v>3.155533027300959</v>
      </c>
      <c r="L71" s="115">
        <f t="shared" si="21"/>
        <v>235.64453694464308</v>
      </c>
      <c r="M71" s="115">
        <f t="shared" si="22"/>
        <v>284.70192862332124</v>
      </c>
      <c r="N71" s="115">
        <f t="shared" si="23"/>
        <v>308.2858222664147</v>
      </c>
      <c r="O71" s="115">
        <f t="shared" si="24"/>
        <v>263.72437287505693</v>
      </c>
      <c r="P71" s="115">
        <f t="shared" si="25"/>
        <v>288.78548662275762</v>
      </c>
      <c r="Q71" s="115">
        <f t="shared" si="26"/>
        <v>34.872296970029211</v>
      </c>
    </row>
    <row r="72" spans="1:17" x14ac:dyDescent="0.25">
      <c r="A72" s="114">
        <f t="shared" si="28"/>
        <v>44571</v>
      </c>
      <c r="B72">
        <f t="shared" si="29"/>
        <v>5.5</v>
      </c>
      <c r="C72" s="109">
        <f t="shared" si="30"/>
        <v>19.066666666666666</v>
      </c>
      <c r="D72" s="109">
        <f t="shared" si="31"/>
        <v>72.86666666666666</v>
      </c>
      <c r="E72" s="107">
        <f t="shared" si="32"/>
        <v>44571.399305555555</v>
      </c>
      <c r="F72" s="106">
        <f t="shared" si="27"/>
        <v>44571.301425592661</v>
      </c>
      <c r="G72" t="str">
        <f t="shared" si="33"/>
        <v>Monday</v>
      </c>
      <c r="H72" s="129">
        <v>0.628472222222209</v>
      </c>
      <c r="I72" s="115">
        <f t="shared" si="18"/>
        <v>41.98138221483368</v>
      </c>
      <c r="J72" s="115">
        <f t="shared" si="19"/>
        <v>265.95040673808751</v>
      </c>
      <c r="K72" s="115">
        <f t="shared" si="20"/>
        <v>3.1979708105611819</v>
      </c>
      <c r="L72" s="115">
        <f t="shared" si="21"/>
        <v>235.64702485552277</v>
      </c>
      <c r="M72" s="115">
        <f t="shared" si="22"/>
        <v>284.70430462101638</v>
      </c>
      <c r="N72" s="115">
        <f t="shared" si="23"/>
        <v>308.28654694439894</v>
      </c>
      <c r="O72" s="115">
        <f t="shared" si="24"/>
        <v>263.72225861783039</v>
      </c>
      <c r="P72" s="115">
        <f t="shared" si="25"/>
        <v>288.78588111487943</v>
      </c>
      <c r="Q72" s="115">
        <f t="shared" si="26"/>
        <v>34.872112970076401</v>
      </c>
    </row>
    <row r="73" spans="1:17" x14ac:dyDescent="0.25">
      <c r="A73" s="114">
        <f t="shared" si="28"/>
        <v>44571</v>
      </c>
      <c r="B73">
        <f t="shared" si="29"/>
        <v>5.5</v>
      </c>
      <c r="C73" s="109">
        <f t="shared" si="30"/>
        <v>19.066666666666666</v>
      </c>
      <c r="D73" s="109">
        <f t="shared" si="31"/>
        <v>72.86666666666666</v>
      </c>
      <c r="E73" s="107">
        <f t="shared" si="32"/>
        <v>44571.402777777781</v>
      </c>
      <c r="F73" s="106">
        <f t="shared" si="27"/>
        <v>44571.301425592661</v>
      </c>
      <c r="G73" t="str">
        <f t="shared" si="33"/>
        <v>Monday</v>
      </c>
      <c r="H73" s="129">
        <v>0.63194444444443099</v>
      </c>
      <c r="I73" s="115">
        <f t="shared" si="18"/>
        <v>43.24603192003147</v>
      </c>
      <c r="J73" s="115">
        <f t="shared" si="19"/>
        <v>265.95394479190077</v>
      </c>
      <c r="K73" s="115">
        <f t="shared" si="20"/>
        <v>3.2404052451683856</v>
      </c>
      <c r="L73" s="115">
        <f t="shared" si="21"/>
        <v>235.64951277390875</v>
      </c>
      <c r="M73" s="115">
        <f t="shared" si="22"/>
        <v>284.70667894514924</v>
      </c>
      <c r="N73" s="115">
        <f t="shared" si="23"/>
        <v>308.28727163780457</v>
      </c>
      <c r="O73" s="115">
        <f t="shared" si="24"/>
        <v>263.72014443310456</v>
      </c>
      <c r="P73" s="115">
        <f t="shared" si="25"/>
        <v>288.78627561270406</v>
      </c>
      <c r="Q73" s="115">
        <f t="shared" si="26"/>
        <v>34.871928970090373</v>
      </c>
    </row>
    <row r="74" spans="1:17" x14ac:dyDescent="0.25">
      <c r="A74" s="114">
        <f t="shared" si="28"/>
        <v>44571</v>
      </c>
      <c r="B74">
        <f t="shared" si="29"/>
        <v>5.5</v>
      </c>
      <c r="C74" s="109">
        <f t="shared" si="30"/>
        <v>19.066666666666666</v>
      </c>
      <c r="D74" s="109">
        <f t="shared" si="31"/>
        <v>72.86666666666666</v>
      </c>
      <c r="E74" s="107">
        <f t="shared" si="32"/>
        <v>44571.40625</v>
      </c>
      <c r="F74" s="106">
        <f t="shared" si="27"/>
        <v>44571.301425592661</v>
      </c>
      <c r="G74" t="str">
        <f t="shared" si="33"/>
        <v>Monday</v>
      </c>
      <c r="H74" s="129">
        <v>0.63541666666665297</v>
      </c>
      <c r="I74" s="115">
        <f t="shared" si="18"/>
        <v>44.502778367874029</v>
      </c>
      <c r="J74" s="115">
        <f t="shared" si="19"/>
        <v>265.95748284348321</v>
      </c>
      <c r="K74" s="115">
        <f t="shared" si="20"/>
        <v>3.2828363234919733</v>
      </c>
      <c r="L74" s="115">
        <f t="shared" si="21"/>
        <v>235.65200069918151</v>
      </c>
      <c r="M74" s="115">
        <f t="shared" si="22"/>
        <v>284.70905159444595</v>
      </c>
      <c r="N74" s="115">
        <f t="shared" si="23"/>
        <v>308.28799634653598</v>
      </c>
      <c r="O74" s="115">
        <f t="shared" si="24"/>
        <v>263.71803032163854</v>
      </c>
      <c r="P74" s="115">
        <f t="shared" si="25"/>
        <v>288.78667011622696</v>
      </c>
      <c r="Q74" s="115">
        <f t="shared" si="26"/>
        <v>34.871744970170568</v>
      </c>
    </row>
    <row r="75" spans="1:17" x14ac:dyDescent="0.25">
      <c r="A75" s="114">
        <f t="shared" si="28"/>
        <v>44571</v>
      </c>
      <c r="B75">
        <f t="shared" si="29"/>
        <v>5.5</v>
      </c>
      <c r="C75" s="109">
        <f t="shared" si="30"/>
        <v>19.066666666666666</v>
      </c>
      <c r="D75" s="109">
        <f t="shared" si="31"/>
        <v>72.86666666666666</v>
      </c>
      <c r="E75" s="107">
        <f t="shared" si="32"/>
        <v>44571.409722222226</v>
      </c>
      <c r="F75" s="106">
        <f t="shared" si="27"/>
        <v>44571.301425592661</v>
      </c>
      <c r="G75" t="str">
        <f t="shared" si="33"/>
        <v>Monday</v>
      </c>
      <c r="H75" s="129">
        <v>0.63888888888887496</v>
      </c>
      <c r="I75" s="115">
        <f t="shared" si="18"/>
        <v>45.751824432989416</v>
      </c>
      <c r="J75" s="115">
        <f t="shared" si="19"/>
        <v>265.9610208933708</v>
      </c>
      <c r="K75" s="115">
        <f t="shared" si="20"/>
        <v>3.3252640548485681</v>
      </c>
      <c r="L75" s="115">
        <f t="shared" si="21"/>
        <v>235.6544886317929</v>
      </c>
      <c r="M75" s="115">
        <f t="shared" si="22"/>
        <v>284.7114225685948</v>
      </c>
      <c r="N75" s="115">
        <f t="shared" si="23"/>
        <v>308.28872107079508</v>
      </c>
      <c r="O75" s="115">
        <f t="shared" si="24"/>
        <v>263.71591628321369</v>
      </c>
      <c r="P75" s="115">
        <f t="shared" si="25"/>
        <v>288.78706462662484</v>
      </c>
      <c r="Q75" s="115">
        <f t="shared" si="26"/>
        <v>34.871560970217629</v>
      </c>
    </row>
    <row r="76" spans="1:17" x14ac:dyDescent="0.25">
      <c r="A76" s="114">
        <f t="shared" si="28"/>
        <v>44571</v>
      </c>
      <c r="B76">
        <f t="shared" si="29"/>
        <v>5.5</v>
      </c>
      <c r="C76" s="109">
        <f t="shared" si="30"/>
        <v>19.066666666666666</v>
      </c>
      <c r="D76" s="109">
        <f t="shared" si="31"/>
        <v>72.86666666666666</v>
      </c>
      <c r="E76" s="107">
        <f t="shared" si="32"/>
        <v>44571.413194444445</v>
      </c>
      <c r="F76" s="106">
        <f t="shared" si="27"/>
        <v>44571.301425592661</v>
      </c>
      <c r="G76" t="str">
        <f t="shared" si="33"/>
        <v>Monday</v>
      </c>
      <c r="H76" s="129">
        <v>0.64236111111109695</v>
      </c>
      <c r="I76" s="115">
        <f t="shared" si="18"/>
        <v>46.993377266097085</v>
      </c>
      <c r="J76" s="115">
        <f t="shared" si="19"/>
        <v>265.96455894197828</v>
      </c>
      <c r="K76" s="115">
        <f t="shared" si="20"/>
        <v>3.3676884486054761</v>
      </c>
      <c r="L76" s="115">
        <f t="shared" si="21"/>
        <v>235.65697657200806</v>
      </c>
      <c r="M76" s="115">
        <f t="shared" si="22"/>
        <v>284.71379186734106</v>
      </c>
      <c r="N76" s="115">
        <f t="shared" si="23"/>
        <v>308.28944581042981</v>
      </c>
      <c r="O76" s="115">
        <f t="shared" si="24"/>
        <v>263.71380231800629</v>
      </c>
      <c r="P76" s="115">
        <f t="shared" si="25"/>
        <v>288.7874591420985</v>
      </c>
      <c r="Q76" s="115">
        <f t="shared" si="26"/>
        <v>34.871376970198554</v>
      </c>
    </row>
    <row r="77" spans="1:17" x14ac:dyDescent="0.25">
      <c r="A77" s="114">
        <f t="shared" si="28"/>
        <v>44571</v>
      </c>
      <c r="B77">
        <f t="shared" si="29"/>
        <v>5.5</v>
      </c>
      <c r="C77" s="109">
        <f t="shared" si="30"/>
        <v>19.066666666666666</v>
      </c>
      <c r="D77" s="109">
        <f t="shared" si="31"/>
        <v>72.86666666666666</v>
      </c>
      <c r="E77" s="107">
        <f t="shared" si="32"/>
        <v>44571.416666666672</v>
      </c>
      <c r="F77" s="106">
        <f t="shared" si="27"/>
        <v>44571.301425592661</v>
      </c>
      <c r="G77" t="str">
        <f t="shared" si="33"/>
        <v>Monday</v>
      </c>
      <c r="H77" s="129">
        <v>0.64583333333331905</v>
      </c>
      <c r="I77" s="115">
        <f t="shared" si="18"/>
        <v>48.227647195074283</v>
      </c>
      <c r="J77" s="115">
        <f t="shared" si="19"/>
        <v>265.96809698816628</v>
      </c>
      <c r="K77" s="115">
        <f t="shared" si="20"/>
        <v>3.4101094971776056</v>
      </c>
      <c r="L77" s="115">
        <f t="shared" si="21"/>
        <v>235.65946451875132</v>
      </c>
      <c r="M77" s="115">
        <f t="shared" si="22"/>
        <v>284.71615948919481</v>
      </c>
      <c r="N77" s="115">
        <f t="shared" si="23"/>
        <v>308.29017056527738</v>
      </c>
      <c r="O77" s="115">
        <f t="shared" si="24"/>
        <v>263.71168842648996</v>
      </c>
      <c r="P77" s="115">
        <f t="shared" si="25"/>
        <v>288.78785366372182</v>
      </c>
      <c r="Q77" s="115">
        <f t="shared" si="26"/>
        <v>34.871192970262264</v>
      </c>
    </row>
    <row r="78" spans="1:17" x14ac:dyDescent="0.25">
      <c r="A78" s="114">
        <f>A77+1</f>
        <v>44572</v>
      </c>
      <c r="B78">
        <f t="shared" si="29"/>
        <v>5.5</v>
      </c>
      <c r="C78" s="109">
        <f t="shared" si="30"/>
        <v>19.066666666666666</v>
      </c>
      <c r="D78" s="109">
        <f t="shared" si="31"/>
        <v>72.86666666666666</v>
      </c>
      <c r="E78" s="107">
        <f t="shared" si="32"/>
        <v>44572.15625</v>
      </c>
      <c r="F78" s="106">
        <f t="shared" si="27"/>
        <v>44572.301537170228</v>
      </c>
      <c r="G78" t="str">
        <f t="shared" si="33"/>
        <v>Tuesday</v>
      </c>
      <c r="H78" s="129">
        <v>0.38541666666666669</v>
      </c>
      <c r="I78" s="115">
        <f t="shared" si="18"/>
        <v>298.28245012896025</v>
      </c>
      <c r="J78" s="115">
        <f t="shared" si="19"/>
        <v>266.72166045320347</v>
      </c>
      <c r="K78" s="115">
        <f t="shared" si="20"/>
        <v>12.375741081760358</v>
      </c>
      <c r="L78" s="115">
        <f t="shared" si="21"/>
        <v>236.18956206227165</v>
      </c>
      <c r="M78" s="115">
        <f t="shared" si="22"/>
        <v>285.18122457882362</v>
      </c>
      <c r="N78" s="115">
        <f t="shared" si="23"/>
        <v>308.44489221040311</v>
      </c>
      <c r="O78" s="115">
        <f t="shared" si="24"/>
        <v>263.26339602188381</v>
      </c>
      <c r="P78" s="115">
        <f t="shared" si="25"/>
        <v>288.87201931350194</v>
      </c>
      <c r="Q78" s="115">
        <f t="shared" si="26"/>
        <v>34.832000977750397</v>
      </c>
    </row>
    <row r="79" spans="1:17" x14ac:dyDescent="0.25">
      <c r="A79" s="114">
        <f>A78</f>
        <v>44572</v>
      </c>
      <c r="B79">
        <f t="shared" si="29"/>
        <v>5.5</v>
      </c>
      <c r="C79" s="109">
        <f t="shared" si="30"/>
        <v>19.066666666666666</v>
      </c>
      <c r="D79" s="109">
        <f t="shared" si="31"/>
        <v>72.86666666666666</v>
      </c>
      <c r="E79" s="107">
        <f t="shared" si="32"/>
        <v>44572.159722222226</v>
      </c>
      <c r="F79" s="106">
        <f t="shared" si="27"/>
        <v>44572.301537170228</v>
      </c>
      <c r="G79" t="str">
        <f t="shared" si="33"/>
        <v>Tuesday</v>
      </c>
      <c r="H79" s="129">
        <v>0.3888888888888889</v>
      </c>
      <c r="I79" s="115">
        <f t="shared" si="18"/>
        <v>299.75325672233726</v>
      </c>
      <c r="J79" s="115">
        <f t="shared" si="19"/>
        <v>266.72519811772298</v>
      </c>
      <c r="K79" s="115">
        <f t="shared" si="20"/>
        <v>12.417532846765241</v>
      </c>
      <c r="L79" s="115">
        <f t="shared" si="21"/>
        <v>236.1920515576692</v>
      </c>
      <c r="M79" s="115">
        <f t="shared" si="22"/>
        <v>285.18321893867363</v>
      </c>
      <c r="N79" s="115">
        <f t="shared" si="23"/>
        <v>308.44562023161939</v>
      </c>
      <c r="O79" s="115">
        <f t="shared" si="24"/>
        <v>263.26130195688307</v>
      </c>
      <c r="P79" s="115">
        <f t="shared" si="25"/>
        <v>288.87241507349654</v>
      </c>
      <c r="Q79" s="115">
        <f t="shared" si="26"/>
        <v>34.831816977814057</v>
      </c>
    </row>
    <row r="80" spans="1:17" x14ac:dyDescent="0.25">
      <c r="A80" s="114">
        <f t="shared" ref="A80:A143" si="34">A79</f>
        <v>44572</v>
      </c>
      <c r="B80">
        <f t="shared" si="29"/>
        <v>5.5</v>
      </c>
      <c r="C80" s="109">
        <f t="shared" si="30"/>
        <v>19.066666666666666</v>
      </c>
      <c r="D80" s="109">
        <f t="shared" si="31"/>
        <v>72.86666666666666</v>
      </c>
      <c r="E80" s="107">
        <f t="shared" si="32"/>
        <v>44572.163194444445</v>
      </c>
      <c r="F80" s="106">
        <f t="shared" si="27"/>
        <v>44572.301537170228</v>
      </c>
      <c r="G80" t="str">
        <f t="shared" si="33"/>
        <v>Tuesday</v>
      </c>
      <c r="H80" s="129">
        <v>0.39236111111111099</v>
      </c>
      <c r="I80" s="115">
        <f t="shared" si="18"/>
        <v>301.23358604379297</v>
      </c>
      <c r="J80" s="115">
        <f t="shared" si="19"/>
        <v>266.72873578147897</v>
      </c>
      <c r="K80" s="115">
        <f t="shared" si="20"/>
        <v>12.459322081433342</v>
      </c>
      <c r="L80" s="115">
        <f t="shared" si="21"/>
        <v>236.19454106107463</v>
      </c>
      <c r="M80" s="115">
        <f t="shared" si="22"/>
        <v>285.18521148743395</v>
      </c>
      <c r="N80" s="115">
        <f t="shared" si="23"/>
        <v>308.44634826824148</v>
      </c>
      <c r="O80" s="115">
        <f t="shared" si="24"/>
        <v>263.25920800299861</v>
      </c>
      <c r="P80" s="115">
        <f t="shared" si="25"/>
        <v>288.87281083895215</v>
      </c>
      <c r="Q80" s="115">
        <f t="shared" si="26"/>
        <v>34.831632977811559</v>
      </c>
    </row>
    <row r="81" spans="1:17" x14ac:dyDescent="0.25">
      <c r="A81" s="114">
        <f t="shared" si="34"/>
        <v>44572</v>
      </c>
      <c r="B81">
        <f t="shared" si="29"/>
        <v>5.5</v>
      </c>
      <c r="C81" s="109">
        <f t="shared" si="30"/>
        <v>19.066666666666666</v>
      </c>
      <c r="D81" s="109">
        <f t="shared" si="31"/>
        <v>72.86666666666666</v>
      </c>
      <c r="E81" s="107">
        <f t="shared" si="32"/>
        <v>44572.166666666672</v>
      </c>
      <c r="F81" s="106">
        <f t="shared" si="27"/>
        <v>44572.301537170228</v>
      </c>
      <c r="G81" t="str">
        <f t="shared" si="33"/>
        <v>Tuesday</v>
      </c>
      <c r="H81" s="129">
        <v>0.39583333333333298</v>
      </c>
      <c r="I81" s="115">
        <f t="shared" si="18"/>
        <v>302.7232843152521</v>
      </c>
      <c r="J81" s="115">
        <f t="shared" si="19"/>
        <v>266.73227344250569</v>
      </c>
      <c r="K81" s="115">
        <f t="shared" si="20"/>
        <v>12.501108767044459</v>
      </c>
      <c r="L81" s="115">
        <f t="shared" si="21"/>
        <v>236.1970305710679</v>
      </c>
      <c r="M81" s="115">
        <f t="shared" si="22"/>
        <v>285.18720222340636</v>
      </c>
      <c r="N81" s="115">
        <f t="shared" si="23"/>
        <v>308.44707631954589</v>
      </c>
      <c r="O81" s="115">
        <f t="shared" si="24"/>
        <v>263.2571141616578</v>
      </c>
      <c r="P81" s="115">
        <f t="shared" si="25"/>
        <v>288.87320661029088</v>
      </c>
      <c r="Q81" s="115">
        <f t="shared" si="26"/>
        <v>34.831448977842136</v>
      </c>
    </row>
    <row r="82" spans="1:17" x14ac:dyDescent="0.25">
      <c r="A82" s="114">
        <f t="shared" si="34"/>
        <v>44572</v>
      </c>
      <c r="B82">
        <f t="shared" si="29"/>
        <v>5.5</v>
      </c>
      <c r="C82" s="109">
        <f t="shared" si="30"/>
        <v>19.066666666666666</v>
      </c>
      <c r="D82" s="109">
        <f t="shared" si="31"/>
        <v>72.86666666666666</v>
      </c>
      <c r="E82" s="107">
        <f t="shared" si="32"/>
        <v>44572.170138888891</v>
      </c>
      <c r="F82" s="106">
        <f t="shared" si="27"/>
        <v>44572.301537170228</v>
      </c>
      <c r="G82" t="str">
        <f t="shared" si="33"/>
        <v>Tuesday</v>
      </c>
      <c r="H82" s="129">
        <v>0.39930555555555503</v>
      </c>
      <c r="I82" s="115">
        <f t="shared" si="18"/>
        <v>304.22217295081896</v>
      </c>
      <c r="J82" s="115">
        <f t="shared" si="19"/>
        <v>266.73581110218379</v>
      </c>
      <c r="K82" s="115">
        <f t="shared" si="20"/>
        <v>12.542892924108248</v>
      </c>
      <c r="L82" s="115">
        <f t="shared" si="21"/>
        <v>236.19952008859747</v>
      </c>
      <c r="M82" s="115">
        <f t="shared" si="22"/>
        <v>285.18919114673048</v>
      </c>
      <c r="N82" s="115">
        <f t="shared" si="23"/>
        <v>308.44780438631648</v>
      </c>
      <c r="O82" s="115">
        <f t="shared" si="24"/>
        <v>263.25502043188641</v>
      </c>
      <c r="P82" s="115">
        <f t="shared" si="25"/>
        <v>288.87360238747897</v>
      </c>
      <c r="Q82" s="115">
        <f t="shared" si="26"/>
        <v>34.831264977872721</v>
      </c>
    </row>
    <row r="83" spans="1:17" x14ac:dyDescent="0.25">
      <c r="A83" s="114">
        <f t="shared" si="34"/>
        <v>44572</v>
      </c>
      <c r="B83">
        <f t="shared" si="29"/>
        <v>5.5</v>
      </c>
      <c r="C83" s="109">
        <f t="shared" si="30"/>
        <v>19.066666666666666</v>
      </c>
      <c r="D83" s="109">
        <f t="shared" si="31"/>
        <v>72.86666666666666</v>
      </c>
      <c r="E83" s="107">
        <f t="shared" si="32"/>
        <v>44572.173611111117</v>
      </c>
      <c r="F83" s="106">
        <f t="shared" si="27"/>
        <v>44572.301537170228</v>
      </c>
      <c r="G83" t="str">
        <f t="shared" si="33"/>
        <v>Tuesday</v>
      </c>
      <c r="H83" s="129">
        <v>0.40277777777777801</v>
      </c>
      <c r="I83" s="115">
        <f t="shared" si="18"/>
        <v>305.73004653072115</v>
      </c>
      <c r="J83" s="115">
        <f t="shared" si="19"/>
        <v>266.73934875970275</v>
      </c>
      <c r="K83" s="115">
        <f t="shared" si="20"/>
        <v>12.58467454514186</v>
      </c>
      <c r="L83" s="115">
        <f t="shared" si="21"/>
        <v>236.20200961334925</v>
      </c>
      <c r="M83" s="115">
        <f t="shared" si="22"/>
        <v>285.19117825630616</v>
      </c>
      <c r="N83" s="115">
        <f t="shared" si="23"/>
        <v>308.44853246809669</v>
      </c>
      <c r="O83" s="115">
        <f t="shared" si="24"/>
        <v>263.25292681480448</v>
      </c>
      <c r="P83" s="115">
        <f t="shared" si="25"/>
        <v>288.87399817083548</v>
      </c>
      <c r="Q83" s="115">
        <f t="shared" si="26"/>
        <v>34.831080977919783</v>
      </c>
    </row>
    <row r="84" spans="1:17" x14ac:dyDescent="0.25">
      <c r="A84" s="114">
        <f t="shared" si="34"/>
        <v>44572</v>
      </c>
      <c r="B84">
        <f t="shared" si="29"/>
        <v>5.5</v>
      </c>
      <c r="C84" s="109">
        <f t="shared" si="30"/>
        <v>19.066666666666666</v>
      </c>
      <c r="D84" s="109">
        <f t="shared" si="31"/>
        <v>72.86666666666666</v>
      </c>
      <c r="E84" s="107">
        <f t="shared" si="32"/>
        <v>44572.177083333336</v>
      </c>
      <c r="F84" s="106">
        <f t="shared" si="27"/>
        <v>44572.301537170228</v>
      </c>
      <c r="G84" t="str">
        <f t="shared" si="33"/>
        <v>Tuesday</v>
      </c>
      <c r="H84" s="129">
        <v>0.40625</v>
      </c>
      <c r="I84" s="115">
        <f t="shared" si="18"/>
        <v>307.24667409674026</v>
      </c>
      <c r="J84" s="115">
        <f t="shared" si="19"/>
        <v>266.74288641576157</v>
      </c>
      <c r="K84" s="115">
        <f t="shared" si="20"/>
        <v>12.62645364501428</v>
      </c>
      <c r="L84" s="115">
        <f t="shared" si="21"/>
        <v>236.20449914535641</v>
      </c>
      <c r="M84" s="115">
        <f t="shared" si="22"/>
        <v>285.1931635519266</v>
      </c>
      <c r="N84" s="115">
        <f t="shared" si="23"/>
        <v>308.44926056536218</v>
      </c>
      <c r="O84" s="115">
        <f t="shared" si="24"/>
        <v>263.25083330963474</v>
      </c>
      <c r="P84" s="115">
        <f t="shared" si="25"/>
        <v>288.87439395892403</v>
      </c>
      <c r="Q84" s="115">
        <f t="shared" si="26"/>
        <v>34.830896977933776</v>
      </c>
    </row>
    <row r="85" spans="1:17" x14ac:dyDescent="0.25">
      <c r="A85" s="114">
        <f t="shared" si="34"/>
        <v>44572</v>
      </c>
      <c r="B85">
        <f t="shared" si="29"/>
        <v>5.5</v>
      </c>
      <c r="C85" s="109">
        <f t="shared" si="30"/>
        <v>19.066666666666666</v>
      </c>
      <c r="D85" s="109">
        <f t="shared" si="31"/>
        <v>72.86666666666666</v>
      </c>
      <c r="E85" s="107">
        <f t="shared" si="32"/>
        <v>44572.180555555555</v>
      </c>
      <c r="F85" s="106">
        <f t="shared" si="27"/>
        <v>44572.301537170228</v>
      </c>
      <c r="G85" t="str">
        <f t="shared" si="33"/>
        <v>Tuesday</v>
      </c>
      <c r="H85" s="129">
        <v>0.40972222222222199</v>
      </c>
      <c r="I85" s="115">
        <f t="shared" si="18"/>
        <v>308.77179735375796</v>
      </c>
      <c r="J85" s="115">
        <f t="shared" si="19"/>
        <v>266.74642406941928</v>
      </c>
      <c r="K85" s="115">
        <f t="shared" si="20"/>
        <v>12.668230216246165</v>
      </c>
      <c r="L85" s="115">
        <f t="shared" si="21"/>
        <v>236.20698868414414</v>
      </c>
      <c r="M85" s="115">
        <f t="shared" si="22"/>
        <v>285.19514703242248</v>
      </c>
      <c r="N85" s="115">
        <f t="shared" si="23"/>
        <v>308.4499886772241</v>
      </c>
      <c r="O85" s="115">
        <f t="shared" si="24"/>
        <v>263.24873991743294</v>
      </c>
      <c r="P85" s="115">
        <f t="shared" si="25"/>
        <v>288.87478975312575</v>
      </c>
      <c r="Q85" s="115">
        <f t="shared" si="26"/>
        <v>34.830712977997486</v>
      </c>
    </row>
    <row r="86" spans="1:17" x14ac:dyDescent="0.25">
      <c r="A86" s="114">
        <f t="shared" si="34"/>
        <v>44572</v>
      </c>
      <c r="B86">
        <f t="shared" si="29"/>
        <v>5.5</v>
      </c>
      <c r="C86" s="109">
        <f t="shared" si="30"/>
        <v>19.066666666666666</v>
      </c>
      <c r="D86" s="109">
        <f t="shared" si="31"/>
        <v>72.86666666666666</v>
      </c>
      <c r="E86" s="107">
        <f t="shared" si="32"/>
        <v>44572.184027777781</v>
      </c>
      <c r="F86" s="106">
        <f t="shared" si="27"/>
        <v>44572.301537170228</v>
      </c>
      <c r="G86" t="str">
        <f t="shared" si="33"/>
        <v>Tuesday</v>
      </c>
      <c r="H86" s="129">
        <v>0.41319444444444398</v>
      </c>
      <c r="I86" s="115">
        <f t="shared" si="18"/>
        <v>310.30513226420879</v>
      </c>
      <c r="J86" s="115">
        <f t="shared" si="19"/>
        <v>266.74996172187224</v>
      </c>
      <c r="K86" s="115">
        <f t="shared" si="20"/>
        <v>12.710004273729208</v>
      </c>
      <c r="L86" s="115">
        <f t="shared" si="21"/>
        <v>236.20947823074596</v>
      </c>
      <c r="M86" s="115">
        <f t="shared" si="22"/>
        <v>285.19712869788094</v>
      </c>
      <c r="N86" s="115">
        <f t="shared" si="23"/>
        <v>308.45071680439224</v>
      </c>
      <c r="O86" s="115">
        <f t="shared" si="24"/>
        <v>263.24664663765276</v>
      </c>
      <c r="P86" s="115">
        <f t="shared" si="25"/>
        <v>288.87518555261414</v>
      </c>
      <c r="Q86" s="115">
        <f t="shared" si="26"/>
        <v>34.830528978011529</v>
      </c>
    </row>
    <row r="87" spans="1:17" x14ac:dyDescent="0.25">
      <c r="A87" s="114">
        <f t="shared" si="34"/>
        <v>44572</v>
      </c>
      <c r="B87">
        <f t="shared" si="29"/>
        <v>5.5</v>
      </c>
      <c r="C87" s="109">
        <f t="shared" si="30"/>
        <v>19.066666666666666</v>
      </c>
      <c r="D87" s="109">
        <f t="shared" si="31"/>
        <v>72.86666666666666</v>
      </c>
      <c r="E87" s="107">
        <f t="shared" si="32"/>
        <v>44572.1875</v>
      </c>
      <c r="F87" s="106">
        <f t="shared" si="27"/>
        <v>44572.301537170228</v>
      </c>
      <c r="G87" t="str">
        <f t="shared" si="33"/>
        <v>Tuesday</v>
      </c>
      <c r="H87" s="129">
        <v>0.41666666666666702</v>
      </c>
      <c r="I87" s="115">
        <f t="shared" si="18"/>
        <v>311.84636752293642</v>
      </c>
      <c r="J87" s="115">
        <f t="shared" si="19"/>
        <v>266.75349937201543</v>
      </c>
      <c r="K87" s="115">
        <f t="shared" si="20"/>
        <v>12.751775809921769</v>
      </c>
      <c r="L87" s="115">
        <f t="shared" si="21"/>
        <v>236.21196778426574</v>
      </c>
      <c r="M87" s="115">
        <f t="shared" si="22"/>
        <v>285.19910854699526</v>
      </c>
      <c r="N87" s="115">
        <f t="shared" si="23"/>
        <v>308.45144494661724</v>
      </c>
      <c r="O87" s="115">
        <f t="shared" si="24"/>
        <v>263.24455347104418</v>
      </c>
      <c r="P87" s="115">
        <f t="shared" si="25"/>
        <v>288.87558135818819</v>
      </c>
      <c r="Q87" s="115">
        <f t="shared" si="26"/>
        <v>34.830344978042163</v>
      </c>
    </row>
    <row r="88" spans="1:17" x14ac:dyDescent="0.25">
      <c r="A88" s="114">
        <f t="shared" si="34"/>
        <v>44572</v>
      </c>
      <c r="B88">
        <f t="shared" si="29"/>
        <v>5.5</v>
      </c>
      <c r="C88" s="109">
        <f t="shared" si="30"/>
        <v>19.066666666666666</v>
      </c>
      <c r="D88" s="109">
        <f t="shared" si="31"/>
        <v>72.86666666666666</v>
      </c>
      <c r="E88" s="107">
        <f t="shared" si="32"/>
        <v>44572.190972222226</v>
      </c>
      <c r="F88" s="106">
        <f t="shared" si="27"/>
        <v>44572.301537170228</v>
      </c>
      <c r="G88" t="str">
        <f t="shared" si="33"/>
        <v>Tuesday</v>
      </c>
      <c r="H88" s="129">
        <v>0.42013888888888901</v>
      </c>
      <c r="I88" s="115">
        <f t="shared" si="18"/>
        <v>313.39516627466071</v>
      </c>
      <c r="J88" s="115">
        <f t="shared" si="19"/>
        <v>266.75703702037026</v>
      </c>
      <c r="K88" s="115">
        <f t="shared" si="20"/>
        <v>12.793544834169989</v>
      </c>
      <c r="L88" s="115">
        <f t="shared" si="21"/>
        <v>236.21445734503544</v>
      </c>
      <c r="M88" s="115">
        <f t="shared" si="22"/>
        <v>285.20108657949618</v>
      </c>
      <c r="N88" s="115">
        <f t="shared" si="23"/>
        <v>308.45217310412636</v>
      </c>
      <c r="O88" s="115">
        <f t="shared" si="24"/>
        <v>263.24246041745153</v>
      </c>
      <c r="P88" s="115">
        <f t="shared" si="25"/>
        <v>288.87597716932856</v>
      </c>
      <c r="Q88" s="115">
        <f t="shared" si="26"/>
        <v>34.830160978089282</v>
      </c>
    </row>
    <row r="89" spans="1:17" x14ac:dyDescent="0.25">
      <c r="A89" s="114">
        <f t="shared" si="34"/>
        <v>44572</v>
      </c>
      <c r="B89">
        <f t="shared" si="29"/>
        <v>5.5</v>
      </c>
      <c r="C89" s="109">
        <f t="shared" si="30"/>
        <v>19.066666666666666</v>
      </c>
      <c r="D89" s="109">
        <f t="shared" si="31"/>
        <v>72.86666666666666</v>
      </c>
      <c r="E89" s="107">
        <f t="shared" si="32"/>
        <v>44572.194444444445</v>
      </c>
      <c r="F89" s="106">
        <f t="shared" si="27"/>
        <v>44572.301537170228</v>
      </c>
      <c r="G89" t="str">
        <f t="shared" si="33"/>
        <v>Tuesday</v>
      </c>
      <c r="H89" s="129">
        <v>0.42361111111111099</v>
      </c>
      <c r="I89" s="115">
        <f t="shared" si="18"/>
        <v>314.95116594087358</v>
      </c>
      <c r="J89" s="115">
        <f t="shared" si="19"/>
        <v>266.76057466743595</v>
      </c>
      <c r="K89" s="115">
        <f t="shared" si="20"/>
        <v>12.835311355785775</v>
      </c>
      <c r="L89" s="115">
        <f t="shared" si="21"/>
        <v>236.21694691351144</v>
      </c>
      <c r="M89" s="115">
        <f t="shared" si="22"/>
        <v>285.20306279501102</v>
      </c>
      <c r="N89" s="115">
        <f t="shared" si="23"/>
        <v>308.45290127673564</v>
      </c>
      <c r="O89" s="115">
        <f t="shared" si="24"/>
        <v>263.240367476892</v>
      </c>
      <c r="P89" s="115">
        <f t="shared" si="25"/>
        <v>288.87637298657603</v>
      </c>
      <c r="Q89" s="115">
        <f t="shared" si="26"/>
        <v>34.829976978103211</v>
      </c>
    </row>
    <row r="90" spans="1:17" x14ac:dyDescent="0.25">
      <c r="A90" s="114">
        <f t="shared" si="34"/>
        <v>44572</v>
      </c>
      <c r="B90">
        <f t="shared" si="29"/>
        <v>5.5</v>
      </c>
      <c r="C90" s="109">
        <f t="shared" si="30"/>
        <v>19.066666666666666</v>
      </c>
      <c r="D90" s="109">
        <f t="shared" si="31"/>
        <v>72.86666666666666</v>
      </c>
      <c r="E90" s="107">
        <f t="shared" si="32"/>
        <v>44572.197916666672</v>
      </c>
      <c r="F90" s="106">
        <f t="shared" si="27"/>
        <v>44572.301537170228</v>
      </c>
      <c r="G90" t="str">
        <f t="shared" si="33"/>
        <v>Tuesday</v>
      </c>
      <c r="H90" s="129">
        <v>0.42708333333333298</v>
      </c>
      <c r="I90" s="115">
        <f t="shared" si="18"/>
        <v>316.51397821082992</v>
      </c>
      <c r="J90" s="115">
        <f t="shared" si="19"/>
        <v>266.76411231221334</v>
      </c>
      <c r="K90" s="115">
        <f t="shared" si="20"/>
        <v>12.877075367198792</v>
      </c>
      <c r="L90" s="115">
        <f t="shared" si="21"/>
        <v>236.21943648880432</v>
      </c>
      <c r="M90" s="115">
        <f t="shared" si="22"/>
        <v>285.20503719239156</v>
      </c>
      <c r="N90" s="115">
        <f t="shared" si="23"/>
        <v>308.45362946444141</v>
      </c>
      <c r="O90" s="115">
        <f t="shared" si="24"/>
        <v>263.23827465014165</v>
      </c>
      <c r="P90" s="115">
        <f t="shared" si="25"/>
        <v>288.87676880931508</v>
      </c>
      <c r="Q90" s="115">
        <f t="shared" si="26"/>
        <v>34.829792978166985</v>
      </c>
    </row>
    <row r="91" spans="1:17" x14ac:dyDescent="0.25">
      <c r="A91" s="114">
        <f t="shared" si="34"/>
        <v>44572</v>
      </c>
      <c r="B91">
        <f t="shared" si="29"/>
        <v>5.5</v>
      </c>
      <c r="C91" s="109">
        <f t="shared" si="30"/>
        <v>19.066666666666666</v>
      </c>
      <c r="D91" s="109">
        <f t="shared" si="31"/>
        <v>72.86666666666666</v>
      </c>
      <c r="E91" s="107">
        <f t="shared" si="32"/>
        <v>44572.201388888891</v>
      </c>
      <c r="F91" s="106">
        <f t="shared" si="27"/>
        <v>44572.301537170228</v>
      </c>
      <c r="G91" t="str">
        <f t="shared" si="33"/>
        <v>Tuesday</v>
      </c>
      <c r="H91" s="129">
        <v>0.43055555555555503</v>
      </c>
      <c r="I91" s="115">
        <f t="shared" si="18"/>
        <v>318.08319129375042</v>
      </c>
      <c r="J91" s="115">
        <f t="shared" si="19"/>
        <v>266.76764995547859</v>
      </c>
      <c r="K91" s="115">
        <f t="shared" si="20"/>
        <v>12.918836883328622</v>
      </c>
      <c r="L91" s="115">
        <f t="shared" si="21"/>
        <v>236.22192607144422</v>
      </c>
      <c r="M91" s="115">
        <f t="shared" si="22"/>
        <v>285.20700977139649</v>
      </c>
      <c r="N91" s="115">
        <f t="shared" si="23"/>
        <v>308.45435766719066</v>
      </c>
      <c r="O91" s="115">
        <f t="shared" si="24"/>
        <v>263.23618193663589</v>
      </c>
      <c r="P91" s="115">
        <f t="shared" si="25"/>
        <v>288.87716463693795</v>
      </c>
      <c r="Q91" s="115">
        <f t="shared" si="26"/>
        <v>34.829608978197506</v>
      </c>
    </row>
    <row r="92" spans="1:17" x14ac:dyDescent="0.25">
      <c r="A92" s="114">
        <f t="shared" si="34"/>
        <v>44572</v>
      </c>
      <c r="B92">
        <f t="shared" si="29"/>
        <v>5.5</v>
      </c>
      <c r="C92" s="109">
        <f t="shared" si="30"/>
        <v>19.066666666666666</v>
      </c>
      <c r="D92" s="109">
        <f t="shared" si="31"/>
        <v>72.86666666666666</v>
      </c>
      <c r="E92" s="107">
        <f t="shared" si="32"/>
        <v>44572.204861111117</v>
      </c>
      <c r="F92" s="106">
        <f t="shared" si="27"/>
        <v>44572.301537170228</v>
      </c>
      <c r="G92" t="str">
        <f t="shared" si="33"/>
        <v>Tuesday</v>
      </c>
      <c r="H92" s="129">
        <v>0.43402777777777801</v>
      </c>
      <c r="I92" s="115">
        <f t="shared" si="18"/>
        <v>319.65836921850268</v>
      </c>
      <c r="J92" s="115">
        <f t="shared" si="19"/>
        <v>266.77118759658572</v>
      </c>
      <c r="K92" s="115">
        <f t="shared" si="20"/>
        <v>12.960595896685929</v>
      </c>
      <c r="L92" s="115">
        <f t="shared" si="21"/>
        <v>236.2244156612106</v>
      </c>
      <c r="M92" s="115">
        <f t="shared" si="22"/>
        <v>285.2089805310921</v>
      </c>
      <c r="N92" s="115">
        <f t="shared" si="23"/>
        <v>308.45508588504339</v>
      </c>
      <c r="O92" s="115">
        <f t="shared" si="24"/>
        <v>263.23408933725108</v>
      </c>
      <c r="P92" s="115">
        <f t="shared" si="25"/>
        <v>288.87756047118688</v>
      </c>
      <c r="Q92" s="115">
        <f t="shared" si="26"/>
        <v>34.829424978228026</v>
      </c>
    </row>
    <row r="93" spans="1:17" x14ac:dyDescent="0.25">
      <c r="A93" s="114">
        <f t="shared" si="34"/>
        <v>44572</v>
      </c>
      <c r="B93">
        <f t="shared" si="29"/>
        <v>5.5</v>
      </c>
      <c r="C93" s="109">
        <f t="shared" si="30"/>
        <v>19.066666666666666</v>
      </c>
      <c r="D93" s="109">
        <f t="shared" si="31"/>
        <v>72.86666666666666</v>
      </c>
      <c r="E93" s="107">
        <f t="shared" si="32"/>
        <v>44572.208333333336</v>
      </c>
      <c r="F93" s="106">
        <f t="shared" si="27"/>
        <v>44572.301537170228</v>
      </c>
      <c r="G93" t="str">
        <f t="shared" si="33"/>
        <v>Tuesday</v>
      </c>
      <c r="H93" s="129">
        <v>0.4375</v>
      </c>
      <c r="I93" s="115">
        <f t="shared" ref="I93:I156" si="35">(Asdt(C93,D93,E93))</f>
        <v>321.23905466516095</v>
      </c>
      <c r="J93" s="115">
        <f t="shared" ref="J93:J156" si="36">(Planet(E93,0))</f>
        <v>266.77472523635157</v>
      </c>
      <c r="K93" s="115">
        <f t="shared" ref="K93:K156" si="37">(Planet(E93,1))</f>
        <v>13.002352422144739</v>
      </c>
      <c r="L93" s="115">
        <f t="shared" ref="L93:L156" si="38">(Planet(E93,4))</f>
        <v>236.2269052585329</v>
      </c>
      <c r="M93" s="115">
        <f t="shared" ref="M93:M156" si="39">(Planet(E93,2))</f>
        <v>285.21094947125289</v>
      </c>
      <c r="N93" s="115">
        <f t="shared" ref="N93:N156" si="40">(Planet(E93,5))</f>
        <v>308.4558141183594</v>
      </c>
      <c r="O93" s="115">
        <f t="shared" ref="O93:O156" si="41">Planet(E93,3)</f>
        <v>263.23199685153742</v>
      </c>
      <c r="P93" s="115">
        <f t="shared" ref="P93:P156" si="42">Planet(E93,6)</f>
        <v>288.87795631114551</v>
      </c>
      <c r="Q93" s="115">
        <f t="shared" ref="Q93:Q156" si="43">Planet(E93,10)</f>
        <v>34.829240978258667</v>
      </c>
    </row>
    <row r="94" spans="1:17" x14ac:dyDescent="0.25">
      <c r="A94" s="114">
        <f t="shared" si="34"/>
        <v>44572</v>
      </c>
      <c r="B94">
        <f t="shared" si="29"/>
        <v>5.5</v>
      </c>
      <c r="C94" s="109">
        <f t="shared" si="30"/>
        <v>19.066666666666666</v>
      </c>
      <c r="D94" s="109">
        <f t="shared" si="31"/>
        <v>72.86666666666666</v>
      </c>
      <c r="E94" s="107">
        <f t="shared" si="32"/>
        <v>44572.211805555555</v>
      </c>
      <c r="F94" s="106">
        <f t="shared" si="27"/>
        <v>44572.301537170228</v>
      </c>
      <c r="G94" t="str">
        <f t="shared" si="33"/>
        <v>Tuesday</v>
      </c>
      <c r="H94" s="129">
        <v>0.44097222222222199</v>
      </c>
      <c r="I94" s="115">
        <f t="shared" si="35"/>
        <v>322.82476859823231</v>
      </c>
      <c r="J94" s="115">
        <f t="shared" si="36"/>
        <v>266.77826287382356</v>
      </c>
      <c r="K94" s="115">
        <f t="shared" si="37"/>
        <v>13.044106452216246</v>
      </c>
      <c r="L94" s="115">
        <f t="shared" si="38"/>
        <v>236.22939486281641</v>
      </c>
      <c r="M94" s="115">
        <f t="shared" si="39"/>
        <v>285.21291659078827</v>
      </c>
      <c r="N94" s="115">
        <f t="shared" si="40"/>
        <v>308.45654236631361</v>
      </c>
      <c r="O94" s="115">
        <f t="shared" si="41"/>
        <v>263.2299044802507</v>
      </c>
      <c r="P94" s="115">
        <f t="shared" si="42"/>
        <v>288.87835215623102</v>
      </c>
      <c r="Q94" s="115">
        <f t="shared" si="43"/>
        <v>34.829056978305836</v>
      </c>
    </row>
    <row r="95" spans="1:17" x14ac:dyDescent="0.25">
      <c r="A95" s="114">
        <f t="shared" si="34"/>
        <v>44572</v>
      </c>
      <c r="B95">
        <f t="shared" si="29"/>
        <v>5.5</v>
      </c>
      <c r="C95" s="109">
        <f t="shared" si="30"/>
        <v>19.066666666666666</v>
      </c>
      <c r="D95" s="109">
        <f t="shared" si="31"/>
        <v>72.86666666666666</v>
      </c>
      <c r="E95" s="107">
        <f t="shared" si="32"/>
        <v>44572.215277777781</v>
      </c>
      <c r="F95" s="106">
        <f t="shared" si="27"/>
        <v>44572.301537170228</v>
      </c>
      <c r="G95" t="str">
        <f t="shared" si="33"/>
        <v>Tuesday</v>
      </c>
      <c r="H95" s="129">
        <v>0.44444444444444398</v>
      </c>
      <c r="I95" s="115">
        <f t="shared" si="35"/>
        <v>324.415013460713</v>
      </c>
      <c r="J95" s="115">
        <f t="shared" si="36"/>
        <v>266.78180051008991</v>
      </c>
      <c r="K95" s="115">
        <f t="shared" si="37"/>
        <v>13.085858001800968</v>
      </c>
      <c r="L95" s="115">
        <f t="shared" si="38"/>
        <v>236.23188447486223</v>
      </c>
      <c r="M95" s="115">
        <f t="shared" si="39"/>
        <v>285.21488188966953</v>
      </c>
      <c r="N95" s="115">
        <f t="shared" si="40"/>
        <v>308.45727062983809</v>
      </c>
      <c r="O95" s="115">
        <f t="shared" si="41"/>
        <v>263.22781222304661</v>
      </c>
      <c r="P95" s="115">
        <f t="shared" si="42"/>
        <v>288.87874800739189</v>
      </c>
      <c r="Q95" s="115">
        <f t="shared" si="43"/>
        <v>34.828872978319779</v>
      </c>
    </row>
    <row r="96" spans="1:17" x14ac:dyDescent="0.25">
      <c r="A96" s="114">
        <f t="shared" si="34"/>
        <v>44572</v>
      </c>
      <c r="B96">
        <f t="shared" si="29"/>
        <v>5.5</v>
      </c>
      <c r="C96" s="109">
        <f t="shared" si="30"/>
        <v>19.066666666666666</v>
      </c>
      <c r="D96" s="109">
        <f t="shared" si="31"/>
        <v>72.86666666666666</v>
      </c>
      <c r="E96" s="107">
        <f t="shared" si="32"/>
        <v>44572.21875</v>
      </c>
      <c r="F96" s="106">
        <f t="shared" si="27"/>
        <v>44572.301537170228</v>
      </c>
      <c r="G96" t="str">
        <f t="shared" si="33"/>
        <v>Tuesday</v>
      </c>
      <c r="H96" s="129">
        <v>0.44791666666666602</v>
      </c>
      <c r="I96" s="115">
        <f t="shared" si="35"/>
        <v>326.00927312437523</v>
      </c>
      <c r="J96" s="115">
        <f t="shared" si="36"/>
        <v>266.78533814388169</v>
      </c>
      <c r="K96" s="115">
        <f t="shared" si="37"/>
        <v>13.12760706335995</v>
      </c>
      <c r="L96" s="115">
        <f t="shared" si="38"/>
        <v>236.23437409359792</v>
      </c>
      <c r="M96" s="115">
        <f t="shared" si="39"/>
        <v>285.21684536652737</v>
      </c>
      <c r="N96" s="115">
        <f t="shared" si="40"/>
        <v>308.45799890801169</v>
      </c>
      <c r="O96" s="115">
        <f t="shared" si="41"/>
        <v>263.22572008052316</v>
      </c>
      <c r="P96" s="115">
        <f t="shared" si="42"/>
        <v>288.87914386400541</v>
      </c>
      <c r="Q96" s="115">
        <f t="shared" si="43"/>
        <v>34.828688978367019</v>
      </c>
    </row>
    <row r="97" spans="1:17" x14ac:dyDescent="0.25">
      <c r="A97" s="114">
        <f t="shared" si="34"/>
        <v>44572</v>
      </c>
      <c r="B97">
        <f t="shared" si="29"/>
        <v>5.5</v>
      </c>
      <c r="C97" s="109">
        <f t="shared" si="30"/>
        <v>19.066666666666666</v>
      </c>
      <c r="D97" s="109">
        <f t="shared" si="31"/>
        <v>72.86666666666666</v>
      </c>
      <c r="E97" s="107">
        <f t="shared" si="32"/>
        <v>44572.222222222226</v>
      </c>
      <c r="F97" s="106">
        <f t="shared" si="27"/>
        <v>44572.301537170228</v>
      </c>
      <c r="G97" t="str">
        <f t="shared" si="33"/>
        <v>Tuesday</v>
      </c>
      <c r="H97" s="129">
        <v>0.45138888888888801</v>
      </c>
      <c r="I97" s="115">
        <f t="shared" si="35"/>
        <v>327.60701619350743</v>
      </c>
      <c r="J97" s="115">
        <f t="shared" si="36"/>
        <v>266.78887577586005</v>
      </c>
      <c r="K97" s="115">
        <f t="shared" si="37"/>
        <v>13.16935364620095</v>
      </c>
      <c r="L97" s="115">
        <f t="shared" si="38"/>
        <v>236.23686371945576</v>
      </c>
      <c r="M97" s="115">
        <f t="shared" si="39"/>
        <v>285.21880702118023</v>
      </c>
      <c r="N97" s="115">
        <f t="shared" si="40"/>
        <v>308.45872720141631</v>
      </c>
      <c r="O97" s="115">
        <f t="shared" si="41"/>
        <v>263.22362805282717</v>
      </c>
      <c r="P97" s="115">
        <f t="shared" si="42"/>
        <v>288.87953972647733</v>
      </c>
      <c r="Q97" s="115">
        <f t="shared" si="43"/>
        <v>34.828504978430558</v>
      </c>
    </row>
    <row r="98" spans="1:17" x14ac:dyDescent="0.25">
      <c r="A98" s="114">
        <f t="shared" si="34"/>
        <v>44572</v>
      </c>
      <c r="B98">
        <f t="shared" si="29"/>
        <v>5.5</v>
      </c>
      <c r="C98" s="109">
        <f t="shared" si="30"/>
        <v>19.066666666666666</v>
      </c>
      <c r="D98" s="109">
        <f t="shared" si="31"/>
        <v>72.86666666666666</v>
      </c>
      <c r="E98" s="107">
        <f t="shared" si="32"/>
        <v>44572.225694444445</v>
      </c>
      <c r="F98" s="106">
        <f t="shared" si="27"/>
        <v>44572.301537170228</v>
      </c>
      <c r="G98" t="str">
        <f t="shared" si="33"/>
        <v>Tuesday</v>
      </c>
      <c r="H98" s="129">
        <v>0.45486111111110999</v>
      </c>
      <c r="I98" s="115">
        <f t="shared" si="35"/>
        <v>329.20769730910882</v>
      </c>
      <c r="J98" s="115">
        <f t="shared" si="36"/>
        <v>266.79241340656529</v>
      </c>
      <c r="K98" s="115">
        <f t="shared" si="37"/>
        <v>13.211097759579111</v>
      </c>
      <c r="L98" s="115">
        <f t="shared" si="38"/>
        <v>236.23935335308801</v>
      </c>
      <c r="M98" s="115">
        <f t="shared" si="39"/>
        <v>285.22076685325192</v>
      </c>
      <c r="N98" s="115">
        <f t="shared" si="40"/>
        <v>308.4594555102675</v>
      </c>
      <c r="O98" s="115">
        <f t="shared" si="41"/>
        <v>263.22153613951747</v>
      </c>
      <c r="P98" s="115">
        <f t="shared" si="42"/>
        <v>288.87993559425661</v>
      </c>
      <c r="Q98" s="115">
        <f t="shared" si="43"/>
        <v>34.828320978428074</v>
      </c>
    </row>
    <row r="99" spans="1:17" x14ac:dyDescent="0.25">
      <c r="A99" s="114">
        <f t="shared" si="34"/>
        <v>44572</v>
      </c>
      <c r="B99">
        <f t="shared" si="29"/>
        <v>5.5</v>
      </c>
      <c r="C99" s="109">
        <f t="shared" si="30"/>
        <v>19.066666666666666</v>
      </c>
      <c r="D99" s="109">
        <f t="shared" si="31"/>
        <v>72.86666666666666</v>
      </c>
      <c r="E99" s="107">
        <f t="shared" si="32"/>
        <v>44572.229166666672</v>
      </c>
      <c r="F99" s="106">
        <f t="shared" si="27"/>
        <v>44572.301537170228</v>
      </c>
      <c r="G99" t="str">
        <f t="shared" si="33"/>
        <v>Tuesday</v>
      </c>
      <c r="H99" s="129">
        <v>0.45833333333333198</v>
      </c>
      <c r="I99" s="115">
        <f t="shared" si="35"/>
        <v>330.81075857846673</v>
      </c>
      <c r="J99" s="115">
        <f t="shared" si="36"/>
        <v>266.79595103498161</v>
      </c>
      <c r="K99" s="115">
        <f t="shared" si="37"/>
        <v>13.252839396057604</v>
      </c>
      <c r="L99" s="115">
        <f t="shared" si="38"/>
        <v>236.24184299360408</v>
      </c>
      <c r="M99" s="115">
        <f t="shared" si="39"/>
        <v>285.22272486158352</v>
      </c>
      <c r="N99" s="115">
        <f t="shared" si="40"/>
        <v>308.46018383413116</v>
      </c>
      <c r="O99" s="115">
        <f t="shared" si="41"/>
        <v>263.21944434167563</v>
      </c>
      <c r="P99" s="115">
        <f t="shared" si="42"/>
        <v>288.88033146794919</v>
      </c>
      <c r="Q99" s="115">
        <f t="shared" si="43"/>
        <v>34.828136978475285</v>
      </c>
    </row>
    <row r="100" spans="1:17" x14ac:dyDescent="0.25">
      <c r="A100" s="114">
        <f t="shared" si="34"/>
        <v>44572</v>
      </c>
      <c r="B100">
        <f t="shared" si="29"/>
        <v>5.5</v>
      </c>
      <c r="C100" s="109">
        <f t="shared" si="30"/>
        <v>19.066666666666666</v>
      </c>
      <c r="D100" s="109">
        <f t="shared" si="31"/>
        <v>72.86666666666666</v>
      </c>
      <c r="E100" s="107">
        <f t="shared" si="32"/>
        <v>44572.232638888891</v>
      </c>
      <c r="F100" s="106">
        <f t="shared" si="27"/>
        <v>44572.301537170228</v>
      </c>
      <c r="G100" t="str">
        <f t="shared" si="33"/>
        <v>Tuesday</v>
      </c>
      <c r="H100" s="129">
        <v>0.46180555555555403</v>
      </c>
      <c r="I100" s="115">
        <f t="shared" si="35"/>
        <v>332.41563325239053</v>
      </c>
      <c r="J100" s="115">
        <f t="shared" si="36"/>
        <v>266.79948866205137</v>
      </c>
      <c r="K100" s="115">
        <f t="shared" si="37"/>
        <v>13.294578570478857</v>
      </c>
      <c r="L100" s="115">
        <f t="shared" si="38"/>
        <v>236.2443326416975</v>
      </c>
      <c r="M100" s="115">
        <f t="shared" si="39"/>
        <v>285.22468104605446</v>
      </c>
      <c r="N100" s="115">
        <f t="shared" si="40"/>
        <v>308.4609121727388</v>
      </c>
      <c r="O100" s="115">
        <f t="shared" si="41"/>
        <v>263.21735265857592</v>
      </c>
      <c r="P100" s="115">
        <f t="shared" si="42"/>
        <v>288.8807273475835</v>
      </c>
      <c r="Q100" s="115">
        <f t="shared" si="43"/>
        <v>34.827952978522354</v>
      </c>
    </row>
    <row r="101" spans="1:17" x14ac:dyDescent="0.25">
      <c r="A101" s="114">
        <f t="shared" si="34"/>
        <v>44572</v>
      </c>
      <c r="B101">
        <f t="shared" si="29"/>
        <v>5.5</v>
      </c>
      <c r="C101" s="109">
        <f t="shared" si="30"/>
        <v>19.066666666666666</v>
      </c>
      <c r="D101" s="109">
        <f t="shared" si="31"/>
        <v>72.86666666666666</v>
      </c>
      <c r="E101" s="107">
        <f t="shared" si="32"/>
        <v>44572.236111111117</v>
      </c>
      <c r="F101" s="106">
        <f t="shared" si="27"/>
        <v>44572.301537170228</v>
      </c>
      <c r="G101" t="str">
        <f t="shared" si="33"/>
        <v>Tuesday</v>
      </c>
      <c r="H101" s="129">
        <v>0.46527777777777601</v>
      </c>
      <c r="I101" s="115">
        <f t="shared" si="35"/>
        <v>334.02174627719683</v>
      </c>
      <c r="J101" s="115">
        <f t="shared" si="36"/>
        <v>266.80302628696649</v>
      </c>
      <c r="K101" s="115">
        <f t="shared" si="37"/>
        <v>13.336315275359476</v>
      </c>
      <c r="L101" s="115">
        <f t="shared" si="38"/>
        <v>236.24682229692891</v>
      </c>
      <c r="M101" s="115">
        <f t="shared" si="39"/>
        <v>285.22663540558801</v>
      </c>
      <c r="N101" s="115">
        <f t="shared" si="40"/>
        <v>308.46164052686061</v>
      </c>
      <c r="O101" s="115">
        <f t="shared" si="41"/>
        <v>263.21526109134061</v>
      </c>
      <c r="P101" s="115">
        <f t="shared" si="42"/>
        <v>288.88112323313857</v>
      </c>
      <c r="Q101" s="115">
        <f t="shared" si="43"/>
        <v>34.827768978552875</v>
      </c>
    </row>
    <row r="102" spans="1:17" x14ac:dyDescent="0.25">
      <c r="A102" s="114">
        <f t="shared" si="34"/>
        <v>44572</v>
      </c>
      <c r="B102">
        <f t="shared" si="29"/>
        <v>5.5</v>
      </c>
      <c r="C102" s="109">
        <f t="shared" si="30"/>
        <v>19.066666666666666</v>
      </c>
      <c r="D102" s="109">
        <f t="shared" si="31"/>
        <v>72.86666666666666</v>
      </c>
      <c r="E102" s="107">
        <f t="shared" si="32"/>
        <v>44572.239583333336</v>
      </c>
      <c r="F102" s="106">
        <f t="shared" si="27"/>
        <v>44572.301537170228</v>
      </c>
      <c r="G102" t="str">
        <f t="shared" si="33"/>
        <v>Tuesday</v>
      </c>
      <c r="H102" s="129">
        <v>0.468749999999998</v>
      </c>
      <c r="I102" s="115">
        <f t="shared" si="35"/>
        <v>335.62851835077464</v>
      </c>
      <c r="J102" s="115">
        <f t="shared" si="36"/>
        <v>266.80656391029578</v>
      </c>
      <c r="K102" s="115">
        <f t="shared" si="37"/>
        <v>13.378049525583352</v>
      </c>
      <c r="L102" s="115">
        <f t="shared" si="38"/>
        <v>236.24931195938063</v>
      </c>
      <c r="M102" s="115">
        <f t="shared" si="39"/>
        <v>285.22858793993191</v>
      </c>
      <c r="N102" s="115">
        <f t="shared" si="40"/>
        <v>308.46236889572862</v>
      </c>
      <c r="O102" s="115">
        <f t="shared" si="41"/>
        <v>263.21316963913807</v>
      </c>
      <c r="P102" s="115">
        <f t="shared" si="42"/>
        <v>288.88151912367061</v>
      </c>
      <c r="Q102" s="115">
        <f t="shared" si="43"/>
        <v>34.827584978566918</v>
      </c>
    </row>
    <row r="103" spans="1:17" x14ac:dyDescent="0.25">
      <c r="A103" s="114">
        <f t="shared" si="34"/>
        <v>44572</v>
      </c>
      <c r="B103">
        <f t="shared" si="29"/>
        <v>5.5</v>
      </c>
      <c r="C103" s="109">
        <f t="shared" si="30"/>
        <v>19.066666666666666</v>
      </c>
      <c r="D103" s="109">
        <f t="shared" si="31"/>
        <v>72.86666666666666</v>
      </c>
      <c r="E103" s="107">
        <f t="shared" si="32"/>
        <v>44572.243055555555</v>
      </c>
      <c r="F103" s="106">
        <f t="shared" si="27"/>
        <v>44572.301537170228</v>
      </c>
      <c r="G103" t="str">
        <f t="shared" si="33"/>
        <v>Tuesday</v>
      </c>
      <c r="H103" s="129">
        <v>0.47222222222221999</v>
      </c>
      <c r="I103" s="115">
        <f t="shared" si="35"/>
        <v>337.23536658180933</v>
      </c>
      <c r="J103" s="115">
        <f t="shared" si="36"/>
        <v>266.81010153146013</v>
      </c>
      <c r="K103" s="115">
        <f t="shared" si="37"/>
        <v>13.419781313624844</v>
      </c>
      <c r="L103" s="115">
        <f t="shared" si="38"/>
        <v>236.25180162893489</v>
      </c>
      <c r="M103" s="115">
        <f t="shared" si="39"/>
        <v>285.23053864808321</v>
      </c>
      <c r="N103" s="115">
        <f t="shared" si="40"/>
        <v>308.46309728001859</v>
      </c>
      <c r="O103" s="115">
        <f t="shared" si="41"/>
        <v>263.21107830314537</v>
      </c>
      <c r="P103" s="115">
        <f t="shared" si="42"/>
        <v>288.88191502024529</v>
      </c>
      <c r="Q103" s="115">
        <f t="shared" si="43"/>
        <v>34.827400978630592</v>
      </c>
    </row>
    <row r="104" spans="1:17" x14ac:dyDescent="0.25">
      <c r="A104" s="114">
        <f t="shared" si="34"/>
        <v>44572</v>
      </c>
      <c r="B104">
        <f t="shared" si="29"/>
        <v>5.5</v>
      </c>
      <c r="C104" s="109">
        <f t="shared" si="30"/>
        <v>19.066666666666666</v>
      </c>
      <c r="D104" s="109">
        <f t="shared" si="31"/>
        <v>72.86666666666666</v>
      </c>
      <c r="E104" s="107">
        <f t="shared" si="32"/>
        <v>44572.246527777781</v>
      </c>
      <c r="F104" s="106">
        <f t="shared" si="27"/>
        <v>44572.301537170228</v>
      </c>
      <c r="G104" t="str">
        <f t="shared" si="33"/>
        <v>Tuesday</v>
      </c>
      <c r="H104" s="129">
        <v>0.47569444444444198</v>
      </c>
      <c r="I104" s="115">
        <f t="shared" si="35"/>
        <v>338.84170862694452</v>
      </c>
      <c r="J104" s="115">
        <f t="shared" si="36"/>
        <v>266.81363915128537</v>
      </c>
      <c r="K104" s="115">
        <f t="shared" si="37"/>
        <v>13.461510654359556</v>
      </c>
      <c r="L104" s="115">
        <f t="shared" si="38"/>
        <v>236.25429130606045</v>
      </c>
      <c r="M104" s="115">
        <f t="shared" si="39"/>
        <v>285.23248752993135</v>
      </c>
      <c r="N104" s="115">
        <f t="shared" si="40"/>
        <v>308.46382567931335</v>
      </c>
      <c r="O104" s="115">
        <f t="shared" si="41"/>
        <v>263.20898708260677</v>
      </c>
      <c r="P104" s="115">
        <f t="shared" si="42"/>
        <v>288.88231092274975</v>
      </c>
      <c r="Q104" s="115">
        <f t="shared" si="43"/>
        <v>34.827216978644678</v>
      </c>
    </row>
    <row r="105" spans="1:17" x14ac:dyDescent="0.25">
      <c r="A105" s="114">
        <f t="shared" si="34"/>
        <v>44572</v>
      </c>
      <c r="B105">
        <f t="shared" si="29"/>
        <v>5.5</v>
      </c>
      <c r="C105" s="109">
        <f t="shared" si="30"/>
        <v>19.066666666666666</v>
      </c>
      <c r="D105" s="109">
        <f t="shared" si="31"/>
        <v>72.86666666666666</v>
      </c>
      <c r="E105" s="107">
        <f t="shared" si="32"/>
        <v>44572.25</v>
      </c>
      <c r="F105" s="106">
        <f t="shared" si="27"/>
        <v>44572.301537170228</v>
      </c>
      <c r="G105" t="str">
        <f t="shared" si="33"/>
        <v>Tuesday</v>
      </c>
      <c r="H105" s="129">
        <v>0.47916666666666402</v>
      </c>
      <c r="I105" s="115">
        <f t="shared" si="35"/>
        <v>340.44696337470532</v>
      </c>
      <c r="J105" s="115">
        <f t="shared" si="36"/>
        <v>266.81717676881533</v>
      </c>
      <c r="K105" s="115">
        <f t="shared" si="37"/>
        <v>13.503237540316119</v>
      </c>
      <c r="L105" s="115">
        <f t="shared" si="38"/>
        <v>236.25678099011802</v>
      </c>
      <c r="M105" s="115">
        <f t="shared" si="39"/>
        <v>285.23443458429608</v>
      </c>
      <c r="N105" s="115">
        <f t="shared" si="40"/>
        <v>308.46455409369338</v>
      </c>
      <c r="O105" s="115">
        <f t="shared" si="41"/>
        <v>263.20689597858296</v>
      </c>
      <c r="P105" s="115">
        <f t="shared" si="42"/>
        <v>288.88270683046943</v>
      </c>
      <c r="Q105" s="115">
        <f t="shared" si="43"/>
        <v>34.827032978691847</v>
      </c>
    </row>
    <row r="106" spans="1:17" x14ac:dyDescent="0.25">
      <c r="A106" s="114">
        <f t="shared" si="34"/>
        <v>44572</v>
      </c>
      <c r="B106">
        <f t="shared" si="29"/>
        <v>5.5</v>
      </c>
      <c r="C106" s="109">
        <f t="shared" si="30"/>
        <v>19.066666666666666</v>
      </c>
      <c r="D106" s="109">
        <f t="shared" si="31"/>
        <v>72.86666666666666</v>
      </c>
      <c r="E106" s="107">
        <f t="shared" si="32"/>
        <v>44572.253472222226</v>
      </c>
      <c r="F106" s="106">
        <f t="shared" si="27"/>
        <v>44572.301537170228</v>
      </c>
      <c r="G106" t="str">
        <f t="shared" si="33"/>
        <v>Tuesday</v>
      </c>
      <c r="H106" s="129">
        <v>0.48263888888888601</v>
      </c>
      <c r="I106" s="115">
        <f t="shared" si="35"/>
        <v>342.05055485120369</v>
      </c>
      <c r="J106" s="115">
        <f t="shared" si="36"/>
        <v>266.82071438453028</v>
      </c>
      <c r="K106" s="115">
        <f t="shared" si="37"/>
        <v>13.544961980770717</v>
      </c>
      <c r="L106" s="115">
        <f t="shared" si="38"/>
        <v>236.25927068142136</v>
      </c>
      <c r="M106" s="115">
        <f t="shared" si="39"/>
        <v>285.23637981080458</v>
      </c>
      <c r="N106" s="115">
        <f t="shared" si="40"/>
        <v>308.46528252331188</v>
      </c>
      <c r="O106" s="115">
        <f t="shared" si="41"/>
        <v>263.20480499063461</v>
      </c>
      <c r="P106" s="115">
        <f t="shared" si="42"/>
        <v>288.88310274363397</v>
      </c>
      <c r="Q106" s="115">
        <f t="shared" si="43"/>
        <v>34.82684897875545</v>
      </c>
    </row>
    <row r="107" spans="1:17" x14ac:dyDescent="0.25">
      <c r="A107" s="114">
        <f t="shared" si="34"/>
        <v>44572</v>
      </c>
      <c r="B107">
        <f t="shared" si="29"/>
        <v>5.5</v>
      </c>
      <c r="C107" s="109">
        <f t="shared" si="30"/>
        <v>19.066666666666666</v>
      </c>
      <c r="D107" s="109">
        <f t="shared" si="31"/>
        <v>72.86666666666666</v>
      </c>
      <c r="E107" s="107">
        <f t="shared" si="32"/>
        <v>44572.256944444445</v>
      </c>
      <c r="F107" s="106">
        <f t="shared" si="27"/>
        <v>44572.301537170228</v>
      </c>
      <c r="G107" t="str">
        <f t="shared" si="33"/>
        <v>Tuesday</v>
      </c>
      <c r="H107" s="129">
        <v>0.486111111111108</v>
      </c>
      <c r="I107" s="115">
        <f t="shared" si="35"/>
        <v>343.65191391892051</v>
      </c>
      <c r="J107" s="115">
        <f t="shared" si="36"/>
        <v>266.82425199902985</v>
      </c>
      <c r="K107" s="115">
        <f t="shared" si="37"/>
        <v>13.586683984978881</v>
      </c>
      <c r="L107" s="115">
        <f t="shared" si="38"/>
        <v>236.26176038045364</v>
      </c>
      <c r="M107" s="115">
        <f t="shared" si="39"/>
        <v>285.23832320920877</v>
      </c>
      <c r="N107" s="115">
        <f t="shared" si="40"/>
        <v>308.4660109681505</v>
      </c>
      <c r="O107" s="115">
        <f t="shared" si="41"/>
        <v>263.20271411895789</v>
      </c>
      <c r="P107" s="115">
        <f t="shared" si="42"/>
        <v>288.88349866299342</v>
      </c>
      <c r="Q107" s="115">
        <f t="shared" si="43"/>
        <v>34.826664978752902</v>
      </c>
    </row>
    <row r="108" spans="1:17" x14ac:dyDescent="0.25">
      <c r="A108" s="114">
        <f t="shared" si="34"/>
        <v>44572</v>
      </c>
      <c r="B108">
        <f t="shared" si="29"/>
        <v>5.5</v>
      </c>
      <c r="C108" s="109">
        <f t="shared" si="30"/>
        <v>19.066666666666666</v>
      </c>
      <c r="D108" s="109">
        <f t="shared" si="31"/>
        <v>72.86666666666666</v>
      </c>
      <c r="E108" s="107">
        <f t="shared" si="32"/>
        <v>44572.260416666672</v>
      </c>
      <c r="F108" s="106">
        <f t="shared" si="27"/>
        <v>44572.301537170228</v>
      </c>
      <c r="G108" t="str">
        <f t="shared" si="33"/>
        <v>Tuesday</v>
      </c>
      <c r="H108" s="129">
        <v>0.48958333333332998</v>
      </c>
      <c r="I108" s="115">
        <f t="shared" si="35"/>
        <v>345.25047992504682</v>
      </c>
      <c r="J108" s="115">
        <f t="shared" si="36"/>
        <v>266.82778961100064</v>
      </c>
      <c r="K108" s="115">
        <f t="shared" si="37"/>
        <v>13.628403545495683</v>
      </c>
      <c r="L108" s="115">
        <f t="shared" si="38"/>
        <v>236.26425008616607</v>
      </c>
      <c r="M108" s="115">
        <f t="shared" si="39"/>
        <v>285.24026477813266</v>
      </c>
      <c r="N108" s="115">
        <f t="shared" si="40"/>
        <v>308.46673942757991</v>
      </c>
      <c r="O108" s="115">
        <f t="shared" si="41"/>
        <v>263.2006233641132</v>
      </c>
      <c r="P108" s="115">
        <f t="shared" si="42"/>
        <v>288.88389458763152</v>
      </c>
      <c r="Q108" s="115">
        <f t="shared" si="43"/>
        <v>34.826480978816626</v>
      </c>
    </row>
    <row r="109" spans="1:17" x14ac:dyDescent="0.25">
      <c r="A109" s="114">
        <f t="shared" si="34"/>
        <v>44572</v>
      </c>
      <c r="B109">
        <f t="shared" si="29"/>
        <v>5.5</v>
      </c>
      <c r="C109" s="109">
        <f t="shared" si="30"/>
        <v>19.066666666666666</v>
      </c>
      <c r="D109" s="109">
        <f t="shared" si="31"/>
        <v>72.86666666666666</v>
      </c>
      <c r="E109" s="107">
        <f t="shared" si="32"/>
        <v>44572.263888888891</v>
      </c>
      <c r="F109" s="106">
        <f t="shared" si="27"/>
        <v>44572.301537170228</v>
      </c>
      <c r="G109" t="str">
        <f t="shared" si="33"/>
        <v>Tuesday</v>
      </c>
      <c r="H109" s="129">
        <v>0.49305555555555203</v>
      </c>
      <c r="I109" s="115">
        <f t="shared" si="35"/>
        <v>346.84570440575317</v>
      </c>
      <c r="J109" s="115">
        <f t="shared" si="36"/>
        <v>266.83132722174827</v>
      </c>
      <c r="K109" s="115">
        <f t="shared" si="37"/>
        <v>13.670120677095662</v>
      </c>
      <c r="L109" s="115">
        <f t="shared" si="38"/>
        <v>236.26673979947304</v>
      </c>
      <c r="M109" s="115">
        <f t="shared" si="39"/>
        <v>285.24220451767883</v>
      </c>
      <c r="N109" s="115">
        <f t="shared" si="40"/>
        <v>308.46746790226661</v>
      </c>
      <c r="O109" s="115">
        <f t="shared" si="41"/>
        <v>263.19853272586931</v>
      </c>
      <c r="P109" s="115">
        <f t="shared" si="42"/>
        <v>288.88429051846265</v>
      </c>
      <c r="Q109" s="115">
        <f t="shared" si="43"/>
        <v>34.826296978830612</v>
      </c>
    </row>
    <row r="110" spans="1:17" x14ac:dyDescent="0.25">
      <c r="A110" s="114">
        <f t="shared" si="34"/>
        <v>44572</v>
      </c>
      <c r="B110">
        <f t="shared" si="29"/>
        <v>5.5</v>
      </c>
      <c r="C110" s="109">
        <f t="shared" si="30"/>
        <v>19.066666666666666</v>
      </c>
      <c r="D110" s="109">
        <f t="shared" si="31"/>
        <v>72.86666666666666</v>
      </c>
      <c r="E110" s="107">
        <f t="shared" si="32"/>
        <v>44572.267361111117</v>
      </c>
      <c r="F110" s="106">
        <f t="shared" si="27"/>
        <v>44572.301537170228</v>
      </c>
      <c r="G110" t="str">
        <f t="shared" si="33"/>
        <v>Tuesday</v>
      </c>
      <c r="H110" s="129">
        <v>0.49652777777777402</v>
      </c>
      <c r="I110" s="115">
        <f t="shared" si="35"/>
        <v>348.4370514704467</v>
      </c>
      <c r="J110" s="115">
        <f t="shared" si="36"/>
        <v>266.83486483020363</v>
      </c>
      <c r="K110" s="115">
        <f t="shared" si="37"/>
        <v>13.711835372365309</v>
      </c>
      <c r="L110" s="115">
        <f t="shared" si="38"/>
        <v>236.26922951984002</v>
      </c>
      <c r="M110" s="115">
        <f t="shared" si="39"/>
        <v>285.24414242666273</v>
      </c>
      <c r="N110" s="115">
        <f t="shared" si="40"/>
        <v>308.46819639227544</v>
      </c>
      <c r="O110" s="115">
        <f t="shared" si="41"/>
        <v>263.19644220469502</v>
      </c>
      <c r="P110" s="115">
        <f t="shared" si="42"/>
        <v>288.88468645459437</v>
      </c>
      <c r="Q110" s="115">
        <f t="shared" si="43"/>
        <v>34.826112978861175</v>
      </c>
    </row>
    <row r="111" spans="1:17" x14ac:dyDescent="0.25">
      <c r="A111" s="114">
        <f t="shared" si="34"/>
        <v>44572</v>
      </c>
      <c r="B111">
        <f t="shared" si="29"/>
        <v>5.5</v>
      </c>
      <c r="C111" s="109">
        <f t="shared" si="30"/>
        <v>19.066666666666666</v>
      </c>
      <c r="D111" s="109">
        <f t="shared" si="31"/>
        <v>72.86666666666666</v>
      </c>
      <c r="E111" s="107">
        <f t="shared" si="32"/>
        <v>44572.270833333336</v>
      </c>
      <c r="F111" s="106">
        <f t="shared" si="27"/>
        <v>44572.301537170228</v>
      </c>
      <c r="G111" t="str">
        <f t="shared" si="33"/>
        <v>Tuesday</v>
      </c>
      <c r="H111" s="129">
        <v>0.499999999999996</v>
      </c>
      <c r="I111" s="115">
        <f t="shared" si="35"/>
        <v>350.02400149787741</v>
      </c>
      <c r="J111" s="115">
        <f t="shared" si="36"/>
        <v>266.8384024373272</v>
      </c>
      <c r="K111" s="115">
        <f t="shared" si="37"/>
        <v>13.753547646184611</v>
      </c>
      <c r="L111" s="115">
        <f t="shared" si="38"/>
        <v>236.27171924775595</v>
      </c>
      <c r="M111" s="115">
        <f t="shared" si="39"/>
        <v>285.2460785049916</v>
      </c>
      <c r="N111" s="115">
        <f t="shared" si="40"/>
        <v>308.46892489725292</v>
      </c>
      <c r="O111" s="115">
        <f t="shared" si="41"/>
        <v>263.19435180054029</v>
      </c>
      <c r="P111" s="115">
        <f t="shared" si="42"/>
        <v>288.88508239669147</v>
      </c>
      <c r="Q111" s="115">
        <f t="shared" si="43"/>
        <v>34.82592897889171</v>
      </c>
    </row>
    <row r="112" spans="1:17" x14ac:dyDescent="0.25">
      <c r="A112" s="114">
        <f t="shared" si="34"/>
        <v>44572</v>
      </c>
      <c r="B112">
        <f t="shared" si="29"/>
        <v>5.5</v>
      </c>
      <c r="C112" s="109">
        <f t="shared" si="30"/>
        <v>19.066666666666666</v>
      </c>
      <c r="D112" s="109">
        <f t="shared" si="31"/>
        <v>72.86666666666666</v>
      </c>
      <c r="E112" s="107">
        <f t="shared" si="32"/>
        <v>44572.274305555555</v>
      </c>
      <c r="F112" s="106">
        <f t="shared" si="27"/>
        <v>44572.301537170228</v>
      </c>
      <c r="G112" t="str">
        <f t="shared" si="33"/>
        <v>Tuesday</v>
      </c>
      <c r="H112" s="129">
        <v>0.50347222222221799</v>
      </c>
      <c r="I112" s="115">
        <f t="shared" si="35"/>
        <v>351.60605126968369</v>
      </c>
      <c r="J112" s="115">
        <f t="shared" si="36"/>
        <v>266.84194004221769</v>
      </c>
      <c r="K112" s="115">
        <f t="shared" si="37"/>
        <v>13.795257491004323</v>
      </c>
      <c r="L112" s="115">
        <f t="shared" si="38"/>
        <v>236.27420898275409</v>
      </c>
      <c r="M112" s="115">
        <f t="shared" si="39"/>
        <v>285.24801275151049</v>
      </c>
      <c r="N112" s="115">
        <f t="shared" si="40"/>
        <v>308.46965341770613</v>
      </c>
      <c r="O112" s="115">
        <f t="shared" si="41"/>
        <v>263.19226151377728</v>
      </c>
      <c r="P112" s="115">
        <f t="shared" si="42"/>
        <v>288.88547834431512</v>
      </c>
      <c r="Q112" s="115">
        <f t="shared" si="43"/>
        <v>34.82574497895542</v>
      </c>
    </row>
    <row r="113" spans="1:17" x14ac:dyDescent="0.25">
      <c r="A113" s="114">
        <f t="shared" si="34"/>
        <v>44572</v>
      </c>
      <c r="B113">
        <f t="shared" si="29"/>
        <v>5.5</v>
      </c>
      <c r="C113" s="109">
        <f t="shared" si="30"/>
        <v>19.066666666666666</v>
      </c>
      <c r="D113" s="109">
        <f t="shared" si="31"/>
        <v>72.86666666666666</v>
      </c>
      <c r="E113" s="107">
        <f t="shared" si="32"/>
        <v>44572.277777777781</v>
      </c>
      <c r="F113" s="106">
        <f t="shared" si="27"/>
        <v>44572.301537170228</v>
      </c>
      <c r="G113" t="str">
        <f t="shared" si="33"/>
        <v>Tuesday</v>
      </c>
      <c r="H113" s="129">
        <v>0.50694444444443998</v>
      </c>
      <c r="I113" s="115">
        <f t="shared" si="35"/>
        <v>353.18271737430689</v>
      </c>
      <c r="J113" s="115">
        <f t="shared" si="36"/>
        <v>266.84547764576217</v>
      </c>
      <c r="K113" s="115">
        <f t="shared" si="37"/>
        <v>13.836964921697588</v>
      </c>
      <c r="L113" s="115">
        <f t="shared" si="38"/>
        <v>236.27669872521531</v>
      </c>
      <c r="M113" s="115">
        <f t="shared" si="39"/>
        <v>285.24994516614782</v>
      </c>
      <c r="N113" s="115">
        <f t="shared" si="40"/>
        <v>308.47038195271352</v>
      </c>
      <c r="O113" s="115">
        <f t="shared" si="41"/>
        <v>263.1901713443828</v>
      </c>
      <c r="P113" s="115">
        <f t="shared" si="42"/>
        <v>288.88587429786725</v>
      </c>
      <c r="Q113" s="115">
        <f t="shared" si="43"/>
        <v>34.825560978952922</v>
      </c>
    </row>
    <row r="114" spans="1:17" x14ac:dyDescent="0.25">
      <c r="A114" s="114">
        <f t="shared" si="34"/>
        <v>44572</v>
      </c>
      <c r="B114">
        <f t="shared" si="29"/>
        <v>5.5</v>
      </c>
      <c r="C114" s="109">
        <f t="shared" si="30"/>
        <v>19.066666666666666</v>
      </c>
      <c r="D114" s="109">
        <f t="shared" si="31"/>
        <v>72.86666666666666</v>
      </c>
      <c r="E114" s="107">
        <f t="shared" si="32"/>
        <v>44572.28125</v>
      </c>
      <c r="F114" s="106">
        <f t="shared" si="27"/>
        <v>44572.301537170228</v>
      </c>
      <c r="G114" t="str">
        <f t="shared" si="33"/>
        <v>Tuesday</v>
      </c>
      <c r="H114" s="129">
        <v>0.51041666666666197</v>
      </c>
      <c r="I114" s="115">
        <f t="shared" si="35"/>
        <v>354.7535360426794</v>
      </c>
      <c r="J114" s="115">
        <f t="shared" si="36"/>
        <v>266.84901524684039</v>
      </c>
      <c r="K114" s="115">
        <f t="shared" si="37"/>
        <v>13.878669930790872</v>
      </c>
      <c r="L114" s="115">
        <f t="shared" si="38"/>
        <v>236.27918847441109</v>
      </c>
      <c r="M114" s="115">
        <f t="shared" si="39"/>
        <v>285.25187574759184</v>
      </c>
      <c r="N114" s="115">
        <f t="shared" si="40"/>
        <v>308.47111050277289</v>
      </c>
      <c r="O114" s="115">
        <f t="shared" si="41"/>
        <v>263.18808129282422</v>
      </c>
      <c r="P114" s="115">
        <f t="shared" si="42"/>
        <v>288.88627025623072</v>
      </c>
      <c r="Q114" s="115">
        <f t="shared" si="43"/>
        <v>34.825376978999998</v>
      </c>
    </row>
    <row r="115" spans="1:17" x14ac:dyDescent="0.25">
      <c r="A115" s="114">
        <f t="shared" si="34"/>
        <v>44572</v>
      </c>
      <c r="B115">
        <f t="shared" si="29"/>
        <v>5.5</v>
      </c>
      <c r="C115" s="109">
        <f t="shared" si="30"/>
        <v>19.066666666666666</v>
      </c>
      <c r="D115" s="109">
        <f t="shared" si="31"/>
        <v>72.86666666666666</v>
      </c>
      <c r="E115" s="107">
        <f t="shared" si="32"/>
        <v>44572.284722222226</v>
      </c>
      <c r="F115" s="106">
        <f t="shared" si="27"/>
        <v>44572.301537170228</v>
      </c>
      <c r="G115" t="str">
        <f t="shared" si="33"/>
        <v>Tuesday</v>
      </c>
      <c r="H115" s="129">
        <v>0.51388888888888395</v>
      </c>
      <c r="I115" s="115">
        <f t="shared" si="35"/>
        <v>356.31806600466649</v>
      </c>
      <c r="J115" s="115">
        <f t="shared" si="36"/>
        <v>266.8525528462219</v>
      </c>
      <c r="K115" s="115">
        <f t="shared" si="37"/>
        <v>13.920372527555369</v>
      </c>
      <c r="L115" s="115">
        <f t="shared" si="38"/>
        <v>236.28167823099125</v>
      </c>
      <c r="M115" s="115">
        <f t="shared" si="39"/>
        <v>285.25380449572032</v>
      </c>
      <c r="N115" s="115">
        <f t="shared" si="40"/>
        <v>308.47183906832328</v>
      </c>
      <c r="O115" s="115">
        <f t="shared" si="41"/>
        <v>263.18599135921573</v>
      </c>
      <c r="P115" s="115">
        <f t="shared" si="42"/>
        <v>288.88666622118899</v>
      </c>
      <c r="Q115" s="115">
        <f t="shared" si="43"/>
        <v>34.825192979063807</v>
      </c>
    </row>
    <row r="116" spans="1:17" x14ac:dyDescent="0.25">
      <c r="A116" s="114">
        <f t="shared" si="34"/>
        <v>44572</v>
      </c>
      <c r="B116">
        <f t="shared" si="29"/>
        <v>5.5</v>
      </c>
      <c r="C116" s="109">
        <f t="shared" si="30"/>
        <v>19.066666666666666</v>
      </c>
      <c r="D116" s="109">
        <f t="shared" si="31"/>
        <v>72.86666666666666</v>
      </c>
      <c r="E116" s="107">
        <f t="shared" si="32"/>
        <v>44572.288194444445</v>
      </c>
      <c r="F116" s="106">
        <f t="shared" si="27"/>
        <v>44572.301537170228</v>
      </c>
      <c r="G116" t="str">
        <f t="shared" si="33"/>
        <v>Tuesday</v>
      </c>
      <c r="H116" s="129">
        <v>0.51736111111110605</v>
      </c>
      <c r="I116" s="115">
        <f t="shared" si="35"/>
        <v>357.8758890423403</v>
      </c>
      <c r="J116" s="115">
        <f t="shared" si="36"/>
        <v>266.8560904442586</v>
      </c>
      <c r="K116" s="115">
        <f t="shared" si="37"/>
        <v>13.962072721234314</v>
      </c>
      <c r="L116" s="115">
        <f t="shared" si="38"/>
        <v>236.28416799523563</v>
      </c>
      <c r="M116" s="115">
        <f t="shared" si="39"/>
        <v>285.25573141004764</v>
      </c>
      <c r="N116" s="115">
        <f t="shared" si="40"/>
        <v>308.4725676487422</v>
      </c>
      <c r="O116" s="115">
        <f t="shared" si="41"/>
        <v>263.183901543172</v>
      </c>
      <c r="P116" s="115">
        <f t="shared" si="42"/>
        <v>288.88706219131728</v>
      </c>
      <c r="Q116" s="115">
        <f t="shared" si="43"/>
        <v>34.825008979077793</v>
      </c>
    </row>
    <row r="117" spans="1:17" x14ac:dyDescent="0.25">
      <c r="A117" s="114">
        <f t="shared" si="34"/>
        <v>44572</v>
      </c>
      <c r="B117">
        <f t="shared" si="29"/>
        <v>5.5</v>
      </c>
      <c r="C117" s="109">
        <f t="shared" si="30"/>
        <v>19.066666666666666</v>
      </c>
      <c r="D117" s="109">
        <f t="shared" si="31"/>
        <v>72.86666666666666</v>
      </c>
      <c r="E117" s="107">
        <f t="shared" si="32"/>
        <v>44572.291666666672</v>
      </c>
      <c r="F117" s="106">
        <f t="shared" si="27"/>
        <v>44572.301537170228</v>
      </c>
      <c r="G117" t="str">
        <f t="shared" si="33"/>
        <v>Tuesday</v>
      </c>
      <c r="H117" s="129">
        <v>0.52083333333332804</v>
      </c>
      <c r="I117" s="115">
        <f t="shared" si="35"/>
        <v>359.42661038993026</v>
      </c>
      <c r="J117" s="115">
        <f t="shared" si="36"/>
        <v>266.85962804001099</v>
      </c>
      <c r="K117" s="115">
        <f t="shared" si="37"/>
        <v>14.003770504368607</v>
      </c>
      <c r="L117" s="115">
        <f t="shared" si="38"/>
        <v>236.28665776636589</v>
      </c>
      <c r="M117" s="115">
        <f t="shared" si="39"/>
        <v>285.25765648948209</v>
      </c>
      <c r="N117" s="115">
        <f t="shared" si="40"/>
        <v>308.47329624431711</v>
      </c>
      <c r="O117" s="115">
        <f t="shared" si="41"/>
        <v>263.18181184576213</v>
      </c>
      <c r="P117" s="115">
        <f t="shared" si="42"/>
        <v>288.88745816718466</v>
      </c>
      <c r="Q117" s="115">
        <f t="shared" si="43"/>
        <v>34.824824979124919</v>
      </c>
    </row>
    <row r="118" spans="1:17" x14ac:dyDescent="0.25">
      <c r="A118" s="114">
        <f t="shared" si="34"/>
        <v>44572</v>
      </c>
      <c r="B118">
        <f t="shared" si="29"/>
        <v>5.5</v>
      </c>
      <c r="C118" s="109">
        <f t="shared" si="30"/>
        <v>19.066666666666666</v>
      </c>
      <c r="D118" s="109">
        <f t="shared" si="31"/>
        <v>72.86666666666666</v>
      </c>
      <c r="E118" s="107">
        <f t="shared" si="32"/>
        <v>44572.295138888891</v>
      </c>
      <c r="F118" s="106">
        <f t="shared" si="27"/>
        <v>44572.301537170228</v>
      </c>
      <c r="G118" t="str">
        <f t="shared" si="33"/>
        <v>Tuesday</v>
      </c>
      <c r="H118" s="129">
        <v>0.52430555555555003</v>
      </c>
      <c r="I118" s="115">
        <f t="shared" si="35"/>
        <v>0.96986103261686196</v>
      </c>
      <c r="J118" s="115">
        <f t="shared" si="36"/>
        <v>266.86316563453607</v>
      </c>
      <c r="K118" s="115">
        <f t="shared" si="37"/>
        <v>14.045465891823721</v>
      </c>
      <c r="L118" s="115">
        <f t="shared" si="38"/>
        <v>236.2891475452283</v>
      </c>
      <c r="M118" s="115">
        <f t="shared" si="39"/>
        <v>285.2595797339826</v>
      </c>
      <c r="N118" s="115">
        <f t="shared" si="40"/>
        <v>308.47402485510673</v>
      </c>
      <c r="O118" s="115">
        <f t="shared" si="41"/>
        <v>263.17972226629206</v>
      </c>
      <c r="P118" s="115">
        <f t="shared" si="42"/>
        <v>288.88785414887548</v>
      </c>
      <c r="Q118" s="115">
        <f t="shared" si="43"/>
        <v>34.824640979172031</v>
      </c>
    </row>
    <row r="119" spans="1:17" x14ac:dyDescent="0.25">
      <c r="A119" s="114">
        <f t="shared" si="34"/>
        <v>44572</v>
      </c>
      <c r="B119">
        <f t="shared" si="29"/>
        <v>5.5</v>
      </c>
      <c r="C119" s="109">
        <f t="shared" si="30"/>
        <v>19.066666666666666</v>
      </c>
      <c r="D119" s="109">
        <f t="shared" si="31"/>
        <v>72.86666666666666</v>
      </c>
      <c r="E119" s="107">
        <f t="shared" si="32"/>
        <v>44572.298611111117</v>
      </c>
      <c r="F119" s="106">
        <f t="shared" si="27"/>
        <v>44572.301537170228</v>
      </c>
      <c r="G119" t="str">
        <f t="shared" si="33"/>
        <v>Tuesday</v>
      </c>
      <c r="H119" s="129">
        <v>0.52777777777777202</v>
      </c>
      <c r="I119" s="115">
        <f t="shared" si="35"/>
        <v>2.5052967042884298</v>
      </c>
      <c r="J119" s="115">
        <f t="shared" si="36"/>
        <v>266.86670322657949</v>
      </c>
      <c r="K119" s="115">
        <f t="shared" si="37"/>
        <v>14.087158876065606</v>
      </c>
      <c r="L119" s="115">
        <f t="shared" si="38"/>
        <v>236.2916373307269</v>
      </c>
      <c r="M119" s="115">
        <f t="shared" si="39"/>
        <v>285.26150114216887</v>
      </c>
      <c r="N119" s="115">
        <f t="shared" si="40"/>
        <v>308.47475348079234</v>
      </c>
      <c r="O119" s="115">
        <f t="shared" si="41"/>
        <v>263.17763280569352</v>
      </c>
      <c r="P119" s="115">
        <f t="shared" si="42"/>
        <v>288.88825013617918</v>
      </c>
      <c r="Q119" s="115">
        <f t="shared" si="43"/>
        <v>34.82445697921915</v>
      </c>
    </row>
    <row r="120" spans="1:17" x14ac:dyDescent="0.25">
      <c r="A120" s="114">
        <f t="shared" si="34"/>
        <v>44572</v>
      </c>
      <c r="B120">
        <f t="shared" si="29"/>
        <v>5.5</v>
      </c>
      <c r="C120" s="109">
        <f t="shared" si="30"/>
        <v>19.066666666666666</v>
      </c>
      <c r="D120" s="109">
        <f t="shared" si="31"/>
        <v>72.86666666666666</v>
      </c>
      <c r="E120" s="107">
        <f t="shared" si="32"/>
        <v>44572.302083333336</v>
      </c>
      <c r="F120" s="106">
        <f t="shared" si="27"/>
        <v>44572.301537170228</v>
      </c>
      <c r="G120" t="str">
        <f t="shared" si="33"/>
        <v>Tuesday</v>
      </c>
      <c r="H120" s="129">
        <v>0.531249999999994</v>
      </c>
      <c r="I120" s="115">
        <f t="shared" si="35"/>
        <v>4.032600035881714</v>
      </c>
      <c r="J120" s="115">
        <f t="shared" si="36"/>
        <v>266.87024081729413</v>
      </c>
      <c r="K120" s="115">
        <f t="shared" si="37"/>
        <v>14.128849471959144</v>
      </c>
      <c r="L120" s="115">
        <f t="shared" si="38"/>
        <v>236.29412712389953</v>
      </c>
      <c r="M120" s="115">
        <f t="shared" si="39"/>
        <v>285.26342071418117</v>
      </c>
      <c r="N120" s="115">
        <f t="shared" si="40"/>
        <v>308.47548212164156</v>
      </c>
      <c r="O120" s="115">
        <f t="shared" si="41"/>
        <v>263.17554346354598</v>
      </c>
      <c r="P120" s="115">
        <f t="shared" si="42"/>
        <v>288.88864612901938</v>
      </c>
      <c r="Q120" s="115">
        <f t="shared" si="43"/>
        <v>34.824272979200018</v>
      </c>
    </row>
    <row r="121" spans="1:17" x14ac:dyDescent="0.25">
      <c r="A121" s="114">
        <f t="shared" si="34"/>
        <v>44572</v>
      </c>
      <c r="B121">
        <f t="shared" si="29"/>
        <v>5.5</v>
      </c>
      <c r="C121" s="109">
        <f t="shared" si="30"/>
        <v>19.066666666666666</v>
      </c>
      <c r="D121" s="109">
        <f t="shared" si="31"/>
        <v>72.86666666666666</v>
      </c>
      <c r="E121" s="107">
        <f t="shared" si="32"/>
        <v>44572.305555555555</v>
      </c>
      <c r="F121" s="106">
        <f t="shared" si="27"/>
        <v>44572.301537170228</v>
      </c>
      <c r="G121" t="str">
        <f t="shared" si="33"/>
        <v>Tuesday</v>
      </c>
      <c r="H121" s="129">
        <v>0.53472222222221599</v>
      </c>
      <c r="I121" s="115">
        <f t="shared" si="35"/>
        <v>5.5514792230766226</v>
      </c>
      <c r="J121" s="115">
        <f t="shared" si="36"/>
        <v>266.87377840570866</v>
      </c>
      <c r="K121" s="115">
        <f t="shared" si="37"/>
        <v>14.170537672034914</v>
      </c>
      <c r="L121" s="115">
        <f t="shared" si="38"/>
        <v>236.29661692395715</v>
      </c>
      <c r="M121" s="115">
        <f t="shared" si="39"/>
        <v>285.26533844875485</v>
      </c>
      <c r="N121" s="115">
        <f t="shared" si="40"/>
        <v>308.47621077753183</v>
      </c>
      <c r="O121" s="115">
        <f t="shared" si="41"/>
        <v>263.17345424045948</v>
      </c>
      <c r="P121" s="115">
        <f t="shared" si="42"/>
        <v>288.88904212725186</v>
      </c>
      <c r="Q121" s="115">
        <f t="shared" si="43"/>
        <v>34.824088979263784</v>
      </c>
    </row>
    <row r="122" spans="1:17" x14ac:dyDescent="0.25">
      <c r="A122" s="114">
        <f t="shared" si="34"/>
        <v>44572</v>
      </c>
      <c r="B122">
        <f t="shared" si="29"/>
        <v>5.5</v>
      </c>
      <c r="C122" s="109">
        <f t="shared" si="30"/>
        <v>19.066666666666666</v>
      </c>
      <c r="D122" s="109">
        <f t="shared" si="31"/>
        <v>72.86666666666666</v>
      </c>
      <c r="E122" s="107">
        <f t="shared" si="32"/>
        <v>44572.309027777781</v>
      </c>
      <c r="F122" s="106">
        <f t="shared" si="27"/>
        <v>44572.301537170228</v>
      </c>
      <c r="G122" t="str">
        <f t="shared" si="33"/>
        <v>Tuesday</v>
      </c>
      <c r="H122" s="129">
        <v>0.53819444444443798</v>
      </c>
      <c r="I122" s="115">
        <f t="shared" si="35"/>
        <v>7.0616698262005713</v>
      </c>
      <c r="J122" s="115">
        <f t="shared" si="36"/>
        <v>266.87731599290532</v>
      </c>
      <c r="K122" s="115">
        <f t="shared" si="37"/>
        <v>14.212223491134301</v>
      </c>
      <c r="L122" s="115">
        <f t="shared" si="38"/>
        <v>236.29910673179376</v>
      </c>
      <c r="M122" s="115">
        <f t="shared" si="39"/>
        <v>285.26725434591737</v>
      </c>
      <c r="N122" s="115">
        <f t="shared" si="40"/>
        <v>308.47693944861459</v>
      </c>
      <c r="O122" s="115">
        <f t="shared" si="41"/>
        <v>263.17136513619937</v>
      </c>
      <c r="P122" s="115">
        <f t="shared" si="42"/>
        <v>288.88943813187262</v>
      </c>
      <c r="Q122" s="115">
        <f t="shared" si="43"/>
        <v>34.823904979294362</v>
      </c>
    </row>
    <row r="123" spans="1:17" x14ac:dyDescent="0.25">
      <c r="A123" s="114">
        <f t="shared" si="34"/>
        <v>44572</v>
      </c>
      <c r="B123">
        <f t="shared" si="29"/>
        <v>5.5</v>
      </c>
      <c r="C123" s="109">
        <f t="shared" si="30"/>
        <v>19.066666666666666</v>
      </c>
      <c r="D123" s="109">
        <f t="shared" si="31"/>
        <v>72.86666666666666</v>
      </c>
      <c r="E123" s="107">
        <f t="shared" si="32"/>
        <v>44572.3125</v>
      </c>
      <c r="F123" s="106">
        <f t="shared" si="27"/>
        <v>44572.301537170228</v>
      </c>
      <c r="G123" t="str">
        <f t="shared" si="33"/>
        <v>Tuesday</v>
      </c>
      <c r="H123" s="129">
        <v>0.54166666666665997</v>
      </c>
      <c r="I123" s="115">
        <f t="shared" si="35"/>
        <v>8.5629331386332765</v>
      </c>
      <c r="J123" s="115">
        <f t="shared" si="36"/>
        <v>266.88085357775464</v>
      </c>
      <c r="K123" s="115">
        <f t="shared" si="37"/>
        <v>14.253906921741251</v>
      </c>
      <c r="L123" s="115">
        <f t="shared" si="38"/>
        <v>236.30159654644083</v>
      </c>
      <c r="M123" s="115">
        <f t="shared" si="39"/>
        <v>285.26916840442868</v>
      </c>
      <c r="N123" s="115">
        <f t="shared" si="40"/>
        <v>308.47766813450949</v>
      </c>
      <c r="O123" s="115">
        <f t="shared" si="41"/>
        <v>263.16927615155913</v>
      </c>
      <c r="P123" s="115">
        <f t="shared" si="42"/>
        <v>288.88983414211748</v>
      </c>
      <c r="Q123" s="115">
        <f t="shared" si="43"/>
        <v>34.823720979324889</v>
      </c>
    </row>
    <row r="124" spans="1:17" x14ac:dyDescent="0.25">
      <c r="A124" s="114">
        <f t="shared" si="34"/>
        <v>44572</v>
      </c>
      <c r="B124">
        <f t="shared" si="29"/>
        <v>5.5</v>
      </c>
      <c r="C124" s="109">
        <f t="shared" si="30"/>
        <v>19.066666666666666</v>
      </c>
      <c r="D124" s="109">
        <f t="shared" si="31"/>
        <v>72.86666666666666</v>
      </c>
      <c r="E124" s="107">
        <f t="shared" si="32"/>
        <v>44572.315972222226</v>
      </c>
      <c r="F124" s="106">
        <f t="shared" si="27"/>
        <v>44572.301537170228</v>
      </c>
      <c r="G124" t="str">
        <f t="shared" si="33"/>
        <v>Tuesday</v>
      </c>
      <c r="H124" s="129">
        <v>0.54513888888888196</v>
      </c>
      <c r="I124" s="115">
        <f t="shared" si="35"/>
        <v>10.055057469259211</v>
      </c>
      <c r="J124" s="115">
        <f t="shared" si="36"/>
        <v>266.88439116089154</v>
      </c>
      <c r="K124" s="115">
        <f t="shared" si="37"/>
        <v>14.29558797320378</v>
      </c>
      <c r="L124" s="115">
        <f t="shared" si="38"/>
        <v>236.30408636853753</v>
      </c>
      <c r="M124" s="115">
        <f t="shared" si="39"/>
        <v>285.27108062402721</v>
      </c>
      <c r="N124" s="115">
        <f t="shared" si="40"/>
        <v>308.47839683590149</v>
      </c>
      <c r="O124" s="115">
        <f t="shared" si="41"/>
        <v>263.16718728617923</v>
      </c>
      <c r="P124" s="115">
        <f t="shared" si="42"/>
        <v>288.89023015800655</v>
      </c>
      <c r="Q124" s="115">
        <f t="shared" si="43"/>
        <v>34.823536979388592</v>
      </c>
    </row>
    <row r="125" spans="1:17" x14ac:dyDescent="0.25">
      <c r="A125" s="114">
        <f t="shared" si="34"/>
        <v>44572</v>
      </c>
      <c r="B125">
        <f t="shared" si="29"/>
        <v>5.5</v>
      </c>
      <c r="C125" s="109">
        <f t="shared" si="30"/>
        <v>19.066666666666666</v>
      </c>
      <c r="D125" s="109">
        <f t="shared" si="31"/>
        <v>72.86666666666666</v>
      </c>
      <c r="E125" s="107">
        <f t="shared" si="32"/>
        <v>44572.319444444445</v>
      </c>
      <c r="F125" s="106">
        <f t="shared" si="27"/>
        <v>44572.301537170228</v>
      </c>
      <c r="G125" t="str">
        <f t="shared" si="33"/>
        <v>Tuesday</v>
      </c>
      <c r="H125" s="129">
        <v>0.54861111111110406</v>
      </c>
      <c r="I125" s="115">
        <f t="shared" si="35"/>
        <v>11.537857247385244</v>
      </c>
      <c r="J125" s="115">
        <f t="shared" si="36"/>
        <v>266.88792874246064</v>
      </c>
      <c r="K125" s="115">
        <f t="shared" si="37"/>
        <v>14.337266654651543</v>
      </c>
      <c r="L125" s="115">
        <f t="shared" si="38"/>
        <v>236.30657619788516</v>
      </c>
      <c r="M125" s="115">
        <f t="shared" si="39"/>
        <v>285.27299100413131</v>
      </c>
      <c r="N125" s="115">
        <f t="shared" si="40"/>
        <v>308.47912555212906</v>
      </c>
      <c r="O125" s="115">
        <f t="shared" si="41"/>
        <v>263.16509854014157</v>
      </c>
      <c r="P125" s="115">
        <f t="shared" si="42"/>
        <v>288.89062617867069</v>
      </c>
      <c r="Q125" s="115">
        <f t="shared" si="43"/>
        <v>34.823352979402621</v>
      </c>
    </row>
    <row r="126" spans="1:17" x14ac:dyDescent="0.25">
      <c r="A126" s="114">
        <f t="shared" si="34"/>
        <v>44572</v>
      </c>
      <c r="B126">
        <f t="shared" si="29"/>
        <v>5.5</v>
      </c>
      <c r="C126" s="109">
        <f t="shared" si="30"/>
        <v>19.066666666666666</v>
      </c>
      <c r="D126" s="109">
        <f t="shared" si="31"/>
        <v>72.86666666666666</v>
      </c>
      <c r="E126" s="107">
        <f t="shared" si="32"/>
        <v>44572.322916666672</v>
      </c>
      <c r="F126" s="106">
        <f t="shared" si="27"/>
        <v>44572.301537170228</v>
      </c>
      <c r="G126" t="str">
        <f t="shared" si="33"/>
        <v>Tuesday</v>
      </c>
      <c r="H126" s="129">
        <v>0.55208333333332604</v>
      </c>
      <c r="I126" s="115">
        <f t="shared" si="35"/>
        <v>13.011172034349862</v>
      </c>
      <c r="J126" s="115">
        <f t="shared" si="36"/>
        <v>266.89146632184969</v>
      </c>
      <c r="K126" s="115">
        <f t="shared" si="37"/>
        <v>14.378942958712299</v>
      </c>
      <c r="L126" s="115">
        <f t="shared" si="38"/>
        <v>236.30906603429568</v>
      </c>
      <c r="M126" s="115">
        <f t="shared" si="39"/>
        <v>285.27489954382162</v>
      </c>
      <c r="N126" s="115">
        <f t="shared" si="40"/>
        <v>308.47985428326592</v>
      </c>
      <c r="O126" s="115">
        <f t="shared" si="41"/>
        <v>263.16300991417819</v>
      </c>
      <c r="P126" s="115">
        <f t="shared" si="42"/>
        <v>288.89102220562989</v>
      </c>
      <c r="Q126" s="115">
        <f t="shared" si="43"/>
        <v>34.823168979449761</v>
      </c>
    </row>
    <row r="127" spans="1:17" x14ac:dyDescent="0.25">
      <c r="A127" s="114">
        <f t="shared" si="34"/>
        <v>44572</v>
      </c>
      <c r="B127">
        <f t="shared" si="29"/>
        <v>5.5</v>
      </c>
      <c r="C127" s="109">
        <f t="shared" si="30"/>
        <v>19.066666666666666</v>
      </c>
      <c r="D127" s="109">
        <f t="shared" si="31"/>
        <v>72.86666666666666</v>
      </c>
      <c r="E127" s="107">
        <f t="shared" si="32"/>
        <v>44572.326388888891</v>
      </c>
      <c r="F127" s="106">
        <f t="shared" si="27"/>
        <v>44572.301537170228</v>
      </c>
      <c r="G127" t="str">
        <f t="shared" si="33"/>
        <v>Tuesday</v>
      </c>
      <c r="H127" s="129">
        <v>0.55555555555554803</v>
      </c>
      <c r="I127" s="115">
        <f t="shared" si="35"/>
        <v>14.47486739743071</v>
      </c>
      <c r="J127" s="115">
        <f t="shared" si="36"/>
        <v>266.89500389989104</v>
      </c>
      <c r="K127" s="115">
        <f t="shared" si="37"/>
        <v>14.420616900211192</v>
      </c>
      <c r="L127" s="115">
        <f t="shared" si="38"/>
        <v>236.31155587830892</v>
      </c>
      <c r="M127" s="115">
        <f t="shared" si="39"/>
        <v>285.27680624291776</v>
      </c>
      <c r="N127" s="115">
        <f t="shared" si="40"/>
        <v>308.4805830298103</v>
      </c>
      <c r="O127" s="115">
        <f t="shared" si="41"/>
        <v>263.16092140785514</v>
      </c>
      <c r="P127" s="115">
        <f t="shared" si="42"/>
        <v>288.89141823865782</v>
      </c>
      <c r="Q127" s="115">
        <f t="shared" si="43"/>
        <v>34.822984979463797</v>
      </c>
    </row>
    <row r="128" spans="1:17" x14ac:dyDescent="0.25">
      <c r="A128" s="114">
        <f t="shared" si="34"/>
        <v>44572</v>
      </c>
      <c r="B128">
        <f t="shared" si="29"/>
        <v>5.5</v>
      </c>
      <c r="C128" s="109">
        <f t="shared" si="30"/>
        <v>19.066666666666666</v>
      </c>
      <c r="D128" s="109">
        <f t="shared" si="31"/>
        <v>72.86666666666666</v>
      </c>
      <c r="E128" s="107">
        <f t="shared" si="32"/>
        <v>44572.329861111117</v>
      </c>
      <c r="F128" s="106">
        <f t="shared" si="27"/>
        <v>44572.301537170228</v>
      </c>
      <c r="G128" t="str">
        <f t="shared" si="33"/>
        <v>Tuesday</v>
      </c>
      <c r="H128" s="129">
        <v>0.55902777777777002</v>
      </c>
      <c r="I128" s="115">
        <f t="shared" si="35"/>
        <v>15.928832714025269</v>
      </c>
      <c r="J128" s="115">
        <f t="shared" si="36"/>
        <v>266.89854147564262</v>
      </c>
      <c r="K128" s="115">
        <f t="shared" si="37"/>
        <v>14.46228847161813</v>
      </c>
      <c r="L128" s="115">
        <f t="shared" si="38"/>
        <v>236.31404572927443</v>
      </c>
      <c r="M128" s="115">
        <f t="shared" si="39"/>
        <v>285.27871110029173</v>
      </c>
      <c r="N128" s="115">
        <f t="shared" si="40"/>
        <v>308.4813117912056</v>
      </c>
      <c r="O128" s="115">
        <f t="shared" si="41"/>
        <v>263.15883302193174</v>
      </c>
      <c r="P128" s="115">
        <f t="shared" si="42"/>
        <v>288.89181427632491</v>
      </c>
      <c r="Q128" s="115">
        <f t="shared" si="43"/>
        <v>34.822800979510866</v>
      </c>
    </row>
    <row r="129" spans="1:17" x14ac:dyDescent="0.25">
      <c r="A129" s="114">
        <f t="shared" si="34"/>
        <v>44572</v>
      </c>
      <c r="B129">
        <f t="shared" si="29"/>
        <v>5.5</v>
      </c>
      <c r="C129" s="109">
        <f t="shared" si="30"/>
        <v>19.066666666666666</v>
      </c>
      <c r="D129" s="109">
        <f t="shared" si="31"/>
        <v>72.86666666666666</v>
      </c>
      <c r="E129" s="107">
        <f t="shared" si="32"/>
        <v>44572.333333333336</v>
      </c>
      <c r="F129" s="106">
        <f t="shared" si="27"/>
        <v>44572.301537170228</v>
      </c>
      <c r="G129" t="str">
        <f t="shared" si="33"/>
        <v>Tuesday</v>
      </c>
      <c r="H129" s="129">
        <v>0.56249999999999201</v>
      </c>
      <c r="I129" s="115">
        <f t="shared" si="35"/>
        <v>17.372982044042747</v>
      </c>
      <c r="J129" s="115">
        <f t="shared" si="36"/>
        <v>266.90207905004729</v>
      </c>
      <c r="K129" s="115">
        <f t="shared" si="37"/>
        <v>14.503957687775216</v>
      </c>
      <c r="L129" s="115">
        <f t="shared" si="38"/>
        <v>236.31653558779288</v>
      </c>
      <c r="M129" s="115">
        <f t="shared" si="39"/>
        <v>285.28061411586287</v>
      </c>
      <c r="N129" s="115">
        <f t="shared" si="40"/>
        <v>308.48204056815445</v>
      </c>
      <c r="O129" s="115">
        <f t="shared" si="41"/>
        <v>263.15674475609455</v>
      </c>
      <c r="P129" s="115">
        <f t="shared" si="42"/>
        <v>288.89221032008732</v>
      </c>
      <c r="Q129" s="115">
        <f t="shared" si="43"/>
        <v>34.822616979541444</v>
      </c>
    </row>
    <row r="130" spans="1:17" x14ac:dyDescent="0.25">
      <c r="A130" s="114">
        <f t="shared" si="34"/>
        <v>44572</v>
      </c>
      <c r="B130">
        <f t="shared" si="29"/>
        <v>5.5</v>
      </c>
      <c r="C130" s="109">
        <f t="shared" si="30"/>
        <v>19.066666666666666</v>
      </c>
      <c r="D130" s="109">
        <f t="shared" si="31"/>
        <v>72.86666666666666</v>
      </c>
      <c r="E130" s="107">
        <f t="shared" si="32"/>
        <v>44572.336805555555</v>
      </c>
      <c r="F130" s="106">
        <f t="shared" si="27"/>
        <v>44572.301537170228</v>
      </c>
      <c r="G130" t="str">
        <f t="shared" si="33"/>
        <v>Tuesday</v>
      </c>
      <c r="H130" s="129">
        <v>0.56597222222221399</v>
      </c>
      <c r="I130" s="115">
        <f t="shared" si="35"/>
        <v>18.807251787518748</v>
      </c>
      <c r="J130" s="115">
        <f t="shared" si="36"/>
        <v>266.90561662222609</v>
      </c>
      <c r="K130" s="115">
        <f t="shared" si="37"/>
        <v>14.545624541237144</v>
      </c>
      <c r="L130" s="115">
        <f t="shared" si="38"/>
        <v>236.31902545340364</v>
      </c>
      <c r="M130" s="115">
        <f t="shared" si="39"/>
        <v>285.28251528847892</v>
      </c>
      <c r="N130" s="115">
        <f t="shared" si="40"/>
        <v>308.48276935967607</v>
      </c>
      <c r="O130" s="115">
        <f t="shared" si="41"/>
        <v>263.15465661080179</v>
      </c>
      <c r="P130" s="115">
        <f t="shared" si="42"/>
        <v>288.89260637009352</v>
      </c>
      <c r="Q130" s="115">
        <f t="shared" si="43"/>
        <v>34.822432979588569</v>
      </c>
    </row>
    <row r="131" spans="1:17" x14ac:dyDescent="0.25">
      <c r="A131" s="114">
        <f t="shared" si="34"/>
        <v>44572</v>
      </c>
      <c r="B131">
        <f t="shared" si="29"/>
        <v>5.5</v>
      </c>
      <c r="C131" s="109">
        <f t="shared" si="30"/>
        <v>19.066666666666666</v>
      </c>
      <c r="D131" s="109">
        <f t="shared" si="31"/>
        <v>72.86666666666666</v>
      </c>
      <c r="E131" s="107">
        <f t="shared" si="32"/>
        <v>44572.340277777781</v>
      </c>
      <c r="F131" s="106">
        <f t="shared" ref="F131:F194" si="44">sunrise(C131,D131,E131)+B131/24</f>
        <v>44572.301537170228</v>
      </c>
      <c r="G131" t="str">
        <f t="shared" si="33"/>
        <v>Tuesday</v>
      </c>
      <c r="H131" s="129">
        <v>0.56944444444443598</v>
      </c>
      <c r="I131" s="115">
        <f t="shared" si="35"/>
        <v>20.231601395524315</v>
      </c>
      <c r="J131" s="115">
        <f t="shared" si="36"/>
        <v>266.90915419293401</v>
      </c>
      <c r="K131" s="115">
        <f t="shared" si="37"/>
        <v>14.587289046795709</v>
      </c>
      <c r="L131" s="115">
        <f t="shared" si="38"/>
        <v>236.32151532630778</v>
      </c>
      <c r="M131" s="115">
        <f t="shared" si="39"/>
        <v>285.28441461801066</v>
      </c>
      <c r="N131" s="115">
        <f t="shared" si="40"/>
        <v>308.48349816639717</v>
      </c>
      <c r="O131" s="115">
        <f t="shared" si="41"/>
        <v>263.15256858599798</v>
      </c>
      <c r="P131" s="115">
        <f t="shared" si="42"/>
        <v>288.89300242515287</v>
      </c>
      <c r="Q131" s="115">
        <f t="shared" si="43"/>
        <v>34.822248979602605</v>
      </c>
    </row>
    <row r="132" spans="1:17" x14ac:dyDescent="0.25">
      <c r="A132" s="114">
        <f t="shared" si="34"/>
        <v>44572</v>
      </c>
      <c r="B132">
        <f t="shared" ref="B132:B195" si="45">B131</f>
        <v>5.5</v>
      </c>
      <c r="C132" s="109">
        <f t="shared" ref="C132:C195" si="46">C131</f>
        <v>19.066666666666666</v>
      </c>
      <c r="D132" s="109">
        <f t="shared" ref="D132:D195" si="47">D131</f>
        <v>72.86666666666666</v>
      </c>
      <c r="E132" s="107">
        <f t="shared" ref="E132:E195" si="48">A132+H132-B132/24</f>
        <v>44572.34375</v>
      </c>
      <c r="F132" s="106">
        <f t="shared" si="44"/>
        <v>44572.301537170228</v>
      </c>
      <c r="G132" t="str">
        <f t="shared" ref="G132:G195" si="49">CHOOSE(WEEKDAY(E132),"Sunday","Monday","Tuesday","Wednesday","Thursday","Friday","Saturday")</f>
        <v>Tuesday</v>
      </c>
      <c r="H132" s="129">
        <v>0.57291666666665797</v>
      </c>
      <c r="I132" s="115">
        <f t="shared" si="35"/>
        <v>21.646010930840525</v>
      </c>
      <c r="J132" s="115">
        <f t="shared" si="36"/>
        <v>266.91269176140986</v>
      </c>
      <c r="K132" s="115">
        <f t="shared" si="37"/>
        <v>14.628951197004117</v>
      </c>
      <c r="L132" s="115">
        <f t="shared" si="38"/>
        <v>236.3240052062929</v>
      </c>
      <c r="M132" s="115">
        <f t="shared" si="39"/>
        <v>285.28631210337068</v>
      </c>
      <c r="N132" s="115">
        <f t="shared" si="40"/>
        <v>308.48422698830109</v>
      </c>
      <c r="O132" s="115">
        <f t="shared" si="41"/>
        <v>263.15048068226594</v>
      </c>
      <c r="P132" s="115">
        <f t="shared" si="42"/>
        <v>288.89339848606204</v>
      </c>
      <c r="Q132" s="115">
        <f t="shared" si="43"/>
        <v>34.822064979666266</v>
      </c>
    </row>
    <row r="133" spans="1:17" x14ac:dyDescent="0.25">
      <c r="A133" s="114">
        <f t="shared" si="34"/>
        <v>44572</v>
      </c>
      <c r="B133">
        <f t="shared" si="45"/>
        <v>5.5</v>
      </c>
      <c r="C133" s="109">
        <f t="shared" si="46"/>
        <v>19.066666666666666</v>
      </c>
      <c r="D133" s="109">
        <f t="shared" si="47"/>
        <v>72.86666666666666</v>
      </c>
      <c r="E133" s="107">
        <f t="shared" si="48"/>
        <v>44572.347222222226</v>
      </c>
      <c r="F133" s="106">
        <f t="shared" si="44"/>
        <v>44572.301537170228</v>
      </c>
      <c r="G133" t="str">
        <f t="shared" si="49"/>
        <v>Tuesday</v>
      </c>
      <c r="H133" s="129">
        <v>0.57638888888887996</v>
      </c>
      <c r="I133" s="115">
        <f t="shared" si="35"/>
        <v>23.050481473331008</v>
      </c>
      <c r="J133" s="115">
        <f t="shared" si="36"/>
        <v>266.91622932805899</v>
      </c>
      <c r="K133" s="115">
        <f t="shared" si="37"/>
        <v>14.6706110011073</v>
      </c>
      <c r="L133" s="115">
        <f t="shared" si="38"/>
        <v>236.32649509349366</v>
      </c>
      <c r="M133" s="115">
        <f t="shared" si="39"/>
        <v>285.28820774417346</v>
      </c>
      <c r="N133" s="115">
        <f t="shared" si="40"/>
        <v>308.48495582490585</v>
      </c>
      <c r="O133" s="115">
        <f t="shared" si="41"/>
        <v>263.14839289951271</v>
      </c>
      <c r="P133" s="115">
        <f t="shared" si="42"/>
        <v>288.89379455236758</v>
      </c>
      <c r="Q133" s="115">
        <f t="shared" si="43"/>
        <v>34.821880979713434</v>
      </c>
    </row>
    <row r="134" spans="1:17" x14ac:dyDescent="0.25">
      <c r="A134" s="114">
        <f t="shared" si="34"/>
        <v>44572</v>
      </c>
      <c r="B134">
        <f t="shared" si="45"/>
        <v>5.5</v>
      </c>
      <c r="C134" s="109">
        <f t="shared" si="46"/>
        <v>19.066666666666666</v>
      </c>
      <c r="D134" s="109">
        <f t="shared" si="47"/>
        <v>72.86666666666666</v>
      </c>
      <c r="E134" s="107">
        <f t="shared" si="48"/>
        <v>44572.350694444445</v>
      </c>
      <c r="F134" s="106">
        <f t="shared" si="44"/>
        <v>44572.301537170228</v>
      </c>
      <c r="G134" t="str">
        <f t="shared" si="49"/>
        <v>Tuesday</v>
      </c>
      <c r="H134" s="129">
        <v>0.57986111111110095</v>
      </c>
      <c r="I134" s="115">
        <f t="shared" si="35"/>
        <v>24.445033567963062</v>
      </c>
      <c r="J134" s="115">
        <f t="shared" si="36"/>
        <v>266.91976689336911</v>
      </c>
      <c r="K134" s="115">
        <f t="shared" si="37"/>
        <v>14.712268468366583</v>
      </c>
      <c r="L134" s="115">
        <f t="shared" si="38"/>
        <v>236.32898498832654</v>
      </c>
      <c r="M134" s="115">
        <f t="shared" si="39"/>
        <v>285.29010154008148</v>
      </c>
      <c r="N134" s="115">
        <f t="shared" si="40"/>
        <v>308.48568467700278</v>
      </c>
      <c r="O134" s="115">
        <f t="shared" si="41"/>
        <v>263.14630523763884</v>
      </c>
      <c r="P134" s="115">
        <f t="shared" si="42"/>
        <v>288.89419062453157</v>
      </c>
      <c r="Q134" s="115">
        <f t="shared" si="43"/>
        <v>34.82169697972742</v>
      </c>
    </row>
    <row r="135" spans="1:17" x14ac:dyDescent="0.25">
      <c r="A135" s="114">
        <f t="shared" si="34"/>
        <v>44572</v>
      </c>
      <c r="B135">
        <f t="shared" si="45"/>
        <v>5.5</v>
      </c>
      <c r="C135" s="109">
        <f t="shared" si="46"/>
        <v>19.066666666666666</v>
      </c>
      <c r="D135" s="109">
        <f t="shared" si="47"/>
        <v>72.86666666666666</v>
      </c>
      <c r="E135" s="107">
        <f t="shared" si="48"/>
        <v>44572.354166666672</v>
      </c>
      <c r="F135" s="106">
        <f t="shared" si="44"/>
        <v>44572.301537170228</v>
      </c>
      <c r="G135" t="str">
        <f t="shared" si="49"/>
        <v>Tuesday</v>
      </c>
      <c r="H135" s="129">
        <v>0.58333333333332305</v>
      </c>
      <c r="I135" s="115">
        <f t="shared" si="35"/>
        <v>25.829705673964707</v>
      </c>
      <c r="J135" s="115">
        <f t="shared" si="36"/>
        <v>266.9233044564433</v>
      </c>
      <c r="K135" s="115">
        <f t="shared" si="37"/>
        <v>14.75392359125868</v>
      </c>
      <c r="L135" s="115">
        <f t="shared" si="38"/>
        <v>236.33147489018532</v>
      </c>
      <c r="M135" s="115">
        <f t="shared" si="39"/>
        <v>285.29199348994666</v>
      </c>
      <c r="N135" s="115">
        <f t="shared" si="40"/>
        <v>308.48641354389974</v>
      </c>
      <c r="O135" s="115">
        <f t="shared" si="41"/>
        <v>263.14421769736163</v>
      </c>
      <c r="P135" s="115">
        <f t="shared" si="42"/>
        <v>288.89458670292976</v>
      </c>
      <c r="Q135" s="115">
        <f t="shared" si="43"/>
        <v>34.821512979758062</v>
      </c>
    </row>
    <row r="136" spans="1:17" x14ac:dyDescent="0.25">
      <c r="A136" s="114">
        <f t="shared" si="34"/>
        <v>44572</v>
      </c>
      <c r="B136">
        <f t="shared" si="45"/>
        <v>5.5</v>
      </c>
      <c r="C136" s="109">
        <f t="shared" si="46"/>
        <v>19.066666666666666</v>
      </c>
      <c r="D136" s="109">
        <f t="shared" si="47"/>
        <v>72.86666666666666</v>
      </c>
      <c r="E136" s="107">
        <f t="shared" si="48"/>
        <v>44572.357638888891</v>
      </c>
      <c r="F136" s="106">
        <f t="shared" si="44"/>
        <v>44572.301537170228</v>
      </c>
      <c r="G136" t="str">
        <f t="shared" si="49"/>
        <v>Tuesday</v>
      </c>
      <c r="H136" s="129">
        <v>0.58680555555554503</v>
      </c>
      <c r="I136" s="115">
        <f t="shared" si="35"/>
        <v>27.204554466055438</v>
      </c>
      <c r="J136" s="115">
        <f t="shared" si="36"/>
        <v>266.92684201816274</v>
      </c>
      <c r="K136" s="115">
        <f t="shared" si="37"/>
        <v>14.795576384627502</v>
      </c>
      <c r="L136" s="115">
        <f t="shared" si="38"/>
        <v>236.33396479966311</v>
      </c>
      <c r="M136" s="115">
        <f t="shared" si="39"/>
        <v>285.29388359369466</v>
      </c>
      <c r="N136" s="115">
        <f t="shared" si="40"/>
        <v>308.48714242610163</v>
      </c>
      <c r="O136" s="115">
        <f t="shared" si="41"/>
        <v>263.14213027838605</v>
      </c>
      <c r="P136" s="115">
        <f t="shared" si="42"/>
        <v>288.89498278651291</v>
      </c>
      <c r="Q136" s="115">
        <f t="shared" si="43"/>
        <v>34.821328979788596</v>
      </c>
    </row>
    <row r="137" spans="1:17" x14ac:dyDescent="0.25">
      <c r="A137" s="114">
        <f t="shared" si="34"/>
        <v>44572</v>
      </c>
      <c r="B137">
        <f t="shared" si="45"/>
        <v>5.5</v>
      </c>
      <c r="C137" s="109">
        <f t="shared" si="46"/>
        <v>19.066666666666666</v>
      </c>
      <c r="D137" s="109">
        <f t="shared" si="47"/>
        <v>72.86666666666666</v>
      </c>
      <c r="E137" s="107">
        <f t="shared" si="48"/>
        <v>44572.361111111117</v>
      </c>
      <c r="F137" s="106">
        <f t="shared" si="44"/>
        <v>44572.301537170228</v>
      </c>
      <c r="G137" t="str">
        <f t="shared" si="49"/>
        <v>Tuesday</v>
      </c>
      <c r="H137" s="129">
        <v>0.59027777777776702</v>
      </c>
      <c r="I137" s="115">
        <f t="shared" si="35"/>
        <v>28.569652330317737</v>
      </c>
      <c r="J137" s="115">
        <f t="shared" si="36"/>
        <v>266.9303795774228</v>
      </c>
      <c r="K137" s="115">
        <f t="shared" si="37"/>
        <v>14.837226841032637</v>
      </c>
      <c r="L137" s="115">
        <f t="shared" si="38"/>
        <v>236.3364547157166</v>
      </c>
      <c r="M137" s="115">
        <f t="shared" si="39"/>
        <v>285.29577185005098</v>
      </c>
      <c r="N137" s="115">
        <f t="shared" si="40"/>
        <v>308.48787132312384</v>
      </c>
      <c r="O137" s="115">
        <f t="shared" si="41"/>
        <v>263.14004298138713</v>
      </c>
      <c r="P137" s="115">
        <f t="shared" si="42"/>
        <v>288.89537887558629</v>
      </c>
      <c r="Q137" s="115">
        <f t="shared" si="43"/>
        <v>34.821144979835708</v>
      </c>
    </row>
    <row r="138" spans="1:17" x14ac:dyDescent="0.25">
      <c r="A138" s="114">
        <f t="shared" si="34"/>
        <v>44572</v>
      </c>
      <c r="B138">
        <f t="shared" si="45"/>
        <v>5.5</v>
      </c>
      <c r="C138" s="109">
        <f t="shared" si="46"/>
        <v>19.066666666666666</v>
      </c>
      <c r="D138" s="109">
        <f t="shared" si="47"/>
        <v>72.86666666666666</v>
      </c>
      <c r="E138" s="107">
        <f t="shared" si="48"/>
        <v>44572.364583333336</v>
      </c>
      <c r="F138" s="106">
        <f t="shared" si="44"/>
        <v>44572.301537170228</v>
      </c>
      <c r="G138" t="str">
        <f t="shared" si="49"/>
        <v>Tuesday</v>
      </c>
      <c r="H138" s="129">
        <v>0.59374999999998901</v>
      </c>
      <c r="I138" s="115">
        <f t="shared" si="35"/>
        <v>29.925087830390286</v>
      </c>
      <c r="J138" s="115">
        <f t="shared" si="36"/>
        <v>266.93391713544878</v>
      </c>
      <c r="K138" s="115">
        <f t="shared" si="37"/>
        <v>14.878874975248461</v>
      </c>
      <c r="L138" s="115">
        <f t="shared" si="38"/>
        <v>236.33894463957239</v>
      </c>
      <c r="M138" s="115">
        <f t="shared" si="39"/>
        <v>285.2976582590905</v>
      </c>
      <c r="N138" s="115">
        <f t="shared" si="40"/>
        <v>308.48860023539095</v>
      </c>
      <c r="O138" s="115">
        <f t="shared" si="41"/>
        <v>263.13795580582689</v>
      </c>
      <c r="P138" s="115">
        <f t="shared" si="42"/>
        <v>288.8957749705944</v>
      </c>
      <c r="Q138" s="115">
        <f t="shared" si="43"/>
        <v>34.820960979849751</v>
      </c>
    </row>
    <row r="139" spans="1:17" x14ac:dyDescent="0.25">
      <c r="A139" s="114">
        <f t="shared" si="34"/>
        <v>44572</v>
      </c>
      <c r="B139">
        <f t="shared" si="45"/>
        <v>5.5</v>
      </c>
      <c r="C139" s="109">
        <f t="shared" si="46"/>
        <v>19.066666666666666</v>
      </c>
      <c r="D139" s="109">
        <f t="shared" si="47"/>
        <v>72.86666666666666</v>
      </c>
      <c r="E139" s="107">
        <f t="shared" si="48"/>
        <v>44572.368055555555</v>
      </c>
      <c r="F139" s="106">
        <f t="shared" si="44"/>
        <v>44572.301537170228</v>
      </c>
      <c r="G139" t="str">
        <f t="shared" si="49"/>
        <v>Tuesday</v>
      </c>
      <c r="H139" s="129">
        <v>0.597222222222211</v>
      </c>
      <c r="I139" s="115">
        <f t="shared" si="35"/>
        <v>31.270963233465196</v>
      </c>
      <c r="J139" s="115">
        <f t="shared" si="36"/>
        <v>266.93745469118079</v>
      </c>
      <c r="K139" s="115">
        <f t="shared" si="37"/>
        <v>14.920520779830991</v>
      </c>
      <c r="L139" s="115">
        <f t="shared" si="38"/>
        <v>236.34143457037632</v>
      </c>
      <c r="M139" s="115">
        <f t="shared" si="39"/>
        <v>285.29954281961864</v>
      </c>
      <c r="N139" s="115">
        <f t="shared" si="40"/>
        <v>308.48932916255671</v>
      </c>
      <c r="O139" s="115">
        <f t="shared" si="41"/>
        <v>263.13586875274751</v>
      </c>
      <c r="P139" s="115">
        <f t="shared" si="42"/>
        <v>288.89617106997923</v>
      </c>
      <c r="Q139" s="115">
        <f t="shared" si="43"/>
        <v>34.820776979896806</v>
      </c>
    </row>
    <row r="140" spans="1:17" x14ac:dyDescent="0.25">
      <c r="A140" s="114">
        <f t="shared" si="34"/>
        <v>44572</v>
      </c>
      <c r="B140">
        <f t="shared" si="45"/>
        <v>5.5</v>
      </c>
      <c r="C140" s="109">
        <f t="shared" si="46"/>
        <v>19.066666666666666</v>
      </c>
      <c r="D140" s="109">
        <f t="shared" si="47"/>
        <v>72.86666666666666</v>
      </c>
      <c r="E140" s="107">
        <f t="shared" si="48"/>
        <v>44572.371527777781</v>
      </c>
      <c r="F140" s="106">
        <f t="shared" si="44"/>
        <v>44572.301537170228</v>
      </c>
      <c r="G140" t="str">
        <f t="shared" si="49"/>
        <v>Tuesday</v>
      </c>
      <c r="H140" s="129">
        <v>0.60069444444443298</v>
      </c>
      <c r="I140" s="115">
        <f t="shared" si="35"/>
        <v>32.607394977004716</v>
      </c>
      <c r="J140" s="115">
        <f t="shared" si="36"/>
        <v>266.94099224556459</v>
      </c>
      <c r="K140" s="115">
        <f t="shared" si="37"/>
        <v>14.962164269606177</v>
      </c>
      <c r="L140" s="115">
        <f t="shared" si="38"/>
        <v>236.34392450874259</v>
      </c>
      <c r="M140" s="115">
        <f t="shared" si="39"/>
        <v>285.30142553150972</v>
      </c>
      <c r="N140" s="115">
        <f t="shared" si="40"/>
        <v>308.49005810502712</v>
      </c>
      <c r="O140" s="115">
        <f t="shared" si="41"/>
        <v>263.13378182143276</v>
      </c>
      <c r="P140" s="115">
        <f t="shared" si="42"/>
        <v>288.89656717704389</v>
      </c>
      <c r="Q140" s="115">
        <f t="shared" si="43"/>
        <v>34.820592979927497</v>
      </c>
    </row>
    <row r="141" spans="1:17" x14ac:dyDescent="0.25">
      <c r="A141" s="114">
        <f t="shared" si="34"/>
        <v>44572</v>
      </c>
      <c r="B141">
        <f t="shared" si="45"/>
        <v>5.5</v>
      </c>
      <c r="C141" s="109">
        <f t="shared" si="46"/>
        <v>19.066666666666666</v>
      </c>
      <c r="D141" s="109">
        <f t="shared" si="47"/>
        <v>72.86666666666666</v>
      </c>
      <c r="E141" s="107">
        <f t="shared" si="48"/>
        <v>44572.375</v>
      </c>
      <c r="F141" s="106">
        <f t="shared" si="44"/>
        <v>44572.301537170228</v>
      </c>
      <c r="G141" t="str">
        <f t="shared" si="49"/>
        <v>Tuesday</v>
      </c>
      <c r="H141" s="129">
        <v>0.60416666666665497</v>
      </c>
      <c r="I141" s="115">
        <f t="shared" si="35"/>
        <v>33.934511247600391</v>
      </c>
      <c r="J141" s="115">
        <f t="shared" si="36"/>
        <v>266.94452979777458</v>
      </c>
      <c r="K141" s="115">
        <f t="shared" si="37"/>
        <v>15.00380543705692</v>
      </c>
      <c r="L141" s="115">
        <f t="shared" si="38"/>
        <v>236.34641445426394</v>
      </c>
      <c r="M141" s="115">
        <f t="shared" si="39"/>
        <v>285.30330639375978</v>
      </c>
      <c r="N141" s="115">
        <f t="shared" si="40"/>
        <v>308.49078706251328</v>
      </c>
      <c r="O141" s="115">
        <f t="shared" si="41"/>
        <v>263.13169501299188</v>
      </c>
      <c r="P141" s="115">
        <f t="shared" si="42"/>
        <v>288.89696328848663</v>
      </c>
      <c r="Q141" s="115">
        <f t="shared" si="43"/>
        <v>34.820408979974616</v>
      </c>
    </row>
    <row r="142" spans="1:17" x14ac:dyDescent="0.25">
      <c r="A142" s="114">
        <f t="shared" si="34"/>
        <v>44572</v>
      </c>
      <c r="B142">
        <f t="shared" si="45"/>
        <v>5.5</v>
      </c>
      <c r="C142" s="109">
        <f t="shared" si="46"/>
        <v>19.066666666666666</v>
      </c>
      <c r="D142" s="109">
        <f t="shared" si="47"/>
        <v>72.86666666666666</v>
      </c>
      <c r="E142" s="107">
        <f t="shared" si="48"/>
        <v>44572.378472222226</v>
      </c>
      <c r="F142" s="106">
        <f t="shared" si="44"/>
        <v>44572.301537170228</v>
      </c>
      <c r="G142" t="str">
        <f t="shared" si="49"/>
        <v>Tuesday</v>
      </c>
      <c r="H142" s="129">
        <v>0.60763888888887696</v>
      </c>
      <c r="I142" s="115">
        <f t="shared" si="35"/>
        <v>35.252452292173473</v>
      </c>
      <c r="J142" s="115">
        <f t="shared" si="36"/>
        <v>266.94806734803547</v>
      </c>
      <c r="K142" s="115">
        <f t="shared" si="37"/>
        <v>15.045444291406264</v>
      </c>
      <c r="L142" s="115">
        <f t="shared" si="38"/>
        <v>236.34890440685507</v>
      </c>
      <c r="M142" s="115">
        <f t="shared" si="39"/>
        <v>285.30518540579601</v>
      </c>
      <c r="N142" s="115">
        <f t="shared" si="40"/>
        <v>308.49151603504839</v>
      </c>
      <c r="O142" s="115">
        <f t="shared" si="41"/>
        <v>263.12960832689708</v>
      </c>
      <c r="P142" s="115">
        <f t="shared" si="42"/>
        <v>288.8973594057374</v>
      </c>
      <c r="Q142" s="115">
        <f t="shared" si="43"/>
        <v>34.820224980021734</v>
      </c>
    </row>
    <row r="143" spans="1:17" x14ac:dyDescent="0.25">
      <c r="A143" s="114">
        <f t="shared" si="34"/>
        <v>44572</v>
      </c>
      <c r="B143">
        <f t="shared" si="45"/>
        <v>5.5</v>
      </c>
      <c r="C143" s="109">
        <f t="shared" si="46"/>
        <v>19.066666666666666</v>
      </c>
      <c r="D143" s="109">
        <f t="shared" si="47"/>
        <v>72.86666666666666</v>
      </c>
      <c r="E143" s="107">
        <f t="shared" si="48"/>
        <v>44572.381944444445</v>
      </c>
      <c r="F143" s="106">
        <f t="shared" si="44"/>
        <v>44572.301537170228</v>
      </c>
      <c r="G143" t="str">
        <f t="shared" si="49"/>
        <v>Tuesday</v>
      </c>
      <c r="H143" s="129">
        <v>0.61111111111109895</v>
      </c>
      <c r="I143" s="115">
        <f t="shared" si="35"/>
        <v>36.561368949694355</v>
      </c>
      <c r="J143" s="115">
        <f t="shared" si="36"/>
        <v>266.9516048973079</v>
      </c>
      <c r="K143" s="115">
        <f t="shared" si="37"/>
        <v>15.087080847564001</v>
      </c>
      <c r="L143" s="115">
        <f t="shared" si="38"/>
        <v>236.35139436716148</v>
      </c>
      <c r="M143" s="115">
        <f t="shared" si="39"/>
        <v>285.30706256755491</v>
      </c>
      <c r="N143" s="115">
        <f t="shared" si="40"/>
        <v>308.49224502242237</v>
      </c>
      <c r="O143" s="115">
        <f t="shared" si="41"/>
        <v>263.12752176303439</v>
      </c>
      <c r="P143" s="115">
        <f t="shared" si="42"/>
        <v>288.89775552893309</v>
      </c>
      <c r="Q143" s="115">
        <f t="shared" si="43"/>
        <v>34.820040980019137</v>
      </c>
    </row>
    <row r="144" spans="1:17" x14ac:dyDescent="0.25">
      <c r="A144" s="114">
        <f t="shared" ref="A144:A153" si="50">A143</f>
        <v>44572</v>
      </c>
      <c r="B144">
        <f t="shared" si="45"/>
        <v>5.5</v>
      </c>
      <c r="C144" s="109">
        <f t="shared" si="46"/>
        <v>19.066666666666666</v>
      </c>
      <c r="D144" s="109">
        <f t="shared" si="47"/>
        <v>72.86666666666666</v>
      </c>
      <c r="E144" s="107">
        <f t="shared" si="48"/>
        <v>44572.385416666672</v>
      </c>
      <c r="F144" s="106">
        <f t="shared" si="44"/>
        <v>44572.301537170228</v>
      </c>
      <c r="G144" t="str">
        <f t="shared" si="49"/>
        <v>Tuesday</v>
      </c>
      <c r="H144" s="129">
        <v>0.61458333333332105</v>
      </c>
      <c r="I144" s="115">
        <f t="shared" si="35"/>
        <v>37.861421234689296</v>
      </c>
      <c r="J144" s="115">
        <f t="shared" si="36"/>
        <v>266.95514244393485</v>
      </c>
      <c r="K144" s="115">
        <f t="shared" si="37"/>
        <v>15.128715086830935</v>
      </c>
      <c r="L144" s="115">
        <f t="shared" si="38"/>
        <v>236.3538843341793</v>
      </c>
      <c r="M144" s="115">
        <f t="shared" si="39"/>
        <v>285.30893787754741</v>
      </c>
      <c r="N144" s="115">
        <f t="shared" si="40"/>
        <v>308.49297402502657</v>
      </c>
      <c r="O144" s="115">
        <f t="shared" si="41"/>
        <v>263.12543532276328</v>
      </c>
      <c r="P144" s="115">
        <f t="shared" si="42"/>
        <v>288.89815165754811</v>
      </c>
      <c r="Q144" s="115">
        <f t="shared" si="43"/>
        <v>34.819856980066312</v>
      </c>
    </row>
    <row r="145" spans="1:17" x14ac:dyDescent="0.25">
      <c r="A145" s="114">
        <f t="shared" si="50"/>
        <v>44572</v>
      </c>
      <c r="B145">
        <f t="shared" si="45"/>
        <v>5.5</v>
      </c>
      <c r="C145" s="109">
        <f t="shared" si="46"/>
        <v>19.066666666666666</v>
      </c>
      <c r="D145" s="109">
        <f t="shared" si="47"/>
        <v>72.86666666666666</v>
      </c>
      <c r="E145" s="107">
        <f t="shared" si="48"/>
        <v>44572.388888888891</v>
      </c>
      <c r="F145" s="106">
        <f t="shared" si="44"/>
        <v>44572.301537170228</v>
      </c>
      <c r="G145" t="str">
        <f t="shared" si="49"/>
        <v>Tuesday</v>
      </c>
      <c r="H145" s="129">
        <v>0.61805555555554303</v>
      </c>
      <c r="I145" s="115">
        <f t="shared" si="35"/>
        <v>39.152778704550919</v>
      </c>
      <c r="J145" s="115">
        <f t="shared" si="36"/>
        <v>266.95867998921295</v>
      </c>
      <c r="K145" s="115">
        <f t="shared" si="37"/>
        <v>15.17034702964415</v>
      </c>
      <c r="L145" s="115">
        <f t="shared" si="38"/>
        <v>236.35637430890515</v>
      </c>
      <c r="M145" s="115">
        <f t="shared" si="39"/>
        <v>285.3108113358598</v>
      </c>
      <c r="N145" s="115">
        <f t="shared" si="40"/>
        <v>308.49370304294865</v>
      </c>
      <c r="O145" s="115">
        <f t="shared" si="41"/>
        <v>263.12334900513162</v>
      </c>
      <c r="P145" s="115">
        <f t="shared" si="42"/>
        <v>288.898547792454</v>
      </c>
      <c r="Q145" s="115">
        <f t="shared" si="43"/>
        <v>34.819672980096875</v>
      </c>
    </row>
    <row r="146" spans="1:17" x14ac:dyDescent="0.25">
      <c r="A146" s="114">
        <f t="shared" si="50"/>
        <v>44572</v>
      </c>
      <c r="B146">
        <f t="shared" si="45"/>
        <v>5.5</v>
      </c>
      <c r="C146" s="109">
        <f t="shared" si="46"/>
        <v>19.066666666666666</v>
      </c>
      <c r="D146" s="109">
        <f t="shared" si="47"/>
        <v>72.86666666666666</v>
      </c>
      <c r="E146" s="107">
        <f t="shared" si="48"/>
        <v>44572.392361111117</v>
      </c>
      <c r="F146" s="106">
        <f t="shared" si="44"/>
        <v>44572.301537170228</v>
      </c>
      <c r="G146" t="str">
        <f t="shared" si="49"/>
        <v>Tuesday</v>
      </c>
      <c r="H146" s="129">
        <v>0.62152777777776502</v>
      </c>
      <c r="I146" s="115">
        <f t="shared" si="35"/>
        <v>40.435618232623568</v>
      </c>
      <c r="J146" s="115">
        <f t="shared" si="36"/>
        <v>266.96221753218475</v>
      </c>
      <c r="K146" s="115">
        <f t="shared" si="37"/>
        <v>15.2119766684712</v>
      </c>
      <c r="L146" s="115">
        <f t="shared" si="38"/>
        <v>236.35886429049043</v>
      </c>
      <c r="M146" s="115">
        <f t="shared" si="39"/>
        <v>285.31268294129717</v>
      </c>
      <c r="N146" s="115">
        <f t="shared" si="40"/>
        <v>308.49443207547068</v>
      </c>
      <c r="O146" s="115">
        <f t="shared" si="41"/>
        <v>263.12126281119714</v>
      </c>
      <c r="P146" s="115">
        <f t="shared" si="42"/>
        <v>288.89894393234863</v>
      </c>
      <c r="Q146" s="115">
        <f t="shared" si="43"/>
        <v>34.819488980144008</v>
      </c>
    </row>
    <row r="147" spans="1:17" x14ac:dyDescent="0.25">
      <c r="A147" s="114">
        <f t="shared" si="50"/>
        <v>44572</v>
      </c>
      <c r="B147">
        <f t="shared" si="45"/>
        <v>5.5</v>
      </c>
      <c r="C147" s="109">
        <f t="shared" si="46"/>
        <v>19.066666666666666</v>
      </c>
      <c r="D147" s="109">
        <f t="shared" si="47"/>
        <v>72.86666666666666</v>
      </c>
      <c r="E147" s="107">
        <f t="shared" si="48"/>
        <v>44572.395833333336</v>
      </c>
      <c r="F147" s="106">
        <f t="shared" si="44"/>
        <v>44572.301537170228</v>
      </c>
      <c r="G147" t="str">
        <f t="shared" si="49"/>
        <v>Tuesday</v>
      </c>
      <c r="H147" s="129">
        <v>0.62499999999998701</v>
      </c>
      <c r="I147" s="115">
        <f t="shared" si="35"/>
        <v>41.710124604836167</v>
      </c>
      <c r="J147" s="115">
        <f t="shared" si="36"/>
        <v>266.9657550739268</v>
      </c>
      <c r="K147" s="115">
        <f t="shared" si="37"/>
        <v>15.25360401812854</v>
      </c>
      <c r="L147" s="115">
        <f t="shared" si="38"/>
        <v>236.36135427991249</v>
      </c>
      <c r="M147" s="115">
        <f t="shared" si="39"/>
        <v>285.31455269387584</v>
      </c>
      <c r="N147" s="115">
        <f t="shared" si="40"/>
        <v>308.49516112348613</v>
      </c>
      <c r="O147" s="115">
        <f t="shared" si="41"/>
        <v>263.11917674028371</v>
      </c>
      <c r="P147" s="115">
        <f t="shared" si="42"/>
        <v>288.89934007786405</v>
      </c>
      <c r="Q147" s="115">
        <f t="shared" si="43"/>
        <v>34.819304980141396</v>
      </c>
    </row>
    <row r="148" spans="1:17" x14ac:dyDescent="0.25">
      <c r="A148" s="114">
        <f t="shared" si="50"/>
        <v>44572</v>
      </c>
      <c r="B148">
        <f t="shared" si="45"/>
        <v>5.5</v>
      </c>
      <c r="C148" s="109">
        <f t="shared" si="46"/>
        <v>19.066666666666666</v>
      </c>
      <c r="D148" s="109">
        <f t="shared" si="47"/>
        <v>72.86666666666666</v>
      </c>
      <c r="E148" s="107">
        <f t="shared" si="48"/>
        <v>44572.399305555555</v>
      </c>
      <c r="F148" s="106">
        <f t="shared" si="44"/>
        <v>44572.301537170228</v>
      </c>
      <c r="G148" t="str">
        <f t="shared" si="49"/>
        <v>Tuesday</v>
      </c>
      <c r="H148" s="129">
        <v>0.628472222222209</v>
      </c>
      <c r="I148" s="115">
        <f t="shared" si="35"/>
        <v>42.976488382680962</v>
      </c>
      <c r="J148" s="115">
        <f t="shared" si="36"/>
        <v>266.96929261326846</v>
      </c>
      <c r="K148" s="115">
        <f t="shared" si="37"/>
        <v>15.295229071155358</v>
      </c>
      <c r="L148" s="115">
        <f t="shared" si="38"/>
        <v>236.36384427601826</v>
      </c>
      <c r="M148" s="115">
        <f t="shared" si="39"/>
        <v>285.31642059234321</v>
      </c>
      <c r="N148" s="115">
        <f t="shared" si="40"/>
        <v>308.49589018607577</v>
      </c>
      <c r="O148" s="115">
        <f t="shared" si="41"/>
        <v>263.11709079332644</v>
      </c>
      <c r="P148" s="115">
        <f t="shared" si="42"/>
        <v>288.8997362292958</v>
      </c>
      <c r="Q148" s="115">
        <f t="shared" si="43"/>
        <v>34.819120980188572</v>
      </c>
    </row>
    <row r="149" spans="1:17" x14ac:dyDescent="0.25">
      <c r="A149" s="114">
        <f t="shared" si="50"/>
        <v>44572</v>
      </c>
      <c r="B149">
        <f t="shared" si="45"/>
        <v>5.5</v>
      </c>
      <c r="C149" s="109">
        <f t="shared" si="46"/>
        <v>19.066666666666666</v>
      </c>
      <c r="D149" s="109">
        <f t="shared" si="47"/>
        <v>72.86666666666666</v>
      </c>
      <c r="E149" s="107">
        <f t="shared" si="48"/>
        <v>44572.402777777781</v>
      </c>
      <c r="F149" s="106">
        <f t="shared" si="44"/>
        <v>44572.301537170228</v>
      </c>
      <c r="G149" t="str">
        <f t="shared" si="49"/>
        <v>Tuesday</v>
      </c>
      <c r="H149" s="129">
        <v>0.63194444444443099</v>
      </c>
      <c r="I149" s="115">
        <f t="shared" si="35"/>
        <v>44.234906554539108</v>
      </c>
      <c r="J149" s="115">
        <f t="shared" si="36"/>
        <v>266.97283015113169</v>
      </c>
      <c r="K149" s="115">
        <f t="shared" si="37"/>
        <v>15.336851842421853</v>
      </c>
      <c r="L149" s="115">
        <f t="shared" si="38"/>
        <v>236.36633427961368</v>
      </c>
      <c r="M149" s="115">
        <f t="shared" si="39"/>
        <v>285.31828663654062</v>
      </c>
      <c r="N149" s="115">
        <f t="shared" si="40"/>
        <v>308.49661926399313</v>
      </c>
      <c r="O149" s="115">
        <f t="shared" si="41"/>
        <v>263.11500496982387</v>
      </c>
      <c r="P149" s="115">
        <f t="shared" si="42"/>
        <v>288.9001323855544</v>
      </c>
      <c r="Q149" s="115">
        <f t="shared" si="43"/>
        <v>34.818936980219206</v>
      </c>
    </row>
    <row r="150" spans="1:17" x14ac:dyDescent="0.25">
      <c r="A150" s="114">
        <f t="shared" si="50"/>
        <v>44572</v>
      </c>
      <c r="B150">
        <f t="shared" si="45"/>
        <v>5.5</v>
      </c>
      <c r="C150" s="109">
        <f t="shared" si="46"/>
        <v>19.066666666666666</v>
      </c>
      <c r="D150" s="109">
        <f t="shared" si="47"/>
        <v>72.86666666666666</v>
      </c>
      <c r="E150" s="107">
        <f t="shared" si="48"/>
        <v>44572.40625</v>
      </c>
      <c r="F150" s="106">
        <f t="shared" si="44"/>
        <v>44572.301537170228</v>
      </c>
      <c r="G150" t="str">
        <f t="shared" si="49"/>
        <v>Tuesday</v>
      </c>
      <c r="H150" s="129">
        <v>0.63541666666665297</v>
      </c>
      <c r="I150" s="115">
        <f t="shared" si="35"/>
        <v>45.485580489861206</v>
      </c>
      <c r="J150" s="115">
        <f t="shared" si="36"/>
        <v>266.97636768681514</v>
      </c>
      <c r="K150" s="115">
        <f t="shared" si="37"/>
        <v>15.378472324367994</v>
      </c>
      <c r="L150" s="115">
        <f t="shared" si="38"/>
        <v>236.36882429021574</v>
      </c>
      <c r="M150" s="115">
        <f t="shared" si="39"/>
        <v>285.32015082553312</v>
      </c>
      <c r="N150" s="115">
        <f t="shared" si="40"/>
        <v>308.49734835675127</v>
      </c>
      <c r="O150" s="115">
        <f t="shared" si="41"/>
        <v>263.11291927068476</v>
      </c>
      <c r="P150" s="115">
        <f t="shared" si="42"/>
        <v>288.90052854808806</v>
      </c>
      <c r="Q150" s="115">
        <f t="shared" si="43"/>
        <v>34.818752980266325</v>
      </c>
    </row>
    <row r="151" spans="1:17" x14ac:dyDescent="0.25">
      <c r="A151" s="114">
        <f t="shared" si="50"/>
        <v>44572</v>
      </c>
      <c r="B151">
        <f t="shared" si="45"/>
        <v>5.5</v>
      </c>
      <c r="C151" s="109">
        <f t="shared" si="46"/>
        <v>19.066666666666666</v>
      </c>
      <c r="D151" s="109">
        <f t="shared" si="47"/>
        <v>72.86666666666666</v>
      </c>
      <c r="E151" s="107">
        <f t="shared" si="48"/>
        <v>44572.409722222226</v>
      </c>
      <c r="F151" s="106">
        <f t="shared" si="44"/>
        <v>44572.301537170228</v>
      </c>
      <c r="G151" t="str">
        <f t="shared" si="49"/>
        <v>Tuesday</v>
      </c>
      <c r="H151" s="129">
        <v>0.63888888888887496</v>
      </c>
      <c r="I151" s="115">
        <f t="shared" si="35"/>
        <v>46.728716479977464</v>
      </c>
      <c r="J151" s="115">
        <f t="shared" si="36"/>
        <v>266.97990522068534</v>
      </c>
      <c r="K151" s="115">
        <f t="shared" si="37"/>
        <v>15.420090526245335</v>
      </c>
      <c r="L151" s="115">
        <f t="shared" si="38"/>
        <v>236.37131430814091</v>
      </c>
      <c r="M151" s="115">
        <f t="shared" si="39"/>
        <v>285.32201315888057</v>
      </c>
      <c r="N151" s="115">
        <f t="shared" si="40"/>
        <v>308.49807746472862</v>
      </c>
      <c r="O151" s="115">
        <f t="shared" si="41"/>
        <v>263.11083369551517</v>
      </c>
      <c r="P151" s="115">
        <f t="shared" si="42"/>
        <v>288.90092471671068</v>
      </c>
      <c r="Q151" s="115">
        <f t="shared" si="43"/>
        <v>34.818568980329985</v>
      </c>
    </row>
    <row r="152" spans="1:17" x14ac:dyDescent="0.25">
      <c r="A152" s="114">
        <f t="shared" si="50"/>
        <v>44572</v>
      </c>
      <c r="B152">
        <f t="shared" si="45"/>
        <v>5.5</v>
      </c>
      <c r="C152" s="109">
        <f t="shared" si="46"/>
        <v>19.066666666666666</v>
      </c>
      <c r="D152" s="109">
        <f t="shared" si="47"/>
        <v>72.86666666666666</v>
      </c>
      <c r="E152" s="107">
        <f t="shared" si="48"/>
        <v>44572.413194444445</v>
      </c>
      <c r="F152" s="106">
        <f t="shared" si="44"/>
        <v>44572.301537170228</v>
      </c>
      <c r="G152" t="str">
        <f t="shared" si="49"/>
        <v>Tuesday</v>
      </c>
      <c r="H152" s="129">
        <v>0.64236111111109695</v>
      </c>
      <c r="I152" s="115">
        <f t="shared" si="35"/>
        <v>47.964524615478737</v>
      </c>
      <c r="J152" s="115">
        <f t="shared" si="36"/>
        <v>266.98344275319084</v>
      </c>
      <c r="K152" s="115">
        <f t="shared" si="37"/>
        <v>15.46170645730496</v>
      </c>
      <c r="L152" s="115">
        <f t="shared" si="38"/>
        <v>236.37380433356486</v>
      </c>
      <c r="M152" s="115">
        <f t="shared" si="39"/>
        <v>285.32387363619188</v>
      </c>
      <c r="N152" s="115">
        <f t="shared" si="40"/>
        <v>308.49880658778034</v>
      </c>
      <c r="O152" s="115">
        <f t="shared" si="41"/>
        <v>263.10874824453339</v>
      </c>
      <c r="P152" s="115">
        <f t="shared" si="42"/>
        <v>288.90132089037007</v>
      </c>
      <c r="Q152" s="115">
        <f t="shared" si="43"/>
        <v>34.818384980327437</v>
      </c>
    </row>
    <row r="153" spans="1:17" x14ac:dyDescent="0.25">
      <c r="A153" s="114">
        <f t="shared" si="50"/>
        <v>44572</v>
      </c>
      <c r="B153">
        <f t="shared" si="45"/>
        <v>5.5</v>
      </c>
      <c r="C153" s="109">
        <f t="shared" si="46"/>
        <v>19.066666666666666</v>
      </c>
      <c r="D153" s="109">
        <f t="shared" si="47"/>
        <v>72.86666666666666</v>
      </c>
      <c r="E153" s="107">
        <f t="shared" si="48"/>
        <v>44572.416666666672</v>
      </c>
      <c r="F153" s="106">
        <f t="shared" si="44"/>
        <v>44572.301537170228</v>
      </c>
      <c r="G153" t="str">
        <f t="shared" si="49"/>
        <v>Tuesday</v>
      </c>
      <c r="H153" s="129">
        <v>0.64583333333331905</v>
      </c>
      <c r="I153" s="115">
        <f t="shared" si="35"/>
        <v>49.193217717400827</v>
      </c>
      <c r="J153" s="115">
        <f t="shared" si="36"/>
        <v>266.98698028352982</v>
      </c>
      <c r="K153" s="115">
        <f t="shared" si="37"/>
        <v>15.503320110064077</v>
      </c>
      <c r="L153" s="115">
        <f t="shared" si="38"/>
        <v>236.37629436625161</v>
      </c>
      <c r="M153" s="115">
        <f t="shared" si="39"/>
        <v>285.32573225646365</v>
      </c>
      <c r="N153" s="115">
        <f t="shared" si="40"/>
        <v>308.49953572617522</v>
      </c>
      <c r="O153" s="115">
        <f t="shared" si="41"/>
        <v>263.10666291818245</v>
      </c>
      <c r="P153" s="115">
        <f t="shared" si="42"/>
        <v>288.90171706985632</v>
      </c>
      <c r="Q153" s="115">
        <f t="shared" si="43"/>
        <v>34.818200980374591</v>
      </c>
    </row>
    <row r="154" spans="1:17" x14ac:dyDescent="0.25">
      <c r="A154" s="114">
        <f>A153+1</f>
        <v>44573</v>
      </c>
      <c r="B154">
        <f t="shared" si="45"/>
        <v>5.5</v>
      </c>
      <c r="C154" s="109">
        <f t="shared" si="46"/>
        <v>19.066666666666666</v>
      </c>
      <c r="D154" s="109">
        <f t="shared" si="47"/>
        <v>72.86666666666666</v>
      </c>
      <c r="E154" s="107">
        <f t="shared" si="48"/>
        <v>44573.15625</v>
      </c>
      <c r="F154" s="106">
        <f t="shared" si="44"/>
        <v>44573.301634343494</v>
      </c>
      <c r="G154" t="str">
        <f t="shared" si="49"/>
        <v>Wednesday</v>
      </c>
      <c r="H154" s="129">
        <v>0.38541666666666669</v>
      </c>
      <c r="I154" s="115">
        <f t="shared" si="35"/>
        <v>299.43820142454445</v>
      </c>
      <c r="J154" s="115">
        <f t="shared" si="36"/>
        <v>267.74043241243976</v>
      </c>
      <c r="K154" s="115">
        <f t="shared" si="37"/>
        <v>24.32115187224753</v>
      </c>
      <c r="L154" s="115">
        <f t="shared" si="38"/>
        <v>236.90683704678608</v>
      </c>
      <c r="M154" s="115">
        <f t="shared" si="39"/>
        <v>285.6783040713317</v>
      </c>
      <c r="N154" s="115">
        <f t="shared" si="40"/>
        <v>308.65518319872416</v>
      </c>
      <c r="O154" s="115">
        <f t="shared" si="41"/>
        <v>262.66560915232373</v>
      </c>
      <c r="P154" s="115">
        <f t="shared" si="42"/>
        <v>288.98623051384186</v>
      </c>
      <c r="Q154" s="115">
        <f t="shared" si="43"/>
        <v>34.779008987864714</v>
      </c>
    </row>
    <row r="155" spans="1:17" x14ac:dyDescent="0.25">
      <c r="A155" s="114">
        <f>A154</f>
        <v>44573</v>
      </c>
      <c r="B155">
        <f t="shared" si="45"/>
        <v>5.5</v>
      </c>
      <c r="C155" s="109">
        <f t="shared" si="46"/>
        <v>19.066666666666666</v>
      </c>
      <c r="D155" s="109">
        <f t="shared" si="47"/>
        <v>72.86666666666666</v>
      </c>
      <c r="E155" s="107">
        <f t="shared" si="48"/>
        <v>44573.159722222226</v>
      </c>
      <c r="F155" s="106">
        <f t="shared" si="44"/>
        <v>44573.301634343494</v>
      </c>
      <c r="G155" t="str">
        <f t="shared" si="49"/>
        <v>Wednesday</v>
      </c>
      <c r="H155" s="129">
        <v>0.3888888888888889</v>
      </c>
      <c r="I155" s="115">
        <f t="shared" si="35"/>
        <v>300.91650817099895</v>
      </c>
      <c r="J155" s="115">
        <f t="shared" si="36"/>
        <v>267.74396954849294</v>
      </c>
      <c r="K155" s="115">
        <f t="shared" si="37"/>
        <v>24.362362212001642</v>
      </c>
      <c r="L155" s="115">
        <f t="shared" si="38"/>
        <v>236.90932863670804</v>
      </c>
      <c r="M155" s="115">
        <f t="shared" si="39"/>
        <v>285.67975138034006</v>
      </c>
      <c r="N155" s="115">
        <f t="shared" si="40"/>
        <v>308.65591553039246</v>
      </c>
      <c r="O155" s="115">
        <f t="shared" si="41"/>
        <v>262.66355445191601</v>
      </c>
      <c r="P155" s="115">
        <f t="shared" si="42"/>
        <v>288.98662788241279</v>
      </c>
      <c r="Q155" s="115">
        <f t="shared" si="43"/>
        <v>34.77882498792836</v>
      </c>
    </row>
    <row r="156" spans="1:17" x14ac:dyDescent="0.25">
      <c r="A156" s="114">
        <f t="shared" ref="A156:A219" si="51">A155</f>
        <v>44573</v>
      </c>
      <c r="B156">
        <f t="shared" si="45"/>
        <v>5.5</v>
      </c>
      <c r="C156" s="109">
        <f t="shared" si="46"/>
        <v>19.066666666666666</v>
      </c>
      <c r="D156" s="109">
        <f t="shared" si="47"/>
        <v>72.86666666666666</v>
      </c>
      <c r="E156" s="107">
        <f t="shared" si="48"/>
        <v>44573.163194444445</v>
      </c>
      <c r="F156" s="106">
        <f t="shared" si="44"/>
        <v>44573.301634343494</v>
      </c>
      <c r="G156" t="str">
        <f t="shared" si="49"/>
        <v>Wednesday</v>
      </c>
      <c r="H156" s="129">
        <v>0.39236111111111099</v>
      </c>
      <c r="I156" s="115">
        <f t="shared" si="35"/>
        <v>302.40421915960485</v>
      </c>
      <c r="J156" s="115">
        <f t="shared" si="36"/>
        <v>267.74750668308667</v>
      </c>
      <c r="K156" s="115">
        <f t="shared" si="37"/>
        <v>24.403571053884018</v>
      </c>
      <c r="L156" s="115">
        <f t="shared" si="38"/>
        <v>236.91182023431389</v>
      </c>
      <c r="M156" s="115">
        <f t="shared" si="39"/>
        <v>285.68119670359187</v>
      </c>
      <c r="N156" s="115">
        <f t="shared" si="40"/>
        <v>308.65664787681226</v>
      </c>
      <c r="O156" s="115">
        <f t="shared" si="41"/>
        <v>262.66149991297851</v>
      </c>
      <c r="P156" s="115">
        <f t="shared" si="42"/>
        <v>288.98702525573481</v>
      </c>
      <c r="Q156" s="115">
        <f t="shared" si="43"/>
        <v>34.778640987958987</v>
      </c>
    </row>
    <row r="157" spans="1:17" x14ac:dyDescent="0.25">
      <c r="A157" s="114">
        <f t="shared" si="51"/>
        <v>44573</v>
      </c>
      <c r="B157">
        <f t="shared" si="45"/>
        <v>5.5</v>
      </c>
      <c r="C157" s="109">
        <f t="shared" si="46"/>
        <v>19.066666666666666</v>
      </c>
      <c r="D157" s="109">
        <f t="shared" si="47"/>
        <v>72.86666666666666</v>
      </c>
      <c r="E157" s="107">
        <f t="shared" si="48"/>
        <v>44573.166666666672</v>
      </c>
      <c r="F157" s="106">
        <f t="shared" si="44"/>
        <v>44573.301634343494</v>
      </c>
      <c r="G157" t="str">
        <f t="shared" si="49"/>
        <v>Wednesday</v>
      </c>
      <c r="H157" s="129">
        <v>0.39583333333333298</v>
      </c>
      <c r="I157" s="115">
        <f t="shared" ref="I157:I220" si="52">(Asdt(C157,D157,E157))</f>
        <v>303.90116051881142</v>
      </c>
      <c r="J157" s="115">
        <f t="shared" ref="J157:J220" si="53">(Planet(E157,0))</f>
        <v>267.75104381528297</v>
      </c>
      <c r="K157" s="115">
        <f t="shared" ref="K157:K220" si="54">(Planet(E157,1))</f>
        <v>24.444778390358227</v>
      </c>
      <c r="L157" s="115">
        <f t="shared" ref="L157:L220" si="55">(Planet(E157,4))</f>
        <v>236.91431183855946</v>
      </c>
      <c r="M157" s="115">
        <f t="shared" ref="M157:M220" si="56">(Planet(E157,2))</f>
        <v>285.68264004021336</v>
      </c>
      <c r="N157" s="115">
        <f t="shared" ref="N157:N220" si="57">(Planet(E157,5))</f>
        <v>308.65738023779602</v>
      </c>
      <c r="O157" s="115">
        <f t="shared" ref="O157:O220" si="58">Planet(E157,3)</f>
        <v>262.65944553591953</v>
      </c>
      <c r="P157" s="115">
        <f t="shared" ref="P157:P220" si="59">Planet(E157,6)</f>
        <v>288.98742263409258</v>
      </c>
      <c r="Q157" s="115">
        <f t="shared" ref="Q157:Q220" si="60">Planet(E157,10)</f>
        <v>34.778456988006099</v>
      </c>
    </row>
    <row r="158" spans="1:17" x14ac:dyDescent="0.25">
      <c r="A158" s="114">
        <f t="shared" si="51"/>
        <v>44573</v>
      </c>
      <c r="B158">
        <f t="shared" si="45"/>
        <v>5.5</v>
      </c>
      <c r="C158" s="109">
        <f t="shared" si="46"/>
        <v>19.066666666666666</v>
      </c>
      <c r="D158" s="109">
        <f t="shared" si="47"/>
        <v>72.86666666666666</v>
      </c>
      <c r="E158" s="107">
        <f t="shared" si="48"/>
        <v>44573.170138888891</v>
      </c>
      <c r="F158" s="106">
        <f t="shared" si="44"/>
        <v>44573.301634343494</v>
      </c>
      <c r="G158" t="str">
        <f t="shared" si="49"/>
        <v>Wednesday</v>
      </c>
      <c r="H158" s="129">
        <v>0.39930555555555503</v>
      </c>
      <c r="I158" s="115">
        <f t="shared" si="52"/>
        <v>305.40713322229885</v>
      </c>
      <c r="J158" s="115">
        <f t="shared" si="53"/>
        <v>267.75458094616874</v>
      </c>
      <c r="K158" s="115">
        <f t="shared" si="54"/>
        <v>24.485984235916995</v>
      </c>
      <c r="L158" s="115">
        <f t="shared" si="55"/>
        <v>236.91680345068013</v>
      </c>
      <c r="M158" s="115">
        <f t="shared" si="56"/>
        <v>285.68408138997205</v>
      </c>
      <c r="N158" s="115">
        <f t="shared" si="57"/>
        <v>308.6581126140029</v>
      </c>
      <c r="O158" s="115">
        <f t="shared" si="58"/>
        <v>262.65739132065511</v>
      </c>
      <c r="P158" s="115">
        <f t="shared" si="59"/>
        <v>288.98782001844194</v>
      </c>
      <c r="Q158" s="115">
        <f t="shared" si="60"/>
        <v>34.778272988003664</v>
      </c>
    </row>
    <row r="159" spans="1:17" x14ac:dyDescent="0.25">
      <c r="A159" s="114">
        <f t="shared" si="51"/>
        <v>44573</v>
      </c>
      <c r="B159">
        <f t="shared" si="45"/>
        <v>5.5</v>
      </c>
      <c r="C159" s="109">
        <f t="shared" si="46"/>
        <v>19.066666666666666</v>
      </c>
      <c r="D159" s="109">
        <f t="shared" si="47"/>
        <v>72.86666666666666</v>
      </c>
      <c r="E159" s="107">
        <f t="shared" si="48"/>
        <v>44573.173611111117</v>
      </c>
      <c r="F159" s="106">
        <f t="shared" si="44"/>
        <v>44573.301634343494</v>
      </c>
      <c r="G159" t="str">
        <f t="shared" si="49"/>
        <v>Wednesday</v>
      </c>
      <c r="H159" s="129">
        <v>0.40277777777777801</v>
      </c>
      <c r="I159" s="115">
        <f t="shared" si="52"/>
        <v>306.92191115191093</v>
      </c>
      <c r="J159" s="115">
        <f t="shared" si="53"/>
        <v>267.75811807470916</v>
      </c>
      <c r="K159" s="115">
        <f t="shared" si="54"/>
        <v>24.527188583002172</v>
      </c>
      <c r="L159" s="115">
        <f t="shared" si="55"/>
        <v>236.91929506968134</v>
      </c>
      <c r="M159" s="115">
        <f t="shared" si="56"/>
        <v>285.68552075188626</v>
      </c>
      <c r="N159" s="115">
        <f t="shared" si="57"/>
        <v>308.65884500455257</v>
      </c>
      <c r="O159" s="115">
        <f t="shared" si="58"/>
        <v>262.65533726757161</v>
      </c>
      <c r="P159" s="115">
        <f t="shared" si="59"/>
        <v>288.98821740763708</v>
      </c>
      <c r="Q159" s="115">
        <f t="shared" si="60"/>
        <v>34.778088988067211</v>
      </c>
    </row>
    <row r="160" spans="1:17" x14ac:dyDescent="0.25">
      <c r="A160" s="114">
        <f t="shared" si="51"/>
        <v>44573</v>
      </c>
      <c r="B160">
        <f t="shared" si="45"/>
        <v>5.5</v>
      </c>
      <c r="C160" s="109">
        <f t="shared" si="46"/>
        <v>19.066666666666666</v>
      </c>
      <c r="D160" s="109">
        <f t="shared" si="47"/>
        <v>72.86666666666666</v>
      </c>
      <c r="E160" s="107">
        <f t="shared" si="48"/>
        <v>44573.177083333336</v>
      </c>
      <c r="F160" s="106">
        <f t="shared" si="44"/>
        <v>44573.301634343494</v>
      </c>
      <c r="G160" t="str">
        <f t="shared" si="49"/>
        <v>Wednesday</v>
      </c>
      <c r="H160" s="129">
        <v>0.40625</v>
      </c>
      <c r="I160" s="115">
        <f t="shared" si="52"/>
        <v>308.44524250013188</v>
      </c>
      <c r="J160" s="115">
        <f t="shared" si="53"/>
        <v>267.76165520186896</v>
      </c>
      <c r="K160" s="115">
        <f t="shared" si="54"/>
        <v>24.568391446144403</v>
      </c>
      <c r="L160" s="115">
        <f t="shared" si="55"/>
        <v>236.92178669629661</v>
      </c>
      <c r="M160" s="115">
        <f t="shared" si="56"/>
        <v>285.68695812581211</v>
      </c>
      <c r="N160" s="115">
        <f t="shared" si="57"/>
        <v>308.65957741037374</v>
      </c>
      <c r="O160" s="115">
        <f t="shared" si="58"/>
        <v>262.65328337663226</v>
      </c>
      <c r="P160" s="115">
        <f t="shared" si="59"/>
        <v>288.98861480313712</v>
      </c>
      <c r="Q160" s="115">
        <f t="shared" si="60"/>
        <v>34.777904988081339</v>
      </c>
    </row>
    <row r="161" spans="1:17" x14ac:dyDescent="0.25">
      <c r="A161" s="114">
        <f t="shared" si="51"/>
        <v>44573</v>
      </c>
      <c r="B161">
        <f t="shared" si="45"/>
        <v>5.5</v>
      </c>
      <c r="C161" s="109">
        <f t="shared" si="46"/>
        <v>19.066666666666666</v>
      </c>
      <c r="D161" s="109">
        <f t="shared" si="47"/>
        <v>72.86666666666666</v>
      </c>
      <c r="E161" s="107">
        <f t="shared" si="48"/>
        <v>44573.180555555555</v>
      </c>
      <c r="F161" s="106">
        <f t="shared" si="44"/>
        <v>44573.301634343494</v>
      </c>
      <c r="G161" t="str">
        <f t="shared" si="49"/>
        <v>Wednesday</v>
      </c>
      <c r="H161" s="129">
        <v>0.40972222222222199</v>
      </c>
      <c r="I161" s="115">
        <f t="shared" si="52"/>
        <v>309.97684808164792</v>
      </c>
      <c r="J161" s="115">
        <f t="shared" si="53"/>
        <v>267.76519232682</v>
      </c>
      <c r="K161" s="115">
        <f t="shared" si="54"/>
        <v>24.609592817722913</v>
      </c>
      <c r="L161" s="115">
        <f t="shared" si="55"/>
        <v>236.9242783300999</v>
      </c>
      <c r="M161" s="115">
        <f t="shared" si="56"/>
        <v>285.68839351076076</v>
      </c>
      <c r="N161" s="115">
        <f t="shared" si="57"/>
        <v>308.66030983063257</v>
      </c>
      <c r="O161" s="115">
        <f t="shared" si="58"/>
        <v>262.65122964825821</v>
      </c>
      <c r="P161" s="115">
        <f t="shared" si="59"/>
        <v>288.98901220387756</v>
      </c>
      <c r="Q161" s="115">
        <f t="shared" si="60"/>
        <v>34.777720988128429</v>
      </c>
    </row>
    <row r="162" spans="1:17" x14ac:dyDescent="0.25">
      <c r="A162" s="114">
        <f t="shared" si="51"/>
        <v>44573</v>
      </c>
      <c r="B162">
        <f t="shared" si="45"/>
        <v>5.5</v>
      </c>
      <c r="C162" s="109">
        <f t="shared" si="46"/>
        <v>19.066666666666666</v>
      </c>
      <c r="D162" s="109">
        <f t="shared" si="47"/>
        <v>72.86666666666666</v>
      </c>
      <c r="E162" s="107">
        <f t="shared" si="48"/>
        <v>44573.184027777781</v>
      </c>
      <c r="F162" s="106">
        <f t="shared" si="44"/>
        <v>44573.301634343494</v>
      </c>
      <c r="G162" t="str">
        <f t="shared" si="49"/>
        <v>Wednesday</v>
      </c>
      <c r="H162" s="129">
        <v>0.41319444444444398</v>
      </c>
      <c r="I162" s="115">
        <f t="shared" si="52"/>
        <v>311.51642304537251</v>
      </c>
      <c r="J162" s="115">
        <f t="shared" si="53"/>
        <v>267.7687294501514</v>
      </c>
      <c r="K162" s="115">
        <f t="shared" si="54"/>
        <v>24.650792712258163</v>
      </c>
      <c r="L162" s="115">
        <f t="shared" si="55"/>
        <v>236.92676997118639</v>
      </c>
      <c r="M162" s="115">
        <f t="shared" si="56"/>
        <v>285.68982690640337</v>
      </c>
      <c r="N162" s="115">
        <f t="shared" si="57"/>
        <v>308.66104226583764</v>
      </c>
      <c r="O162" s="115">
        <f t="shared" si="58"/>
        <v>262.64917608223772</v>
      </c>
      <c r="P162" s="115">
        <f t="shared" si="59"/>
        <v>288.98940960941547</v>
      </c>
      <c r="Q162" s="115">
        <f t="shared" si="60"/>
        <v>34.777536988175591</v>
      </c>
    </row>
    <row r="163" spans="1:17" x14ac:dyDescent="0.25">
      <c r="A163" s="114">
        <f t="shared" si="51"/>
        <v>44573</v>
      </c>
      <c r="B163">
        <f t="shared" si="45"/>
        <v>5.5</v>
      </c>
      <c r="C163" s="109">
        <f t="shared" si="46"/>
        <v>19.066666666666666</v>
      </c>
      <c r="D163" s="109">
        <f t="shared" si="47"/>
        <v>72.86666666666666</v>
      </c>
      <c r="E163" s="107">
        <f t="shared" si="48"/>
        <v>44573.1875</v>
      </c>
      <c r="F163" s="106">
        <f t="shared" si="44"/>
        <v>44573.301634343494</v>
      </c>
      <c r="G163" t="str">
        <f t="shared" si="49"/>
        <v>Wednesday</v>
      </c>
      <c r="H163" s="129">
        <v>0.41666666666666702</v>
      </c>
      <c r="I163" s="115">
        <f t="shared" si="52"/>
        <v>313.06363547709054</v>
      </c>
      <c r="J163" s="115">
        <f t="shared" si="53"/>
        <v>267.77226657125181</v>
      </c>
      <c r="K163" s="115">
        <f t="shared" si="54"/>
        <v>24.691991122204598</v>
      </c>
      <c r="L163" s="115">
        <f t="shared" si="55"/>
        <v>236.92926161930282</v>
      </c>
      <c r="M163" s="115">
        <f t="shared" si="56"/>
        <v>285.69125831195953</v>
      </c>
      <c r="N163" s="115">
        <f t="shared" si="57"/>
        <v>308.66177471573906</v>
      </c>
      <c r="O163" s="115">
        <f t="shared" si="58"/>
        <v>262.64712267927518</v>
      </c>
      <c r="P163" s="115">
        <f t="shared" si="59"/>
        <v>288.98980702139289</v>
      </c>
      <c r="Q163" s="115">
        <f t="shared" si="60"/>
        <v>34.777352988222809</v>
      </c>
    </row>
    <row r="164" spans="1:17" x14ac:dyDescent="0.25">
      <c r="A164" s="114">
        <f t="shared" si="51"/>
        <v>44573</v>
      </c>
      <c r="B164">
        <f t="shared" si="45"/>
        <v>5.5</v>
      </c>
      <c r="C164" s="109">
        <f t="shared" si="46"/>
        <v>19.066666666666666</v>
      </c>
      <c r="D164" s="109">
        <f t="shared" si="47"/>
        <v>72.86666666666666</v>
      </c>
      <c r="E164" s="107">
        <f t="shared" si="48"/>
        <v>44573.190972222226</v>
      </c>
      <c r="F164" s="106">
        <f t="shared" si="44"/>
        <v>44573.301634343494</v>
      </c>
      <c r="G164" t="str">
        <f t="shared" si="49"/>
        <v>Wednesday</v>
      </c>
      <c r="H164" s="129">
        <v>0.42013888888888901</v>
      </c>
      <c r="I164" s="115">
        <f t="shared" si="52"/>
        <v>314.6181282456601</v>
      </c>
      <c r="J164" s="115">
        <f t="shared" si="53"/>
        <v>267.77580369050378</v>
      </c>
      <c r="K164" s="115">
        <f t="shared" si="54"/>
        <v>24.733188056505323</v>
      </c>
      <c r="L164" s="115">
        <f t="shared" si="55"/>
        <v>236.9317532748704</v>
      </c>
      <c r="M164" s="115">
        <f t="shared" si="56"/>
        <v>285.69268772700474</v>
      </c>
      <c r="N164" s="115">
        <f t="shared" si="57"/>
        <v>308.66250718042397</v>
      </c>
      <c r="O164" s="115">
        <f t="shared" si="58"/>
        <v>262.64506943924448</v>
      </c>
      <c r="P164" s="115">
        <f t="shared" si="59"/>
        <v>288.99020443804852</v>
      </c>
      <c r="Q164" s="115">
        <f t="shared" si="60"/>
        <v>34.777168988220168</v>
      </c>
    </row>
    <row r="165" spans="1:17" x14ac:dyDescent="0.25">
      <c r="A165" s="114">
        <f t="shared" si="51"/>
        <v>44573</v>
      </c>
      <c r="B165">
        <f t="shared" si="45"/>
        <v>5.5</v>
      </c>
      <c r="C165" s="109">
        <f t="shared" si="46"/>
        <v>19.066666666666666</v>
      </c>
      <c r="D165" s="109">
        <f t="shared" si="47"/>
        <v>72.86666666666666</v>
      </c>
      <c r="E165" s="107">
        <f t="shared" si="48"/>
        <v>44573.194444444445</v>
      </c>
      <c r="F165" s="106">
        <f t="shared" si="44"/>
        <v>44573.301634343494</v>
      </c>
      <c r="G165" t="str">
        <f t="shared" si="49"/>
        <v>Wednesday</v>
      </c>
      <c r="H165" s="129">
        <v>0.42361111111111099</v>
      </c>
      <c r="I165" s="115">
        <f t="shared" si="52"/>
        <v>316.17951896930202</v>
      </c>
      <c r="J165" s="115">
        <f t="shared" si="53"/>
        <v>267.77934080836866</v>
      </c>
      <c r="K165" s="115">
        <f t="shared" si="54"/>
        <v>24.774383524220877</v>
      </c>
      <c r="L165" s="115">
        <f t="shared" si="55"/>
        <v>236.93424493805821</v>
      </c>
      <c r="M165" s="115">
        <f t="shared" si="56"/>
        <v>285.69411515110517</v>
      </c>
      <c r="N165" s="115">
        <f t="shared" si="57"/>
        <v>308.66323966002261</v>
      </c>
      <c r="O165" s="115">
        <f t="shared" si="58"/>
        <v>262.64301636205136</v>
      </c>
      <c r="P165" s="115">
        <f t="shared" si="59"/>
        <v>288.99060186015646</v>
      </c>
      <c r="Q165" s="115">
        <f t="shared" si="60"/>
        <v>34.776984988283928</v>
      </c>
    </row>
    <row r="166" spans="1:17" x14ac:dyDescent="0.25">
      <c r="A166" s="114">
        <f t="shared" si="51"/>
        <v>44573</v>
      </c>
      <c r="B166">
        <f t="shared" si="45"/>
        <v>5.5</v>
      </c>
      <c r="C166" s="109">
        <f t="shared" si="46"/>
        <v>19.066666666666666</v>
      </c>
      <c r="D166" s="109">
        <f t="shared" si="47"/>
        <v>72.86666666666666</v>
      </c>
      <c r="E166" s="107">
        <f t="shared" si="48"/>
        <v>44573.197916666672</v>
      </c>
      <c r="F166" s="106">
        <f t="shared" si="44"/>
        <v>44573.301634343494</v>
      </c>
      <c r="G166" t="str">
        <f t="shared" si="49"/>
        <v>Wednesday</v>
      </c>
      <c r="H166" s="129">
        <v>0.42708333333333298</v>
      </c>
      <c r="I166" s="115">
        <f t="shared" si="52"/>
        <v>317.74740013996438</v>
      </c>
      <c r="J166" s="115">
        <f t="shared" si="53"/>
        <v>267.78287792389756</v>
      </c>
      <c r="K166" s="115">
        <f t="shared" si="54"/>
        <v>24.815577517691569</v>
      </c>
      <c r="L166" s="115">
        <f t="shared" si="55"/>
        <v>236.93673660812738</v>
      </c>
      <c r="M166" s="115">
        <f t="shared" si="56"/>
        <v>285.69554058331727</v>
      </c>
      <c r="N166" s="115">
        <f t="shared" si="57"/>
        <v>308.66397215417618</v>
      </c>
      <c r="O166" s="115">
        <f t="shared" si="58"/>
        <v>262.64096344840107</v>
      </c>
      <c r="P166" s="115">
        <f t="shared" si="59"/>
        <v>288.99099928857351</v>
      </c>
      <c r="Q166" s="115">
        <f t="shared" si="60"/>
        <v>34.776800988314463</v>
      </c>
    </row>
    <row r="167" spans="1:17" x14ac:dyDescent="0.25">
      <c r="A167" s="114">
        <f t="shared" si="51"/>
        <v>44573</v>
      </c>
      <c r="B167">
        <f t="shared" si="45"/>
        <v>5.5</v>
      </c>
      <c r="C167" s="109">
        <f t="shared" si="46"/>
        <v>19.066666666666666</v>
      </c>
      <c r="D167" s="109">
        <f t="shared" si="47"/>
        <v>72.86666666666666</v>
      </c>
      <c r="E167" s="107">
        <f t="shared" si="48"/>
        <v>44573.201388888891</v>
      </c>
      <c r="F167" s="106">
        <f t="shared" si="44"/>
        <v>44573.301634343494</v>
      </c>
      <c r="G167" t="str">
        <f t="shared" si="49"/>
        <v>Wednesday</v>
      </c>
      <c r="H167" s="129">
        <v>0.43055555555555503</v>
      </c>
      <c r="I167" s="115">
        <f t="shared" si="52"/>
        <v>319.32134152360533</v>
      </c>
      <c r="J167" s="115">
        <f t="shared" si="53"/>
        <v>267.78641503810621</v>
      </c>
      <c r="K167" s="115">
        <f t="shared" si="54"/>
        <v>24.856770051492838</v>
      </c>
      <c r="L167" s="115">
        <f t="shared" si="55"/>
        <v>236.93922828593895</v>
      </c>
      <c r="M167" s="115">
        <f t="shared" si="56"/>
        <v>285.69696402345443</v>
      </c>
      <c r="N167" s="115">
        <f t="shared" si="57"/>
        <v>308.66470466340843</v>
      </c>
      <c r="O167" s="115">
        <f t="shared" si="58"/>
        <v>262.63891069789759</v>
      </c>
      <c r="P167" s="115">
        <f t="shared" si="59"/>
        <v>288.99139672188966</v>
      </c>
      <c r="Q167" s="115">
        <f t="shared" si="60"/>
        <v>34.776616988328556</v>
      </c>
    </row>
    <row r="168" spans="1:17" x14ac:dyDescent="0.25">
      <c r="A168" s="114">
        <f t="shared" si="51"/>
        <v>44573</v>
      </c>
      <c r="B168">
        <f t="shared" si="45"/>
        <v>5.5</v>
      </c>
      <c r="C168" s="109">
        <f t="shared" si="46"/>
        <v>19.066666666666666</v>
      </c>
      <c r="D168" s="109">
        <f t="shared" si="47"/>
        <v>72.86666666666666</v>
      </c>
      <c r="E168" s="107">
        <f t="shared" si="48"/>
        <v>44573.204861111117</v>
      </c>
      <c r="F168" s="106">
        <f t="shared" si="44"/>
        <v>44573.301634343494</v>
      </c>
      <c r="G168" t="str">
        <f t="shared" si="49"/>
        <v>Wednesday</v>
      </c>
      <c r="H168" s="129">
        <v>0.43402777777777801</v>
      </c>
      <c r="I168" s="115">
        <f t="shared" si="52"/>
        <v>320.90088959150683</v>
      </c>
      <c r="J168" s="115">
        <f t="shared" si="53"/>
        <v>267.78995214984377</v>
      </c>
      <c r="K168" s="115">
        <f t="shared" si="54"/>
        <v>24.897961117984316</v>
      </c>
      <c r="L168" s="115">
        <f t="shared" si="55"/>
        <v>236.94171997052899</v>
      </c>
      <c r="M168" s="115">
        <f t="shared" si="56"/>
        <v>285.69838547053939</v>
      </c>
      <c r="N168" s="115">
        <f t="shared" si="57"/>
        <v>308.66543718729582</v>
      </c>
      <c r="O168" s="115">
        <f t="shared" si="58"/>
        <v>262.63685811140385</v>
      </c>
      <c r="P168" s="115">
        <f t="shared" si="59"/>
        <v>288.99179416066363</v>
      </c>
      <c r="Q168" s="115">
        <f t="shared" si="60"/>
        <v>34.776432988392152</v>
      </c>
    </row>
    <row r="169" spans="1:17" x14ac:dyDescent="0.25">
      <c r="A169" s="114">
        <f t="shared" si="51"/>
        <v>44573</v>
      </c>
      <c r="B169">
        <f t="shared" si="45"/>
        <v>5.5</v>
      </c>
      <c r="C169" s="109">
        <f t="shared" si="46"/>
        <v>19.066666666666666</v>
      </c>
      <c r="D169" s="109">
        <f t="shared" si="47"/>
        <v>72.86666666666666</v>
      </c>
      <c r="E169" s="107">
        <f t="shared" si="48"/>
        <v>44573.208333333336</v>
      </c>
      <c r="F169" s="106">
        <f t="shared" si="44"/>
        <v>44573.301634343494</v>
      </c>
      <c r="G169" t="str">
        <f t="shared" si="49"/>
        <v>Wednesday</v>
      </c>
      <c r="H169" s="129">
        <v>0.4375</v>
      </c>
      <c r="I169" s="115">
        <f t="shared" si="52"/>
        <v>322.48557049413807</v>
      </c>
      <c r="J169" s="115">
        <f t="shared" si="53"/>
        <v>267.79348926027114</v>
      </c>
      <c r="K169" s="115">
        <f t="shared" si="54"/>
        <v>24.939150731678762</v>
      </c>
      <c r="L169" s="115">
        <f t="shared" si="55"/>
        <v>236.94421166281253</v>
      </c>
      <c r="M169" s="115">
        <f t="shared" si="56"/>
        <v>285.6998049243515</v>
      </c>
      <c r="N169" s="115">
        <f t="shared" si="57"/>
        <v>308.66616972606556</v>
      </c>
      <c r="O169" s="115">
        <f t="shared" si="58"/>
        <v>262.63480568824207</v>
      </c>
      <c r="P169" s="115">
        <f t="shared" si="59"/>
        <v>288.99219160524859</v>
      </c>
      <c r="Q169" s="115">
        <f t="shared" si="60"/>
        <v>34.776248988422836</v>
      </c>
    </row>
    <row r="170" spans="1:17" x14ac:dyDescent="0.25">
      <c r="A170" s="114">
        <f t="shared" si="51"/>
        <v>44573</v>
      </c>
      <c r="B170">
        <f t="shared" si="45"/>
        <v>5.5</v>
      </c>
      <c r="C170" s="109">
        <f t="shared" si="46"/>
        <v>19.066666666666666</v>
      </c>
      <c r="D170" s="109">
        <f t="shared" si="47"/>
        <v>72.86666666666666</v>
      </c>
      <c r="E170" s="107">
        <f t="shared" si="48"/>
        <v>44573.211805555555</v>
      </c>
      <c r="F170" s="106">
        <f t="shared" si="44"/>
        <v>44573.301634343494</v>
      </c>
      <c r="G170" t="str">
        <f t="shared" si="49"/>
        <v>Wednesday</v>
      </c>
      <c r="H170" s="129">
        <v>0.44097222222222199</v>
      </c>
      <c r="I170" s="115">
        <f t="shared" si="52"/>
        <v>324.07488982945989</v>
      </c>
      <c r="J170" s="115">
        <f t="shared" si="53"/>
        <v>267.79702636835913</v>
      </c>
      <c r="K170" s="115">
        <f t="shared" si="54"/>
        <v>24.980338885013769</v>
      </c>
      <c r="L170" s="115">
        <f t="shared" si="55"/>
        <v>236.94670336213153</v>
      </c>
      <c r="M170" s="115">
        <f t="shared" si="56"/>
        <v>285.70122238401194</v>
      </c>
      <c r="N170" s="115">
        <f t="shared" si="57"/>
        <v>308.666902279515</v>
      </c>
      <c r="O170" s="115">
        <f t="shared" si="58"/>
        <v>262.63275342938488</v>
      </c>
      <c r="P170" s="115">
        <f t="shared" si="59"/>
        <v>288.99258905485243</v>
      </c>
      <c r="Q170" s="115">
        <f t="shared" si="60"/>
        <v>34.776064988453356</v>
      </c>
    </row>
    <row r="171" spans="1:17" x14ac:dyDescent="0.25">
      <c r="A171" s="114">
        <f t="shared" si="51"/>
        <v>44573</v>
      </c>
      <c r="B171">
        <f t="shared" si="45"/>
        <v>5.5</v>
      </c>
      <c r="C171" s="109">
        <f t="shared" si="46"/>
        <v>19.066666666666666</v>
      </c>
      <c r="D171" s="109">
        <f t="shared" si="47"/>
        <v>72.86666666666666</v>
      </c>
      <c r="E171" s="107">
        <f t="shared" si="48"/>
        <v>44573.215277777781</v>
      </c>
      <c r="F171" s="106">
        <f t="shared" si="44"/>
        <v>44573.301634343494</v>
      </c>
      <c r="G171" t="str">
        <f t="shared" si="49"/>
        <v>Wednesday</v>
      </c>
      <c r="H171" s="129">
        <v>0.44444444444444398</v>
      </c>
      <c r="I171" s="115">
        <f t="shared" si="52"/>
        <v>325.66833596040874</v>
      </c>
      <c r="J171" s="115">
        <f t="shared" si="53"/>
        <v>267.80056347506968</v>
      </c>
      <c r="K171" s="115">
        <f t="shared" si="54"/>
        <v>25.021525592479165</v>
      </c>
      <c r="L171" s="115">
        <f t="shared" si="55"/>
        <v>236.94919506905057</v>
      </c>
      <c r="M171" s="115">
        <f t="shared" si="56"/>
        <v>285.70263784924583</v>
      </c>
      <c r="N171" s="115">
        <f t="shared" si="57"/>
        <v>308.66763484755927</v>
      </c>
      <c r="O171" s="115">
        <f t="shared" si="58"/>
        <v>262.6307013343806</v>
      </c>
      <c r="P171" s="115">
        <f t="shared" si="59"/>
        <v>288.99298651005188</v>
      </c>
      <c r="Q171" s="115">
        <f t="shared" si="60"/>
        <v>34.775880988467456</v>
      </c>
    </row>
    <row r="172" spans="1:17" x14ac:dyDescent="0.25">
      <c r="A172" s="114">
        <f t="shared" si="51"/>
        <v>44573</v>
      </c>
      <c r="B172">
        <f t="shared" si="45"/>
        <v>5.5</v>
      </c>
      <c r="C172" s="109">
        <f t="shared" si="46"/>
        <v>19.066666666666666</v>
      </c>
      <c r="D172" s="109">
        <f t="shared" si="47"/>
        <v>72.86666666666666</v>
      </c>
      <c r="E172" s="107">
        <f t="shared" si="48"/>
        <v>44573.21875</v>
      </c>
      <c r="F172" s="106">
        <f t="shared" si="44"/>
        <v>44573.301634343494</v>
      </c>
      <c r="G172" t="str">
        <f t="shared" si="49"/>
        <v>Wednesday</v>
      </c>
      <c r="H172" s="129">
        <v>0.44791666666666602</v>
      </c>
      <c r="I172" s="115">
        <f t="shared" si="52"/>
        <v>327.26538009092468</v>
      </c>
      <c r="J172" s="115">
        <f t="shared" si="53"/>
        <v>267.8041005794949</v>
      </c>
      <c r="K172" s="115">
        <f t="shared" si="54"/>
        <v>25.062710846494642</v>
      </c>
      <c r="L172" s="115">
        <f t="shared" si="55"/>
        <v>236.95168678301721</v>
      </c>
      <c r="M172" s="115">
        <f t="shared" si="56"/>
        <v>285.70405131913776</v>
      </c>
      <c r="N172" s="115">
        <f t="shared" si="57"/>
        <v>308.66836743088862</v>
      </c>
      <c r="O172" s="115">
        <f t="shared" si="58"/>
        <v>262.62864940392154</v>
      </c>
      <c r="P172" s="115">
        <f t="shared" si="59"/>
        <v>288.99338397032574</v>
      </c>
      <c r="Q172" s="115">
        <f t="shared" si="60"/>
        <v>34.775696988514525</v>
      </c>
    </row>
    <row r="173" spans="1:17" x14ac:dyDescent="0.25">
      <c r="A173" s="114">
        <f t="shared" si="51"/>
        <v>44573</v>
      </c>
      <c r="B173">
        <f t="shared" si="45"/>
        <v>5.5</v>
      </c>
      <c r="C173" s="109">
        <f t="shared" si="46"/>
        <v>19.066666666666666</v>
      </c>
      <c r="D173" s="109">
        <f t="shared" si="47"/>
        <v>72.86666666666666</v>
      </c>
      <c r="E173" s="107">
        <f t="shared" si="48"/>
        <v>44573.222222222226</v>
      </c>
      <c r="F173" s="106">
        <f t="shared" si="44"/>
        <v>44573.301634343494</v>
      </c>
      <c r="G173" t="str">
        <f t="shared" si="49"/>
        <v>Wednesday</v>
      </c>
      <c r="H173" s="129">
        <v>0.45138888888888801</v>
      </c>
      <c r="I173" s="115">
        <f t="shared" si="52"/>
        <v>328.86547967447143</v>
      </c>
      <c r="J173" s="115">
        <f t="shared" si="53"/>
        <v>267.80763768200399</v>
      </c>
      <c r="K173" s="115">
        <f t="shared" si="54"/>
        <v>25.103894656012724</v>
      </c>
      <c r="L173" s="115">
        <f t="shared" si="55"/>
        <v>236.95417850416101</v>
      </c>
      <c r="M173" s="115">
        <f t="shared" si="56"/>
        <v>285.70546279330557</v>
      </c>
      <c r="N173" s="115">
        <f t="shared" si="57"/>
        <v>308.66910002860612</v>
      </c>
      <c r="O173" s="115">
        <f t="shared" si="58"/>
        <v>262.62659763794477</v>
      </c>
      <c r="P173" s="115">
        <f t="shared" si="59"/>
        <v>288.99378143646419</v>
      </c>
      <c r="Q173" s="115">
        <f t="shared" si="60"/>
        <v>34.775512988561701</v>
      </c>
    </row>
    <row r="174" spans="1:17" x14ac:dyDescent="0.25">
      <c r="A174" s="114">
        <f t="shared" si="51"/>
        <v>44573</v>
      </c>
      <c r="B174">
        <f t="shared" si="45"/>
        <v>5.5</v>
      </c>
      <c r="C174" s="109">
        <f t="shared" si="46"/>
        <v>19.066666666666666</v>
      </c>
      <c r="D174" s="109">
        <f t="shared" si="47"/>
        <v>72.86666666666666</v>
      </c>
      <c r="E174" s="107">
        <f t="shared" si="48"/>
        <v>44573.225694444445</v>
      </c>
      <c r="F174" s="106">
        <f t="shared" si="44"/>
        <v>44573.301634343494</v>
      </c>
      <c r="G174" t="str">
        <f t="shared" si="49"/>
        <v>Wednesday</v>
      </c>
      <c r="H174" s="129">
        <v>0.45486111111110999</v>
      </c>
      <c r="I174" s="115">
        <f t="shared" si="52"/>
        <v>330.4680798222804</v>
      </c>
      <c r="J174" s="115">
        <f t="shared" si="53"/>
        <v>267.81117478306618</v>
      </c>
      <c r="K174" s="115">
        <f t="shared" si="54"/>
        <v>25.145077030093834</v>
      </c>
      <c r="L174" s="115">
        <f t="shared" si="55"/>
        <v>236.95667023287271</v>
      </c>
      <c r="M174" s="115">
        <f t="shared" si="56"/>
        <v>285.70687227130173</v>
      </c>
      <c r="N174" s="115">
        <f t="shared" si="57"/>
        <v>308.66983264122717</v>
      </c>
      <c r="O174" s="115">
        <f t="shared" si="58"/>
        <v>262.62454603642459</v>
      </c>
      <c r="P174" s="115">
        <f t="shared" si="59"/>
        <v>288.99417890846195</v>
      </c>
      <c r="Q174" s="115">
        <f t="shared" si="60"/>
        <v>34.77532898860877</v>
      </c>
    </row>
    <row r="175" spans="1:17" x14ac:dyDescent="0.25">
      <c r="A175" s="114">
        <f t="shared" si="51"/>
        <v>44573</v>
      </c>
      <c r="B175">
        <f t="shared" si="45"/>
        <v>5.5</v>
      </c>
      <c r="C175" s="109">
        <f t="shared" si="46"/>
        <v>19.066666666666666</v>
      </c>
      <c r="D175" s="109">
        <f t="shared" si="47"/>
        <v>72.86666666666666</v>
      </c>
      <c r="E175" s="107">
        <f t="shared" si="48"/>
        <v>44573.229166666672</v>
      </c>
      <c r="F175" s="106">
        <f t="shared" si="44"/>
        <v>44573.301634343494</v>
      </c>
      <c r="G175" t="str">
        <f t="shared" si="49"/>
        <v>Wednesday</v>
      </c>
      <c r="H175" s="129">
        <v>0.45833333333333198</v>
      </c>
      <c r="I175" s="115">
        <f t="shared" si="52"/>
        <v>332.07261481491332</v>
      </c>
      <c r="J175" s="115">
        <f t="shared" si="53"/>
        <v>267.81471188184315</v>
      </c>
      <c r="K175" s="115">
        <f t="shared" si="54"/>
        <v>25.186257960985152</v>
      </c>
      <c r="L175" s="115">
        <f t="shared" si="55"/>
        <v>236.9591619686575</v>
      </c>
      <c r="M175" s="115">
        <f t="shared" si="56"/>
        <v>285.70827975222608</v>
      </c>
      <c r="N175" s="115">
        <f t="shared" si="57"/>
        <v>308.6705652681552</v>
      </c>
      <c r="O175" s="115">
        <f t="shared" si="58"/>
        <v>262.62249459979188</v>
      </c>
      <c r="P175" s="115">
        <f t="shared" si="59"/>
        <v>288.99457638532317</v>
      </c>
      <c r="Q175" s="115">
        <f t="shared" si="60"/>
        <v>34.77514498862282</v>
      </c>
    </row>
    <row r="176" spans="1:17" x14ac:dyDescent="0.25">
      <c r="A176" s="114">
        <f t="shared" si="51"/>
        <v>44573</v>
      </c>
      <c r="B176">
        <f t="shared" si="45"/>
        <v>5.5</v>
      </c>
      <c r="C176" s="109">
        <f t="shared" si="46"/>
        <v>19.066666666666666</v>
      </c>
      <c r="D176" s="109">
        <f t="shared" si="47"/>
        <v>72.86666666666666</v>
      </c>
      <c r="E176" s="107">
        <f t="shared" si="48"/>
        <v>44573.232638888891</v>
      </c>
      <c r="F176" s="106">
        <f t="shared" si="44"/>
        <v>44573.301634343494</v>
      </c>
      <c r="G176" t="str">
        <f t="shared" si="49"/>
        <v>Wednesday</v>
      </c>
      <c r="H176" s="129">
        <v>0.46180555555555403</v>
      </c>
      <c r="I176" s="115">
        <f t="shared" si="52"/>
        <v>333.67851185570476</v>
      </c>
      <c r="J176" s="115">
        <f t="shared" si="53"/>
        <v>267.81824897923991</v>
      </c>
      <c r="K176" s="115">
        <f t="shared" si="54"/>
        <v>25.227437463368517</v>
      </c>
      <c r="L176" s="115">
        <f t="shared" si="55"/>
        <v>236.96165371203125</v>
      </c>
      <c r="M176" s="115">
        <f t="shared" si="56"/>
        <v>285.70968523589045</v>
      </c>
      <c r="N176" s="115">
        <f t="shared" si="57"/>
        <v>308.67129791044562</v>
      </c>
      <c r="O176" s="115">
        <f t="shared" si="58"/>
        <v>262.62044332802634</v>
      </c>
      <c r="P176" s="115">
        <f t="shared" si="59"/>
        <v>288.99497386751716</v>
      </c>
      <c r="Q176" s="115">
        <f t="shared" si="60"/>
        <v>34.774960988669982</v>
      </c>
    </row>
    <row r="177" spans="1:17" x14ac:dyDescent="0.25">
      <c r="A177" s="114">
        <f t="shared" si="51"/>
        <v>44573</v>
      </c>
      <c r="B177">
        <f t="shared" si="45"/>
        <v>5.5</v>
      </c>
      <c r="C177" s="109">
        <f t="shared" si="46"/>
        <v>19.066666666666666</v>
      </c>
      <c r="D177" s="109">
        <f t="shared" si="47"/>
        <v>72.86666666666666</v>
      </c>
      <c r="E177" s="107">
        <f t="shared" si="48"/>
        <v>44573.236111111117</v>
      </c>
      <c r="F177" s="106">
        <f t="shared" si="44"/>
        <v>44573.301634343494</v>
      </c>
      <c r="G177" t="str">
        <f t="shared" si="49"/>
        <v>Wednesday</v>
      </c>
      <c r="H177" s="129">
        <v>0.46527777777777601</v>
      </c>
      <c r="I177" s="115">
        <f t="shared" si="52"/>
        <v>335.28519167409712</v>
      </c>
      <c r="J177" s="115">
        <f t="shared" si="53"/>
        <v>267.82178607429938</v>
      </c>
      <c r="K177" s="115">
        <f t="shared" si="54"/>
        <v>25.268615529508125</v>
      </c>
      <c r="L177" s="115">
        <f t="shared" si="55"/>
        <v>236.96414546238339</v>
      </c>
      <c r="M177" s="115">
        <f t="shared" si="56"/>
        <v>285.7110887212956</v>
      </c>
      <c r="N177" s="115">
        <f t="shared" si="57"/>
        <v>308.67203056734968</v>
      </c>
      <c r="O177" s="115">
        <f t="shared" si="58"/>
        <v>262.61839222159239</v>
      </c>
      <c r="P177" s="115">
        <f t="shared" si="59"/>
        <v>288.99537135530886</v>
      </c>
      <c r="Q177" s="115">
        <f t="shared" si="60"/>
        <v>34.774776988700502</v>
      </c>
    </row>
    <row r="178" spans="1:17" x14ac:dyDescent="0.25">
      <c r="A178" s="114">
        <f t="shared" si="51"/>
        <v>44573</v>
      </c>
      <c r="B178">
        <f t="shared" si="45"/>
        <v>5.5</v>
      </c>
      <c r="C178" s="109">
        <f t="shared" si="46"/>
        <v>19.066666666666666</v>
      </c>
      <c r="D178" s="109">
        <f t="shared" si="47"/>
        <v>72.86666666666666</v>
      </c>
      <c r="E178" s="107">
        <f t="shared" si="48"/>
        <v>44573.239583333336</v>
      </c>
      <c r="F178" s="106">
        <f t="shared" si="44"/>
        <v>44573.301634343494</v>
      </c>
      <c r="G178" t="str">
        <f t="shared" si="49"/>
        <v>Wednesday</v>
      </c>
      <c r="H178" s="129">
        <v>0.468749999999998</v>
      </c>
      <c r="I178" s="115">
        <f t="shared" si="52"/>
        <v>336.8920726214584</v>
      </c>
      <c r="J178" s="115">
        <f t="shared" si="53"/>
        <v>267.82532316808943</v>
      </c>
      <c r="K178" s="115">
        <f t="shared" si="54"/>
        <v>25.309792173965992</v>
      </c>
      <c r="L178" s="115">
        <f t="shared" si="55"/>
        <v>236.96663722049027</v>
      </c>
      <c r="M178" s="115">
        <f t="shared" si="56"/>
        <v>285.7124902083014</v>
      </c>
      <c r="N178" s="115">
        <f t="shared" si="57"/>
        <v>308.6727632391266</v>
      </c>
      <c r="O178" s="115">
        <f t="shared" si="58"/>
        <v>262.61634128021905</v>
      </c>
      <c r="P178" s="115">
        <f t="shared" si="59"/>
        <v>288.99576884857169</v>
      </c>
      <c r="Q178" s="115">
        <f t="shared" si="60"/>
        <v>34.774592988714545</v>
      </c>
    </row>
    <row r="179" spans="1:17" x14ac:dyDescent="0.25">
      <c r="A179" s="114">
        <f t="shared" si="51"/>
        <v>44573</v>
      </c>
      <c r="B179">
        <f t="shared" si="45"/>
        <v>5.5</v>
      </c>
      <c r="C179" s="109">
        <f t="shared" si="46"/>
        <v>19.066666666666666</v>
      </c>
      <c r="D179" s="109">
        <f t="shared" si="47"/>
        <v>72.86666666666666</v>
      </c>
      <c r="E179" s="107">
        <f t="shared" si="48"/>
        <v>44573.243055555555</v>
      </c>
      <c r="F179" s="106">
        <f t="shared" si="44"/>
        <v>44573.301634343494</v>
      </c>
      <c r="G179" t="str">
        <f t="shared" si="49"/>
        <v>Wednesday</v>
      </c>
      <c r="H179" s="129">
        <v>0.47222222222221999</v>
      </c>
      <c r="I179" s="115">
        <f t="shared" si="52"/>
        <v>338.49857135760635</v>
      </c>
      <c r="J179" s="115">
        <f t="shared" si="53"/>
        <v>267.82886025942912</v>
      </c>
      <c r="K179" s="115">
        <f t="shared" si="54"/>
        <v>25.350967389114203</v>
      </c>
      <c r="L179" s="115">
        <f t="shared" si="55"/>
        <v>236.96912898550153</v>
      </c>
      <c r="M179" s="115">
        <f t="shared" si="56"/>
        <v>285.71388969589873</v>
      </c>
      <c r="N179" s="115">
        <f t="shared" si="57"/>
        <v>308.67349592566325</v>
      </c>
      <c r="O179" s="115">
        <f t="shared" si="58"/>
        <v>262.61429050448686</v>
      </c>
      <c r="P179" s="115">
        <f t="shared" si="59"/>
        <v>288.99616634711361</v>
      </c>
      <c r="Q179" s="115">
        <f t="shared" si="60"/>
        <v>34.77440898874513</v>
      </c>
    </row>
    <row r="180" spans="1:17" x14ac:dyDescent="0.25">
      <c r="A180" s="114">
        <f t="shared" si="51"/>
        <v>44573</v>
      </c>
      <c r="B180">
        <f t="shared" si="45"/>
        <v>5.5</v>
      </c>
      <c r="C180" s="109">
        <f t="shared" si="46"/>
        <v>19.066666666666666</v>
      </c>
      <c r="D180" s="109">
        <f t="shared" si="47"/>
        <v>72.86666666666666</v>
      </c>
      <c r="E180" s="107">
        <f t="shared" si="48"/>
        <v>44573.246527777781</v>
      </c>
      <c r="F180" s="106">
        <f t="shared" si="44"/>
        <v>44573.301634343494</v>
      </c>
      <c r="G180" t="str">
        <f t="shared" si="49"/>
        <v>Wednesday</v>
      </c>
      <c r="H180" s="129">
        <v>0.47569444444444198</v>
      </c>
      <c r="I180" s="115">
        <f t="shared" si="52"/>
        <v>340.10410698336557</v>
      </c>
      <c r="J180" s="115">
        <f t="shared" si="53"/>
        <v>267.83239734926531</v>
      </c>
      <c r="K180" s="115">
        <f t="shared" si="54"/>
        <v>25.392141189495089</v>
      </c>
      <c r="L180" s="115">
        <f t="shared" si="55"/>
        <v>236.9716207578781</v>
      </c>
      <c r="M180" s="115">
        <f t="shared" si="56"/>
        <v>285.71528718384809</v>
      </c>
      <c r="N180" s="115">
        <f t="shared" si="57"/>
        <v>308.67422862670583</v>
      </c>
      <c r="O180" s="115">
        <f t="shared" si="58"/>
        <v>262.61223989427623</v>
      </c>
      <c r="P180" s="115">
        <f t="shared" si="59"/>
        <v>288.99656385140571</v>
      </c>
      <c r="Q180" s="115">
        <f t="shared" si="60"/>
        <v>34.774224988792298</v>
      </c>
    </row>
    <row r="181" spans="1:17" x14ac:dyDescent="0.25">
      <c r="A181" s="114">
        <f t="shared" si="51"/>
        <v>44573</v>
      </c>
      <c r="B181">
        <f t="shared" si="45"/>
        <v>5.5</v>
      </c>
      <c r="C181" s="109">
        <f t="shared" si="46"/>
        <v>19.066666666666666</v>
      </c>
      <c r="D181" s="109">
        <f t="shared" si="47"/>
        <v>72.86666666666666</v>
      </c>
      <c r="E181" s="107">
        <f t="shared" si="48"/>
        <v>44573.25</v>
      </c>
      <c r="F181" s="106">
        <f t="shared" si="44"/>
        <v>44573.301634343494</v>
      </c>
      <c r="G181" t="str">
        <f t="shared" si="49"/>
        <v>Wednesday</v>
      </c>
      <c r="H181" s="129">
        <v>0.47916666666666402</v>
      </c>
      <c r="I181" s="115">
        <f t="shared" si="52"/>
        <v>341.70810172086306</v>
      </c>
      <c r="J181" s="115">
        <f t="shared" si="53"/>
        <v>267.83593443688062</v>
      </c>
      <c r="K181" s="115">
        <f t="shared" si="54"/>
        <v>25.433313567469508</v>
      </c>
      <c r="L181" s="115">
        <f t="shared" si="55"/>
        <v>236.97411253749974</v>
      </c>
      <c r="M181" s="115">
        <f t="shared" si="56"/>
        <v>285.71668267127529</v>
      </c>
      <c r="N181" s="115">
        <f t="shared" si="57"/>
        <v>308.67496134286716</v>
      </c>
      <c r="O181" s="115">
        <f t="shared" si="58"/>
        <v>262.61018945001246</v>
      </c>
      <c r="P181" s="115">
        <f t="shared" si="59"/>
        <v>288.99696136172156</v>
      </c>
      <c r="Q181" s="115">
        <f t="shared" si="60"/>
        <v>34.774040988839474</v>
      </c>
    </row>
    <row r="182" spans="1:17" x14ac:dyDescent="0.25">
      <c r="A182" s="114">
        <f t="shared" si="51"/>
        <v>44573</v>
      </c>
      <c r="B182">
        <f t="shared" si="45"/>
        <v>5.5</v>
      </c>
      <c r="C182" s="109">
        <f t="shared" si="46"/>
        <v>19.066666666666666</v>
      </c>
      <c r="D182" s="109">
        <f t="shared" si="47"/>
        <v>72.86666666666666</v>
      </c>
      <c r="E182" s="107">
        <f t="shared" si="48"/>
        <v>44573.253472222226</v>
      </c>
      <c r="F182" s="106">
        <f t="shared" si="44"/>
        <v>44573.301634343494</v>
      </c>
      <c r="G182" t="str">
        <f t="shared" si="49"/>
        <v>Wednesday</v>
      </c>
      <c r="H182" s="129">
        <v>0.48263888888888601</v>
      </c>
      <c r="I182" s="115">
        <f t="shared" si="52"/>
        <v>343.30998477858697</v>
      </c>
      <c r="J182" s="115">
        <f t="shared" si="53"/>
        <v>267.83947152263028</v>
      </c>
      <c r="K182" s="115">
        <f t="shared" si="54"/>
        <v>25.474484531983371</v>
      </c>
      <c r="L182" s="115">
        <f t="shared" si="55"/>
        <v>236.97660432427716</v>
      </c>
      <c r="M182" s="115">
        <f t="shared" si="56"/>
        <v>285.71807615778988</v>
      </c>
      <c r="N182" s="115">
        <f t="shared" si="57"/>
        <v>308.67569407353704</v>
      </c>
      <c r="O182" s="115">
        <f t="shared" si="58"/>
        <v>262.60813917182429</v>
      </c>
      <c r="P182" s="115">
        <f t="shared" si="59"/>
        <v>288.99735887631124</v>
      </c>
      <c r="Q182" s="115">
        <f t="shared" si="60"/>
        <v>34.773856988870051</v>
      </c>
    </row>
    <row r="183" spans="1:17" x14ac:dyDescent="0.25">
      <c r="A183" s="114">
        <f t="shared" si="51"/>
        <v>44573</v>
      </c>
      <c r="B183">
        <f t="shared" si="45"/>
        <v>5.5</v>
      </c>
      <c r="C183" s="109">
        <f t="shared" si="46"/>
        <v>19.066666666666666</v>
      </c>
      <c r="D183" s="109">
        <f t="shared" si="47"/>
        <v>72.86666666666666</v>
      </c>
      <c r="E183" s="107">
        <f t="shared" si="48"/>
        <v>44573.256944444445</v>
      </c>
      <c r="F183" s="106">
        <f t="shared" si="44"/>
        <v>44573.301634343494</v>
      </c>
      <c r="G183" t="str">
        <f t="shared" si="49"/>
        <v>Wednesday</v>
      </c>
      <c r="H183" s="129">
        <v>0.486111111111108</v>
      </c>
      <c r="I183" s="115">
        <f t="shared" si="52"/>
        <v>344.90919400869046</v>
      </c>
      <c r="J183" s="115">
        <f t="shared" si="53"/>
        <v>267.84300860699602</v>
      </c>
      <c r="K183" s="115">
        <f t="shared" si="54"/>
        <v>25.515654092094604</v>
      </c>
      <c r="L183" s="115">
        <f t="shared" si="55"/>
        <v>236.97909611882471</v>
      </c>
      <c r="M183" s="115">
        <f t="shared" si="56"/>
        <v>285.71946764299167</v>
      </c>
      <c r="N183" s="115">
        <f t="shared" si="57"/>
        <v>308.6764268188553</v>
      </c>
      <c r="O183" s="115">
        <f t="shared" si="58"/>
        <v>262.60608905951835</v>
      </c>
      <c r="P183" s="115">
        <f t="shared" si="59"/>
        <v>288.99775639707258</v>
      </c>
      <c r="Q183" s="115">
        <f t="shared" si="60"/>
        <v>34.773672988917177</v>
      </c>
    </row>
    <row r="184" spans="1:17" x14ac:dyDescent="0.25">
      <c r="A184" s="114">
        <f t="shared" si="51"/>
        <v>44573</v>
      </c>
      <c r="B184">
        <f t="shared" si="45"/>
        <v>5.5</v>
      </c>
      <c r="C184" s="109">
        <f t="shared" si="46"/>
        <v>19.066666666666666</v>
      </c>
      <c r="D184" s="109">
        <f t="shared" si="47"/>
        <v>72.86666666666666</v>
      </c>
      <c r="E184" s="107">
        <f t="shared" si="48"/>
        <v>44573.260416666672</v>
      </c>
      <c r="F184" s="106">
        <f t="shared" si="44"/>
        <v>44573.301634343494</v>
      </c>
      <c r="G184" t="str">
        <f t="shared" si="49"/>
        <v>Wednesday</v>
      </c>
      <c r="H184" s="129">
        <v>0.48958333333332998</v>
      </c>
      <c r="I184" s="115">
        <f t="shared" si="52"/>
        <v>346.50517748980832</v>
      </c>
      <c r="J184" s="115">
        <f t="shared" si="53"/>
        <v>267.84654568955432</v>
      </c>
      <c r="K184" s="115">
        <f t="shared" si="54"/>
        <v>25.556822245602874</v>
      </c>
      <c r="L184" s="115">
        <f t="shared" si="55"/>
        <v>236.98158792066249</v>
      </c>
      <c r="M184" s="115">
        <f t="shared" si="56"/>
        <v>285.72085712607344</v>
      </c>
      <c r="N184" s="115">
        <f t="shared" si="57"/>
        <v>308.6771595793449</v>
      </c>
      <c r="O184" s="115">
        <f t="shared" si="58"/>
        <v>262.60403911350551</v>
      </c>
      <c r="P184" s="115">
        <f t="shared" si="59"/>
        <v>288.99815392280607</v>
      </c>
      <c r="Q184" s="115">
        <f t="shared" si="60"/>
        <v>34.773488988931277</v>
      </c>
    </row>
    <row r="185" spans="1:17" x14ac:dyDescent="0.25">
      <c r="A185" s="114">
        <f t="shared" si="51"/>
        <v>44573</v>
      </c>
      <c r="B185">
        <f t="shared" si="45"/>
        <v>5.5</v>
      </c>
      <c r="C185" s="109">
        <f t="shared" si="46"/>
        <v>19.066666666666666</v>
      </c>
      <c r="D185" s="109">
        <f t="shared" si="47"/>
        <v>72.86666666666666</v>
      </c>
      <c r="E185" s="107">
        <f t="shared" si="48"/>
        <v>44573.263888888891</v>
      </c>
      <c r="F185" s="106">
        <f t="shared" si="44"/>
        <v>44573.301634343494</v>
      </c>
      <c r="G185" t="str">
        <f t="shared" si="49"/>
        <v>Wednesday</v>
      </c>
      <c r="H185" s="129">
        <v>0.49305555555555203</v>
      </c>
      <c r="I185" s="115">
        <f t="shared" si="52"/>
        <v>348.09739714686754</v>
      </c>
      <c r="J185" s="115">
        <f t="shared" si="53"/>
        <v>267.8500827702627</v>
      </c>
      <c r="K185" s="115">
        <f t="shared" si="54"/>
        <v>25.597988996014926</v>
      </c>
      <c r="L185" s="115">
        <f t="shared" si="55"/>
        <v>236.9840797298578</v>
      </c>
      <c r="M185" s="115">
        <f t="shared" si="56"/>
        <v>285.72224460663807</v>
      </c>
      <c r="N185" s="115">
        <f t="shared" si="57"/>
        <v>308.67789235454791</v>
      </c>
      <c r="O185" s="115">
        <f t="shared" si="58"/>
        <v>262.6019893340943</v>
      </c>
      <c r="P185" s="115">
        <f t="shared" si="59"/>
        <v>288.99855145379132</v>
      </c>
      <c r="Q185" s="115">
        <f t="shared" si="60"/>
        <v>34.773304988945199</v>
      </c>
    </row>
    <row r="186" spans="1:17" x14ac:dyDescent="0.25">
      <c r="A186" s="114">
        <f t="shared" si="51"/>
        <v>44573</v>
      </c>
      <c r="B186">
        <f t="shared" si="45"/>
        <v>5.5</v>
      </c>
      <c r="C186" s="109">
        <f t="shared" si="46"/>
        <v>19.066666666666666</v>
      </c>
      <c r="D186" s="109">
        <f t="shared" si="47"/>
        <v>72.86666666666666</v>
      </c>
      <c r="E186" s="107">
        <f t="shared" si="48"/>
        <v>44573.267361111117</v>
      </c>
      <c r="F186" s="106">
        <f t="shared" si="44"/>
        <v>44573.301634343494</v>
      </c>
      <c r="G186" t="str">
        <f t="shared" si="49"/>
        <v>Wednesday</v>
      </c>
      <c r="H186" s="129">
        <v>0.49652777777777402</v>
      </c>
      <c r="I186" s="115">
        <f t="shared" si="52"/>
        <v>349.6853290539068</v>
      </c>
      <c r="J186" s="115">
        <f t="shared" si="53"/>
        <v>267.85361984850516</v>
      </c>
      <c r="K186" s="115">
        <f t="shared" si="54"/>
        <v>25.639154341249299</v>
      </c>
      <c r="L186" s="115">
        <f t="shared" si="55"/>
        <v>236.98657154575525</v>
      </c>
      <c r="M186" s="115">
        <f t="shared" si="56"/>
        <v>285.72363008366392</v>
      </c>
      <c r="N186" s="115">
        <f t="shared" si="57"/>
        <v>308.67862514408949</v>
      </c>
      <c r="O186" s="115">
        <f t="shared" si="58"/>
        <v>262.59993972157577</v>
      </c>
      <c r="P186" s="115">
        <f t="shared" si="59"/>
        <v>288.99894899109222</v>
      </c>
      <c r="Q186" s="115">
        <f t="shared" si="60"/>
        <v>34.773120989008952</v>
      </c>
    </row>
    <row r="187" spans="1:17" x14ac:dyDescent="0.25">
      <c r="A187" s="114">
        <f t="shared" si="51"/>
        <v>44573</v>
      </c>
      <c r="B187">
        <f t="shared" si="45"/>
        <v>5.5</v>
      </c>
      <c r="C187" s="109">
        <f t="shared" si="46"/>
        <v>19.066666666666666</v>
      </c>
      <c r="D187" s="109">
        <f t="shared" si="47"/>
        <v>72.86666666666666</v>
      </c>
      <c r="E187" s="107">
        <f t="shared" si="48"/>
        <v>44573.270833333336</v>
      </c>
      <c r="F187" s="106">
        <f t="shared" si="44"/>
        <v>44573.301634343494</v>
      </c>
      <c r="G187" t="str">
        <f t="shared" si="49"/>
        <v>Wednesday</v>
      </c>
      <c r="H187" s="129">
        <v>0.499999999999996</v>
      </c>
      <c r="I187" s="115">
        <f t="shared" si="52"/>
        <v>351.2684670092508</v>
      </c>
      <c r="J187" s="115">
        <f t="shared" si="53"/>
        <v>267.85715692535604</v>
      </c>
      <c r="K187" s="115">
        <f t="shared" si="54"/>
        <v>25.680318295766856</v>
      </c>
      <c r="L187" s="115">
        <f t="shared" si="55"/>
        <v>236.98906336938356</v>
      </c>
      <c r="M187" s="115">
        <f t="shared" si="56"/>
        <v>285.7250135570518</v>
      </c>
      <c r="N187" s="115">
        <f t="shared" si="57"/>
        <v>308.67935794880651</v>
      </c>
      <c r="O187" s="115">
        <f t="shared" si="58"/>
        <v>262.59789027561396</v>
      </c>
      <c r="P187" s="115">
        <f t="shared" si="59"/>
        <v>288.99934653376715</v>
      </c>
      <c r="Q187" s="115">
        <f t="shared" si="60"/>
        <v>34.772936989022895</v>
      </c>
    </row>
    <row r="188" spans="1:17" x14ac:dyDescent="0.25">
      <c r="A188" s="114">
        <f t="shared" si="51"/>
        <v>44573</v>
      </c>
      <c r="B188">
        <f t="shared" si="45"/>
        <v>5.5</v>
      </c>
      <c r="C188" s="109">
        <f t="shared" si="46"/>
        <v>19.066666666666666</v>
      </c>
      <c r="D188" s="109">
        <f t="shared" si="47"/>
        <v>72.86666666666666</v>
      </c>
      <c r="E188" s="107">
        <f t="shared" si="48"/>
        <v>44573.274305555555</v>
      </c>
      <c r="F188" s="106">
        <f t="shared" si="44"/>
        <v>44573.301634343494</v>
      </c>
      <c r="G188" t="str">
        <f t="shared" si="49"/>
        <v>Wednesday</v>
      </c>
      <c r="H188" s="129">
        <v>0.50347222222221799</v>
      </c>
      <c r="I188" s="115">
        <f t="shared" si="52"/>
        <v>352.84632256872607</v>
      </c>
      <c r="J188" s="115">
        <f t="shared" si="53"/>
        <v>267.86069399993585</v>
      </c>
      <c r="K188" s="115">
        <f t="shared" si="54"/>
        <v>25.721480852012711</v>
      </c>
      <c r="L188" s="115">
        <f t="shared" si="55"/>
        <v>236.99155519998359</v>
      </c>
      <c r="M188" s="115">
        <f t="shared" si="56"/>
        <v>285.72639502594171</v>
      </c>
      <c r="N188" s="115">
        <f t="shared" si="57"/>
        <v>308.68009076816315</v>
      </c>
      <c r="O188" s="115">
        <f t="shared" si="58"/>
        <v>262.59584099682672</v>
      </c>
      <c r="P188" s="115">
        <f t="shared" si="59"/>
        <v>288.99974408192594</v>
      </c>
      <c r="Q188" s="115">
        <f t="shared" si="60"/>
        <v>34.772752989070121</v>
      </c>
    </row>
    <row r="189" spans="1:17" x14ac:dyDescent="0.25">
      <c r="A189" s="114">
        <f t="shared" si="51"/>
        <v>44573</v>
      </c>
      <c r="B189">
        <f t="shared" si="45"/>
        <v>5.5</v>
      </c>
      <c r="C189" s="109">
        <f t="shared" si="46"/>
        <v>19.066666666666666</v>
      </c>
      <c r="D189" s="109">
        <f t="shared" si="47"/>
        <v>72.86666666666666</v>
      </c>
      <c r="E189" s="107">
        <f t="shared" si="48"/>
        <v>44573.277777777781</v>
      </c>
      <c r="F189" s="106">
        <f t="shared" si="44"/>
        <v>44573.301634343494</v>
      </c>
      <c r="G189" t="str">
        <f t="shared" si="49"/>
        <v>Wednesday</v>
      </c>
      <c r="H189" s="129">
        <v>0.50694444444443998</v>
      </c>
      <c r="I189" s="115">
        <f t="shared" si="52"/>
        <v>354.41842831098307</v>
      </c>
      <c r="J189" s="115">
        <f t="shared" si="53"/>
        <v>267.86423107311799</v>
      </c>
      <c r="K189" s="115">
        <f t="shared" si="54"/>
        <v>25.762642024387599</v>
      </c>
      <c r="L189" s="115">
        <f t="shared" si="55"/>
        <v>236.99404703829541</v>
      </c>
      <c r="M189" s="115">
        <f t="shared" si="56"/>
        <v>285.72777449000228</v>
      </c>
      <c r="N189" s="115">
        <f t="shared" si="57"/>
        <v>308.68082360218335</v>
      </c>
      <c r="O189" s="115">
        <f t="shared" si="58"/>
        <v>262.59379188510502</v>
      </c>
      <c r="P189" s="115">
        <f t="shared" si="59"/>
        <v>289.00014163465733</v>
      </c>
      <c r="Q189" s="115">
        <f t="shared" si="60"/>
        <v>34.772568989100648</v>
      </c>
    </row>
    <row r="190" spans="1:17" x14ac:dyDescent="0.25">
      <c r="A190" s="114">
        <f t="shared" si="51"/>
        <v>44573</v>
      </c>
      <c r="B190">
        <f t="shared" si="45"/>
        <v>5.5</v>
      </c>
      <c r="C190" s="109">
        <f t="shared" si="46"/>
        <v>19.066666666666666</v>
      </c>
      <c r="D190" s="109">
        <f t="shared" si="47"/>
        <v>72.86666666666666</v>
      </c>
      <c r="E190" s="107">
        <f t="shared" si="48"/>
        <v>44573.28125</v>
      </c>
      <c r="F190" s="106">
        <f t="shared" si="44"/>
        <v>44573.301634343494</v>
      </c>
      <c r="G190" t="str">
        <f t="shared" si="49"/>
        <v>Wednesday</v>
      </c>
      <c r="H190" s="129">
        <v>0.51041666666666197</v>
      </c>
      <c r="I190" s="115">
        <f t="shared" si="52"/>
        <v>355.9843375557553</v>
      </c>
      <c r="J190" s="115">
        <f t="shared" si="53"/>
        <v>267.86776814409973</v>
      </c>
      <c r="K190" s="115">
        <f t="shared" si="54"/>
        <v>25.803801805337883</v>
      </c>
      <c r="L190" s="115">
        <f t="shared" si="55"/>
        <v>236.99653888369002</v>
      </c>
      <c r="M190" s="115">
        <f t="shared" si="56"/>
        <v>285.72915194846428</v>
      </c>
      <c r="N190" s="115">
        <f t="shared" si="57"/>
        <v>308.68155645118691</v>
      </c>
      <c r="O190" s="115">
        <f t="shared" si="58"/>
        <v>262.59174294087114</v>
      </c>
      <c r="P190" s="115">
        <f t="shared" si="59"/>
        <v>289.00053919357902</v>
      </c>
      <c r="Q190" s="115">
        <f t="shared" si="60"/>
        <v>34.772384989147874</v>
      </c>
    </row>
    <row r="191" spans="1:17" x14ac:dyDescent="0.25">
      <c r="A191" s="114">
        <f t="shared" si="51"/>
        <v>44573</v>
      </c>
      <c r="B191">
        <f t="shared" si="45"/>
        <v>5.5</v>
      </c>
      <c r="C191" s="109">
        <f t="shared" si="46"/>
        <v>19.066666666666666</v>
      </c>
      <c r="D191" s="109">
        <f t="shared" si="47"/>
        <v>72.86666666666666</v>
      </c>
      <c r="E191" s="107">
        <f t="shared" si="48"/>
        <v>44573.284722222226</v>
      </c>
      <c r="F191" s="106">
        <f t="shared" si="44"/>
        <v>44573.301634343494</v>
      </c>
      <c r="G191" t="str">
        <f t="shared" si="49"/>
        <v>Wednesday</v>
      </c>
      <c r="H191" s="129">
        <v>0.51388888888888395</v>
      </c>
      <c r="I191" s="115">
        <f t="shared" si="52"/>
        <v>357.54362707116064</v>
      </c>
      <c r="J191" s="115">
        <f t="shared" si="53"/>
        <v>267.87130521297064</v>
      </c>
      <c r="K191" s="115">
        <f t="shared" si="54"/>
        <v>25.844960203786211</v>
      </c>
      <c r="L191" s="115">
        <f t="shared" si="55"/>
        <v>236.99903073608306</v>
      </c>
      <c r="M191" s="115">
        <f t="shared" si="56"/>
        <v>285.73052740070176</v>
      </c>
      <c r="N191" s="115">
        <f t="shared" si="57"/>
        <v>308.68228931458492</v>
      </c>
      <c r="O191" s="115">
        <f t="shared" si="58"/>
        <v>262.5896941641729</v>
      </c>
      <c r="P191" s="115">
        <f t="shared" si="59"/>
        <v>289.00093675744489</v>
      </c>
      <c r="Q191" s="115">
        <f t="shared" si="60"/>
        <v>34.772200989178344</v>
      </c>
    </row>
    <row r="192" spans="1:17" x14ac:dyDescent="0.25">
      <c r="A192" s="114">
        <f t="shared" si="51"/>
        <v>44573</v>
      </c>
      <c r="B192">
        <f t="shared" si="45"/>
        <v>5.5</v>
      </c>
      <c r="C192" s="109">
        <f t="shared" si="46"/>
        <v>19.066666666666666</v>
      </c>
      <c r="D192" s="109">
        <f t="shared" si="47"/>
        <v>72.86666666666666</v>
      </c>
      <c r="E192" s="107">
        <f t="shared" si="48"/>
        <v>44573.288194444445</v>
      </c>
      <c r="F192" s="106">
        <f t="shared" si="44"/>
        <v>44573.301634343494</v>
      </c>
      <c r="G192" t="str">
        <f t="shared" si="49"/>
        <v>Wednesday</v>
      </c>
      <c r="H192" s="129">
        <v>0.51736111111110605</v>
      </c>
      <c r="I192" s="115">
        <f t="shared" si="52"/>
        <v>359.09589749585268</v>
      </c>
      <c r="J192" s="115">
        <f t="shared" si="53"/>
        <v>267.87484228056724</v>
      </c>
      <c r="K192" s="115">
        <f t="shared" si="54"/>
        <v>25.886117228711395</v>
      </c>
      <c r="L192" s="115">
        <f t="shared" si="55"/>
        <v>237.00152259627725</v>
      </c>
      <c r="M192" s="115">
        <f t="shared" si="56"/>
        <v>285.73190084652447</v>
      </c>
      <c r="N192" s="115">
        <f t="shared" si="57"/>
        <v>308.68302219318582</v>
      </c>
      <c r="O192" s="115">
        <f t="shared" si="58"/>
        <v>262.58764555489932</v>
      </c>
      <c r="P192" s="115">
        <f t="shared" si="59"/>
        <v>289.00133432682395</v>
      </c>
      <c r="Q192" s="115">
        <f t="shared" si="60"/>
        <v>34.772016989209028</v>
      </c>
    </row>
    <row r="193" spans="1:17" x14ac:dyDescent="0.25">
      <c r="A193" s="114">
        <f t="shared" si="51"/>
        <v>44573</v>
      </c>
      <c r="B193">
        <f t="shared" si="45"/>
        <v>5.5</v>
      </c>
      <c r="C193" s="109">
        <f t="shared" si="46"/>
        <v>19.066666666666666</v>
      </c>
      <c r="D193" s="109">
        <f t="shared" si="47"/>
        <v>72.86666666666666</v>
      </c>
      <c r="E193" s="107">
        <f t="shared" si="48"/>
        <v>44573.291666666672</v>
      </c>
      <c r="F193" s="106">
        <f t="shared" si="44"/>
        <v>44573.301634343494</v>
      </c>
      <c r="G193" t="str">
        <f t="shared" si="49"/>
        <v>Wednesday</v>
      </c>
      <c r="H193" s="129">
        <v>0.52083333333332804</v>
      </c>
      <c r="I193" s="115">
        <f t="shared" si="52"/>
        <v>0.6407735987233103</v>
      </c>
      <c r="J193" s="115">
        <f t="shared" si="53"/>
        <v>267.87837934582342</v>
      </c>
      <c r="K193" s="115">
        <f t="shared" si="54"/>
        <v>25.927272872514031</v>
      </c>
      <c r="L193" s="115">
        <f t="shared" si="55"/>
        <v>237.00401446334988</v>
      </c>
      <c r="M193" s="115">
        <f t="shared" si="56"/>
        <v>285.73327228489961</v>
      </c>
      <c r="N193" s="115">
        <f t="shared" si="57"/>
        <v>308.6837550860497</v>
      </c>
      <c r="O193" s="115">
        <f t="shared" si="58"/>
        <v>262.58559711375455</v>
      </c>
      <c r="P193" s="115">
        <f t="shared" si="59"/>
        <v>289.00173190178248</v>
      </c>
      <c r="Q193" s="115">
        <f t="shared" si="60"/>
        <v>34.771832989256112</v>
      </c>
    </row>
    <row r="194" spans="1:17" x14ac:dyDescent="0.25">
      <c r="A194" s="114">
        <f t="shared" si="51"/>
        <v>44573</v>
      </c>
      <c r="B194">
        <f t="shared" si="45"/>
        <v>5.5</v>
      </c>
      <c r="C194" s="109">
        <f t="shared" si="46"/>
        <v>19.066666666666666</v>
      </c>
      <c r="D194" s="109">
        <f t="shared" si="47"/>
        <v>72.86666666666666</v>
      </c>
      <c r="E194" s="107">
        <f t="shared" si="48"/>
        <v>44573.295138888891</v>
      </c>
      <c r="F194" s="106">
        <f t="shared" si="44"/>
        <v>44573.301634343494</v>
      </c>
      <c r="G194" t="str">
        <f t="shared" si="49"/>
        <v>Wednesday</v>
      </c>
      <c r="H194" s="129">
        <v>0.52430555555555003</v>
      </c>
      <c r="I194" s="115">
        <f t="shared" si="52"/>
        <v>2.1779064298509674</v>
      </c>
      <c r="J194" s="115">
        <f t="shared" si="53"/>
        <v>267.88191640970103</v>
      </c>
      <c r="K194" s="115">
        <f t="shared" si="54"/>
        <v>25.968427149629974</v>
      </c>
      <c r="L194" s="115">
        <f t="shared" si="55"/>
        <v>237.00650633818526</v>
      </c>
      <c r="M194" s="115">
        <f t="shared" si="56"/>
        <v>285.73464171565365</v>
      </c>
      <c r="N194" s="115">
        <f t="shared" si="57"/>
        <v>308.68448799402205</v>
      </c>
      <c r="O194" s="115">
        <f t="shared" si="58"/>
        <v>262.58354884036311</v>
      </c>
      <c r="P194" s="115">
        <f t="shared" si="59"/>
        <v>289.00212948200834</v>
      </c>
      <c r="Q194" s="115">
        <f t="shared" si="60"/>
        <v>34.771648989270147</v>
      </c>
    </row>
    <row r="195" spans="1:17" x14ac:dyDescent="0.25">
      <c r="A195" s="114">
        <f t="shared" si="51"/>
        <v>44573</v>
      </c>
      <c r="B195">
        <f t="shared" si="45"/>
        <v>5.5</v>
      </c>
      <c r="C195" s="109">
        <f t="shared" si="46"/>
        <v>19.066666666666666</v>
      </c>
      <c r="D195" s="109">
        <f t="shared" si="47"/>
        <v>72.86666666666666</v>
      </c>
      <c r="E195" s="107">
        <f t="shared" si="48"/>
        <v>44573.298611111117</v>
      </c>
      <c r="F195" s="106">
        <f t="shared" ref="F195:F258" si="61">sunrise(C195,D195,E195)+B195/24</f>
        <v>44573.301634343494</v>
      </c>
      <c r="G195" t="str">
        <f t="shared" si="49"/>
        <v>Wednesday</v>
      </c>
      <c r="H195" s="129">
        <v>0.52777777777777202</v>
      </c>
      <c r="I195" s="115">
        <f t="shared" si="52"/>
        <v>3.7069721956822654</v>
      </c>
      <c r="J195" s="115">
        <f t="shared" si="53"/>
        <v>267.88545347123056</v>
      </c>
      <c r="K195" s="115">
        <f t="shared" si="54"/>
        <v>26.009580052509552</v>
      </c>
      <c r="L195" s="115">
        <f t="shared" si="55"/>
        <v>237.00899821990285</v>
      </c>
      <c r="M195" s="115">
        <f t="shared" si="56"/>
        <v>285.73600913780399</v>
      </c>
      <c r="N195" s="115">
        <f t="shared" si="57"/>
        <v>308.68522091668592</v>
      </c>
      <c r="O195" s="115">
        <f t="shared" si="58"/>
        <v>262.58150073542066</v>
      </c>
      <c r="P195" s="115">
        <f t="shared" si="59"/>
        <v>289.00252706784397</v>
      </c>
      <c r="Q195" s="115">
        <f t="shared" si="60"/>
        <v>34.771464989333786</v>
      </c>
    </row>
    <row r="196" spans="1:17" x14ac:dyDescent="0.25">
      <c r="A196" s="114">
        <f t="shared" si="51"/>
        <v>44573</v>
      </c>
      <c r="B196">
        <f t="shared" ref="B196:B259" si="62">B195</f>
        <v>5.5</v>
      </c>
      <c r="C196" s="109">
        <f t="shared" ref="C196:C259" si="63">C195</f>
        <v>19.066666666666666</v>
      </c>
      <c r="D196" s="109">
        <f t="shared" ref="D196:D259" si="64">D195</f>
        <v>72.86666666666666</v>
      </c>
      <c r="E196" s="107">
        <f t="shared" ref="E196:E259" si="65">A196+H196-B196/24</f>
        <v>44573.302083333336</v>
      </c>
      <c r="F196" s="106">
        <f t="shared" si="61"/>
        <v>44573.301634343494</v>
      </c>
      <c r="G196" t="str">
        <f t="shared" ref="G196:G259" si="66">CHOOSE(WEEKDAY(E196),"Sunday","Monday","Tuesday","Wednesday","Thursday","Friday","Saturday")</f>
        <v>Wednesday</v>
      </c>
      <c r="H196" s="129">
        <v>0.531249999999994</v>
      </c>
      <c r="I196" s="115">
        <f t="shared" si="52"/>
        <v>5.2276742551926603</v>
      </c>
      <c r="J196" s="115">
        <f t="shared" si="53"/>
        <v>267.88899053143689</v>
      </c>
      <c r="K196" s="115">
        <f t="shared" si="54"/>
        <v>26.050731595529786</v>
      </c>
      <c r="L196" s="115">
        <f t="shared" si="55"/>
        <v>237.01149010939938</v>
      </c>
      <c r="M196" s="115">
        <f t="shared" si="56"/>
        <v>285.73737455120539</v>
      </c>
      <c r="N196" s="115">
        <f t="shared" si="57"/>
        <v>308.68595385408776</v>
      </c>
      <c r="O196" s="115">
        <f t="shared" si="58"/>
        <v>262.57945279854164</v>
      </c>
      <c r="P196" s="115">
        <f t="shared" si="59"/>
        <v>289.00292465968766</v>
      </c>
      <c r="Q196" s="115">
        <f t="shared" si="60"/>
        <v>34.771280989347844</v>
      </c>
    </row>
    <row r="197" spans="1:17" x14ac:dyDescent="0.25">
      <c r="A197" s="114">
        <f t="shared" si="51"/>
        <v>44573</v>
      </c>
      <c r="B197">
        <f t="shared" si="62"/>
        <v>5.5</v>
      </c>
      <c r="C197" s="109">
        <f t="shared" si="63"/>
        <v>19.066666666666666</v>
      </c>
      <c r="D197" s="109">
        <f t="shared" si="64"/>
        <v>72.86666666666666</v>
      </c>
      <c r="E197" s="107">
        <f t="shared" si="65"/>
        <v>44573.305555555555</v>
      </c>
      <c r="F197" s="106">
        <f t="shared" si="61"/>
        <v>44573.301634343494</v>
      </c>
      <c r="G197" t="str">
        <f t="shared" si="66"/>
        <v>Wednesday</v>
      </c>
      <c r="H197" s="129">
        <v>0.53472222222221599</v>
      </c>
      <c r="I197" s="115">
        <f t="shared" si="52"/>
        <v>6.7397416772921162</v>
      </c>
      <c r="J197" s="115">
        <f t="shared" si="53"/>
        <v>267.89252758918724</v>
      </c>
      <c r="K197" s="115">
        <f t="shared" si="54"/>
        <v>26.091881771120022</v>
      </c>
      <c r="L197" s="115">
        <f t="shared" si="55"/>
        <v>237.01398200560448</v>
      </c>
      <c r="M197" s="115">
        <f t="shared" si="56"/>
        <v>285.73873795488294</v>
      </c>
      <c r="N197" s="115">
        <f t="shared" si="57"/>
        <v>308.68668680596795</v>
      </c>
      <c r="O197" s="115">
        <f t="shared" si="58"/>
        <v>262.57740503060904</v>
      </c>
      <c r="P197" s="115">
        <f t="shared" si="59"/>
        <v>289.00332225593348</v>
      </c>
      <c r="Q197" s="115">
        <f t="shared" si="60"/>
        <v>34.771096989378421</v>
      </c>
    </row>
    <row r="198" spans="1:17" x14ac:dyDescent="0.25">
      <c r="A198" s="114">
        <f t="shared" si="51"/>
        <v>44573</v>
      </c>
      <c r="B198">
        <f t="shared" si="62"/>
        <v>5.5</v>
      </c>
      <c r="C198" s="109">
        <f t="shared" si="63"/>
        <v>19.066666666666666</v>
      </c>
      <c r="D198" s="109">
        <f t="shared" si="64"/>
        <v>72.86666666666666</v>
      </c>
      <c r="E198" s="107">
        <f t="shared" si="65"/>
        <v>44573.309027777781</v>
      </c>
      <c r="F198" s="106">
        <f t="shared" si="61"/>
        <v>44573.301634343494</v>
      </c>
      <c r="G198" t="str">
        <f t="shared" si="66"/>
        <v>Wednesday</v>
      </c>
      <c r="H198" s="129">
        <v>0.53819444444443798</v>
      </c>
      <c r="I198" s="115">
        <f t="shared" si="52"/>
        <v>8.2429309018149333</v>
      </c>
      <c r="J198" s="115">
        <f t="shared" si="53"/>
        <v>267.89606464560757</v>
      </c>
      <c r="K198" s="115">
        <f t="shared" si="54"/>
        <v>26.133030593795674</v>
      </c>
      <c r="L198" s="115">
        <f t="shared" si="55"/>
        <v>237.01647390963154</v>
      </c>
      <c r="M198" s="115">
        <f t="shared" si="56"/>
        <v>285.74009934864364</v>
      </c>
      <c r="N198" s="115">
        <f t="shared" si="57"/>
        <v>308.68741977297293</v>
      </c>
      <c r="O198" s="115">
        <f t="shared" si="58"/>
        <v>262.57535743090125</v>
      </c>
      <c r="P198" s="115">
        <f t="shared" si="59"/>
        <v>289.00371985838615</v>
      </c>
      <c r="Q198" s="115">
        <f t="shared" si="60"/>
        <v>34.770912989409013</v>
      </c>
    </row>
    <row r="199" spans="1:17" x14ac:dyDescent="0.25">
      <c r="A199" s="114">
        <f t="shared" si="51"/>
        <v>44573</v>
      </c>
      <c r="B199">
        <f t="shared" si="62"/>
        <v>5.5</v>
      </c>
      <c r="C199" s="109">
        <f t="shared" si="63"/>
        <v>19.066666666666666</v>
      </c>
      <c r="D199" s="109">
        <f t="shared" si="64"/>
        <v>72.86666666666666</v>
      </c>
      <c r="E199" s="107">
        <f t="shared" si="65"/>
        <v>44573.3125</v>
      </c>
      <c r="F199" s="106">
        <f t="shared" si="61"/>
        <v>44573.301634343494</v>
      </c>
      <c r="G199" t="str">
        <f t="shared" si="66"/>
        <v>Wednesday</v>
      </c>
      <c r="H199" s="129">
        <v>0.54166666666665997</v>
      </c>
      <c r="I199" s="115">
        <f t="shared" si="52"/>
        <v>9.7370240092786631</v>
      </c>
      <c r="J199" s="115">
        <f t="shared" si="53"/>
        <v>267.89960169967895</v>
      </c>
      <c r="K199" s="115">
        <f t="shared" si="54"/>
        <v>26.174178055885225</v>
      </c>
      <c r="L199" s="115">
        <f t="shared" si="55"/>
        <v>237.01896582051174</v>
      </c>
      <c r="M199" s="115">
        <f t="shared" si="56"/>
        <v>285.74145873153481</v>
      </c>
      <c r="N199" s="115">
        <f t="shared" si="57"/>
        <v>308.68815275463356</v>
      </c>
      <c r="O199" s="115">
        <f t="shared" si="58"/>
        <v>262.57331000049203</v>
      </c>
      <c r="P199" s="115">
        <f t="shared" si="59"/>
        <v>289.00411746583774</v>
      </c>
      <c r="Q199" s="115">
        <f t="shared" si="60"/>
        <v>34.770728989456174</v>
      </c>
    </row>
    <row r="200" spans="1:17" x14ac:dyDescent="0.25">
      <c r="A200" s="114">
        <f t="shared" si="51"/>
        <v>44573</v>
      </c>
      <c r="B200">
        <f t="shared" si="62"/>
        <v>5.5</v>
      </c>
      <c r="C200" s="109">
        <f t="shared" si="63"/>
        <v>19.066666666666666</v>
      </c>
      <c r="D200" s="109">
        <f t="shared" si="64"/>
        <v>72.86666666666666</v>
      </c>
      <c r="E200" s="107">
        <f t="shared" si="65"/>
        <v>44573.315972222226</v>
      </c>
      <c r="F200" s="106">
        <f t="shared" si="61"/>
        <v>44573.301634343494</v>
      </c>
      <c r="G200" t="str">
        <f t="shared" si="66"/>
        <v>Wednesday</v>
      </c>
      <c r="H200" s="129">
        <v>0.54513888888888196</v>
      </c>
      <c r="I200" s="115">
        <f t="shared" si="52"/>
        <v>11.22182988153159</v>
      </c>
      <c r="J200" s="115">
        <f t="shared" si="53"/>
        <v>267.90313875189958</v>
      </c>
      <c r="K200" s="115">
        <f t="shared" si="54"/>
        <v>26.215324166343198</v>
      </c>
      <c r="L200" s="115">
        <f t="shared" si="55"/>
        <v>237.0214577387674</v>
      </c>
      <c r="M200" s="115">
        <f t="shared" si="56"/>
        <v>285.74281610319059</v>
      </c>
      <c r="N200" s="115">
        <f t="shared" si="57"/>
        <v>308.68888575099652</v>
      </c>
      <c r="O200" s="115">
        <f t="shared" si="58"/>
        <v>262.57126273904709</v>
      </c>
      <c r="P200" s="115">
        <f t="shared" si="59"/>
        <v>289.00451507919001</v>
      </c>
      <c r="Q200" s="115">
        <f t="shared" si="60"/>
        <v>34.770544989519827</v>
      </c>
    </row>
    <row r="201" spans="1:17" x14ac:dyDescent="0.25">
      <c r="A201" s="114">
        <f t="shared" si="51"/>
        <v>44573</v>
      </c>
      <c r="B201">
        <f t="shared" si="62"/>
        <v>5.5</v>
      </c>
      <c r="C201" s="109">
        <f t="shared" si="63"/>
        <v>19.066666666666666</v>
      </c>
      <c r="D201" s="109">
        <f t="shared" si="64"/>
        <v>72.86666666666666</v>
      </c>
      <c r="E201" s="107">
        <f t="shared" si="65"/>
        <v>44573.319444444445</v>
      </c>
      <c r="F201" s="106">
        <f t="shared" si="61"/>
        <v>44573.301634343494</v>
      </c>
      <c r="G201" t="str">
        <f t="shared" si="66"/>
        <v>Wednesday</v>
      </c>
      <c r="H201" s="129">
        <v>0.54861111111110406</v>
      </c>
      <c r="I201" s="115">
        <f t="shared" si="52"/>
        <v>12.69718321731731</v>
      </c>
      <c r="J201" s="115">
        <f t="shared" si="53"/>
        <v>267.90667580283736</v>
      </c>
      <c r="K201" s="115">
        <f t="shared" si="54"/>
        <v>26.256468934115546</v>
      </c>
      <c r="L201" s="115">
        <f t="shared" si="55"/>
        <v>237.02394966485605</v>
      </c>
      <c r="M201" s="115">
        <f t="shared" si="56"/>
        <v>285.74417146327488</v>
      </c>
      <c r="N201" s="115">
        <f t="shared" si="57"/>
        <v>308.68961876221232</v>
      </c>
      <c r="O201" s="115">
        <f t="shared" si="58"/>
        <v>262.56921564654692</v>
      </c>
      <c r="P201" s="115">
        <f t="shared" si="59"/>
        <v>289.00491269757731</v>
      </c>
      <c r="Q201" s="115">
        <f t="shared" si="60"/>
        <v>34.770360989550412</v>
      </c>
    </row>
    <row r="202" spans="1:17" x14ac:dyDescent="0.25">
      <c r="A202" s="114">
        <f t="shared" si="51"/>
        <v>44573</v>
      </c>
      <c r="B202">
        <f t="shared" si="62"/>
        <v>5.5</v>
      </c>
      <c r="C202" s="109">
        <f t="shared" si="63"/>
        <v>19.066666666666666</v>
      </c>
      <c r="D202" s="109">
        <f t="shared" si="64"/>
        <v>72.86666666666666</v>
      </c>
      <c r="E202" s="107">
        <f t="shared" si="65"/>
        <v>44573.322916666672</v>
      </c>
      <c r="F202" s="106">
        <f t="shared" si="61"/>
        <v>44573.301634343494</v>
      </c>
      <c r="G202" t="str">
        <f t="shared" si="66"/>
        <v>Wednesday</v>
      </c>
      <c r="H202" s="129">
        <v>0.55208333333332604</v>
      </c>
      <c r="I202" s="115">
        <f t="shared" si="52"/>
        <v>14.162943455558196</v>
      </c>
      <c r="J202" s="115">
        <f t="shared" si="53"/>
        <v>267.91021285127221</v>
      </c>
      <c r="K202" s="115">
        <f t="shared" si="54"/>
        <v>26.297612351544245</v>
      </c>
      <c r="L202" s="115">
        <f t="shared" si="55"/>
        <v>237.02644159763824</v>
      </c>
      <c r="M202" s="115">
        <f t="shared" si="56"/>
        <v>285.74552481064973</v>
      </c>
      <c r="N202" s="115">
        <f t="shared" si="57"/>
        <v>308.69035178815233</v>
      </c>
      <c r="O202" s="115">
        <f t="shared" si="58"/>
        <v>262.56716872353883</v>
      </c>
      <c r="P202" s="115">
        <f t="shared" si="59"/>
        <v>289.00531032127412</v>
      </c>
      <c r="Q202" s="115">
        <f t="shared" si="60"/>
        <v>34.770176989581039</v>
      </c>
    </row>
    <row r="203" spans="1:17" x14ac:dyDescent="0.25">
      <c r="A203" s="114">
        <f t="shared" si="51"/>
        <v>44573</v>
      </c>
      <c r="B203">
        <f t="shared" si="62"/>
        <v>5.5</v>
      </c>
      <c r="C203" s="109">
        <f t="shared" si="63"/>
        <v>19.066666666666666</v>
      </c>
      <c r="D203" s="109">
        <f t="shared" si="64"/>
        <v>72.86666666666666</v>
      </c>
      <c r="E203" s="107">
        <f t="shared" si="65"/>
        <v>44573.326388888891</v>
      </c>
      <c r="F203" s="106">
        <f t="shared" si="61"/>
        <v>44573.301634343494</v>
      </c>
      <c r="G203" t="str">
        <f t="shared" si="66"/>
        <v>Wednesday</v>
      </c>
      <c r="H203" s="129">
        <v>0.55555555555554803</v>
      </c>
      <c r="I203" s="115">
        <f t="shared" si="52"/>
        <v>15.618995560266402</v>
      </c>
      <c r="J203" s="115">
        <f t="shared" si="53"/>
        <v>267.91374989829927</v>
      </c>
      <c r="K203" s="115">
        <f t="shared" si="54"/>
        <v>26.338754433113746</v>
      </c>
      <c r="L203" s="115">
        <f t="shared" si="55"/>
        <v>237.0289335380383</v>
      </c>
      <c r="M203" s="115">
        <f t="shared" si="56"/>
        <v>285.74687614529921</v>
      </c>
      <c r="N203" s="115">
        <f t="shared" si="57"/>
        <v>308.69108482873094</v>
      </c>
      <c r="O203" s="115">
        <f t="shared" si="58"/>
        <v>262.56512197003048</v>
      </c>
      <c r="P203" s="115">
        <f t="shared" si="59"/>
        <v>289.00570795049168</v>
      </c>
      <c r="Q203" s="115">
        <f t="shared" si="60"/>
        <v>34.769992989578505</v>
      </c>
    </row>
    <row r="204" spans="1:17" x14ac:dyDescent="0.25">
      <c r="A204" s="114">
        <f t="shared" si="51"/>
        <v>44573</v>
      </c>
      <c r="B204">
        <f t="shared" si="62"/>
        <v>5.5</v>
      </c>
      <c r="C204" s="109">
        <f t="shared" si="63"/>
        <v>19.066666666666666</v>
      </c>
      <c r="D204" s="109">
        <f t="shared" si="64"/>
        <v>72.86666666666666</v>
      </c>
      <c r="E204" s="107">
        <f t="shared" si="65"/>
        <v>44573.329861111117</v>
      </c>
      <c r="F204" s="106">
        <f t="shared" si="61"/>
        <v>44573.301634343494</v>
      </c>
      <c r="G204" t="str">
        <f t="shared" si="66"/>
        <v>Wednesday</v>
      </c>
      <c r="H204" s="129">
        <v>0.55902777777777002</v>
      </c>
      <c r="I204" s="115">
        <f t="shared" si="52"/>
        <v>17.065247767857706</v>
      </c>
      <c r="J204" s="115">
        <f t="shared" si="53"/>
        <v>267.91728694306022</v>
      </c>
      <c r="K204" s="115">
        <f t="shared" si="54"/>
        <v>26.379895171257164</v>
      </c>
      <c r="L204" s="115">
        <f t="shared" si="55"/>
        <v>237.0314254855125</v>
      </c>
      <c r="M204" s="115">
        <f t="shared" si="56"/>
        <v>285.74822546627223</v>
      </c>
      <c r="N204" s="115">
        <f t="shared" si="57"/>
        <v>308.69181788376699</v>
      </c>
      <c r="O204" s="115">
        <f t="shared" si="58"/>
        <v>262.56307538632353</v>
      </c>
      <c r="P204" s="115">
        <f t="shared" si="59"/>
        <v>289.00610558490126</v>
      </c>
      <c r="Q204" s="115">
        <f t="shared" si="60"/>
        <v>34.769808989642158</v>
      </c>
    </row>
    <row r="205" spans="1:17" x14ac:dyDescent="0.25">
      <c r="A205" s="114">
        <f t="shared" si="51"/>
        <v>44573</v>
      </c>
      <c r="B205">
        <f t="shared" si="62"/>
        <v>5.5</v>
      </c>
      <c r="C205" s="109">
        <f t="shared" si="63"/>
        <v>19.066666666666666</v>
      </c>
      <c r="D205" s="109">
        <f t="shared" si="64"/>
        <v>72.86666666666666</v>
      </c>
      <c r="E205" s="107">
        <f t="shared" si="65"/>
        <v>44573.333333333336</v>
      </c>
      <c r="F205" s="106">
        <f t="shared" si="61"/>
        <v>44573.301634343494</v>
      </c>
      <c r="G205" t="str">
        <f t="shared" si="66"/>
        <v>Wednesday</v>
      </c>
      <c r="H205" s="129">
        <v>0.56249999999999201</v>
      </c>
      <c r="I205" s="115">
        <f t="shared" si="52"/>
        <v>18.501632384351268</v>
      </c>
      <c r="J205" s="115">
        <f t="shared" si="53"/>
        <v>267.92082398636825</v>
      </c>
      <c r="K205" s="115">
        <f t="shared" si="54"/>
        <v>26.421034580394707</v>
      </c>
      <c r="L205" s="115">
        <f t="shared" si="55"/>
        <v>237.03391744046962</v>
      </c>
      <c r="M205" s="115">
        <f t="shared" si="56"/>
        <v>285.74957277324427</v>
      </c>
      <c r="N205" s="115">
        <f t="shared" si="57"/>
        <v>308.69255095414303</v>
      </c>
      <c r="O205" s="115">
        <f t="shared" si="58"/>
        <v>262.56102897232796</v>
      </c>
      <c r="P205" s="115">
        <f t="shared" si="59"/>
        <v>289.0065032252125</v>
      </c>
      <c r="Q205" s="115">
        <f t="shared" si="60"/>
        <v>34.769624989656194</v>
      </c>
    </row>
    <row r="206" spans="1:17" x14ac:dyDescent="0.25">
      <c r="A206" s="114">
        <f t="shared" si="51"/>
        <v>44573</v>
      </c>
      <c r="B206">
        <f t="shared" si="62"/>
        <v>5.5</v>
      </c>
      <c r="C206" s="109">
        <f t="shared" si="63"/>
        <v>19.066666666666666</v>
      </c>
      <c r="D206" s="109">
        <f t="shared" si="64"/>
        <v>72.86666666666666</v>
      </c>
      <c r="E206" s="107">
        <f t="shared" si="65"/>
        <v>44573.336805555555</v>
      </c>
      <c r="F206" s="106">
        <f t="shared" si="61"/>
        <v>44573.301634343494</v>
      </c>
      <c r="G206" t="str">
        <f t="shared" si="66"/>
        <v>Wednesday</v>
      </c>
      <c r="H206" s="129">
        <v>0.56597222222221399</v>
      </c>
      <c r="I206" s="115">
        <f t="shared" si="52"/>
        <v>19.928103404813271</v>
      </c>
      <c r="J206" s="115">
        <f t="shared" si="53"/>
        <v>267.92436102745222</v>
      </c>
      <c r="K206" s="115">
        <f t="shared" si="54"/>
        <v>26.462172652881215</v>
      </c>
      <c r="L206" s="115">
        <f t="shared" si="55"/>
        <v>237.03640940261451</v>
      </c>
      <c r="M206" s="115">
        <f t="shared" si="56"/>
        <v>285.75091806547789</v>
      </c>
      <c r="N206" s="115">
        <f t="shared" si="57"/>
        <v>308.69328403883219</v>
      </c>
      <c r="O206" s="115">
        <f t="shared" si="58"/>
        <v>262.55898272860134</v>
      </c>
      <c r="P206" s="115">
        <f t="shared" si="59"/>
        <v>289.00690087077726</v>
      </c>
      <c r="Q206" s="115">
        <f t="shared" si="60"/>
        <v>34.769440989703369</v>
      </c>
    </row>
    <row r="207" spans="1:17" x14ac:dyDescent="0.25">
      <c r="A207" s="114">
        <f t="shared" si="51"/>
        <v>44573</v>
      </c>
      <c r="B207">
        <f t="shared" si="62"/>
        <v>5.5</v>
      </c>
      <c r="C207" s="109">
        <f t="shared" si="63"/>
        <v>19.066666666666666</v>
      </c>
      <c r="D207" s="109">
        <f t="shared" si="64"/>
        <v>72.86666666666666</v>
      </c>
      <c r="E207" s="107">
        <f t="shared" si="65"/>
        <v>44573.340277777781</v>
      </c>
      <c r="F207" s="106">
        <f t="shared" si="61"/>
        <v>44573.301634343494</v>
      </c>
      <c r="G207" t="str">
        <f t="shared" si="66"/>
        <v>Wednesday</v>
      </c>
      <c r="H207" s="129">
        <v>0.56944444444443598</v>
      </c>
      <c r="I207" s="115">
        <f t="shared" si="52"/>
        <v>21.344637166612959</v>
      </c>
      <c r="J207" s="115">
        <f t="shared" si="53"/>
        <v>267.927898067147</v>
      </c>
      <c r="K207" s="115">
        <f t="shared" si="54"/>
        <v>26.503309403160692</v>
      </c>
      <c r="L207" s="115">
        <f t="shared" si="55"/>
        <v>237.03890137241459</v>
      </c>
      <c r="M207" s="115">
        <f t="shared" si="56"/>
        <v>285.75226134259782</v>
      </c>
      <c r="N207" s="115">
        <f t="shared" si="57"/>
        <v>308.69401713867558</v>
      </c>
      <c r="O207" s="115">
        <f t="shared" si="58"/>
        <v>262.55693665481709</v>
      </c>
      <c r="P207" s="115">
        <f t="shared" si="59"/>
        <v>289.00729852188573</v>
      </c>
      <c r="Q207" s="115">
        <f t="shared" si="60"/>
        <v>34.769256989733947</v>
      </c>
    </row>
    <row r="208" spans="1:17" x14ac:dyDescent="0.25">
      <c r="A208" s="114">
        <f t="shared" si="51"/>
        <v>44573</v>
      </c>
      <c r="B208">
        <f t="shared" si="62"/>
        <v>5.5</v>
      </c>
      <c r="C208" s="109">
        <f t="shared" si="63"/>
        <v>19.066666666666666</v>
      </c>
      <c r="D208" s="109">
        <f t="shared" si="64"/>
        <v>72.86666666666666</v>
      </c>
      <c r="E208" s="107">
        <f t="shared" si="65"/>
        <v>44573.34375</v>
      </c>
      <c r="F208" s="106">
        <f t="shared" si="61"/>
        <v>44573.301634343494</v>
      </c>
      <c r="G208" t="str">
        <f t="shared" si="66"/>
        <v>Wednesday</v>
      </c>
      <c r="H208" s="129">
        <v>0.57291666666665797</v>
      </c>
      <c r="I208" s="115">
        <f t="shared" si="52"/>
        <v>22.751229892016323</v>
      </c>
      <c r="J208" s="115">
        <f t="shared" si="53"/>
        <v>267.93143510450199</v>
      </c>
      <c r="K208" s="115">
        <f t="shared" si="54"/>
        <v>26.544444823655059</v>
      </c>
      <c r="L208" s="115">
        <f t="shared" si="55"/>
        <v>237.04139334914052</v>
      </c>
      <c r="M208" s="115">
        <f t="shared" si="56"/>
        <v>285.75360260378056</v>
      </c>
      <c r="N208" s="115">
        <f t="shared" si="57"/>
        <v>308.69475025278274</v>
      </c>
      <c r="O208" s="115">
        <f t="shared" si="58"/>
        <v>262.55489075177843</v>
      </c>
      <c r="P208" s="115">
        <f t="shared" si="59"/>
        <v>289.00769617844588</v>
      </c>
      <c r="Q208" s="115">
        <f t="shared" si="60"/>
        <v>34.769072989781115</v>
      </c>
    </row>
    <row r="209" spans="1:17" x14ac:dyDescent="0.25">
      <c r="A209" s="114">
        <f t="shared" si="51"/>
        <v>44573</v>
      </c>
      <c r="B209">
        <f t="shared" si="62"/>
        <v>5.5</v>
      </c>
      <c r="C209" s="109">
        <f t="shared" si="63"/>
        <v>19.066666666666666</v>
      </c>
      <c r="D209" s="109">
        <f t="shared" si="64"/>
        <v>72.86666666666666</v>
      </c>
      <c r="E209" s="107">
        <f t="shared" si="65"/>
        <v>44573.347222222226</v>
      </c>
      <c r="F209" s="106">
        <f t="shared" si="61"/>
        <v>44573.301634343494</v>
      </c>
      <c r="G209" t="str">
        <f t="shared" si="66"/>
        <v>Wednesday</v>
      </c>
      <c r="H209" s="129">
        <v>0.57638888888887996</v>
      </c>
      <c r="I209" s="115">
        <f t="shared" si="52"/>
        <v>24.147898052487562</v>
      </c>
      <c r="J209" s="115">
        <f t="shared" si="53"/>
        <v>267.93497213974865</v>
      </c>
      <c r="K209" s="115">
        <f t="shared" si="54"/>
        <v>26.585578923267999</v>
      </c>
      <c r="L209" s="115">
        <f t="shared" si="55"/>
        <v>237.04388533292018</v>
      </c>
      <c r="M209" s="115">
        <f t="shared" si="56"/>
        <v>285.75494184840625</v>
      </c>
      <c r="N209" s="115">
        <f t="shared" si="57"/>
        <v>308.69548338168715</v>
      </c>
      <c r="O209" s="115">
        <f t="shared" si="58"/>
        <v>262.55284501914787</v>
      </c>
      <c r="P209" s="115">
        <f t="shared" si="59"/>
        <v>289.0080938397989</v>
      </c>
      <c r="Q209" s="115">
        <f t="shared" si="60"/>
        <v>34.768888989811643</v>
      </c>
    </row>
    <row r="210" spans="1:17" x14ac:dyDescent="0.25">
      <c r="A210" s="114">
        <f t="shared" si="51"/>
        <v>44573</v>
      </c>
      <c r="B210">
        <f t="shared" si="62"/>
        <v>5.5</v>
      </c>
      <c r="C210" s="109">
        <f t="shared" si="63"/>
        <v>19.066666666666666</v>
      </c>
      <c r="D210" s="109">
        <f t="shared" si="64"/>
        <v>72.86666666666666</v>
      </c>
      <c r="E210" s="107">
        <f t="shared" si="65"/>
        <v>44573.350694444445</v>
      </c>
      <c r="F210" s="106">
        <f t="shared" si="61"/>
        <v>44573.301634343494</v>
      </c>
      <c r="G210" t="str">
        <f t="shared" si="66"/>
        <v>Wednesday</v>
      </c>
      <c r="H210" s="129">
        <v>0.57986111111110095</v>
      </c>
      <c r="I210" s="115">
        <f t="shared" si="52"/>
        <v>25.534676804283382</v>
      </c>
      <c r="J210" s="115">
        <f t="shared" si="53"/>
        <v>267.93850917385112</v>
      </c>
      <c r="K210" s="115">
        <f t="shared" si="54"/>
        <v>26.626711710919309</v>
      </c>
      <c r="L210" s="115">
        <f t="shared" si="55"/>
        <v>237.04637732457959</v>
      </c>
      <c r="M210" s="115">
        <f t="shared" si="56"/>
        <v>285.75627907644849</v>
      </c>
      <c r="N210" s="115">
        <f t="shared" si="57"/>
        <v>308.69621652554338</v>
      </c>
      <c r="O210" s="115">
        <f t="shared" si="58"/>
        <v>262.55079945711077</v>
      </c>
      <c r="P210" s="115">
        <f t="shared" si="59"/>
        <v>289.00849150746541</v>
      </c>
      <c r="Q210" s="115">
        <f t="shared" si="60"/>
        <v>34.768704989858819</v>
      </c>
    </row>
    <row r="211" spans="1:17" x14ac:dyDescent="0.25">
      <c r="A211" s="114">
        <f t="shared" si="51"/>
        <v>44573</v>
      </c>
      <c r="B211">
        <f t="shared" si="62"/>
        <v>5.5</v>
      </c>
      <c r="C211" s="109">
        <f t="shared" si="63"/>
        <v>19.066666666666666</v>
      </c>
      <c r="D211" s="109">
        <f t="shared" si="64"/>
        <v>72.86666666666666</v>
      </c>
      <c r="E211" s="107">
        <f t="shared" si="65"/>
        <v>44573.354166666672</v>
      </c>
      <c r="F211" s="106">
        <f t="shared" si="61"/>
        <v>44573.301634343494</v>
      </c>
      <c r="G211" t="str">
        <f t="shared" si="66"/>
        <v>Wednesday</v>
      </c>
      <c r="H211" s="129">
        <v>0.58333333333332305</v>
      </c>
      <c r="I211" s="115">
        <f t="shared" si="52"/>
        <v>26.911618432008954</v>
      </c>
      <c r="J211" s="115">
        <f t="shared" si="53"/>
        <v>267.94204620555729</v>
      </c>
      <c r="K211" s="115">
        <f t="shared" si="54"/>
        <v>26.667843179037966</v>
      </c>
      <c r="L211" s="115">
        <f t="shared" si="55"/>
        <v>237.0488693231793</v>
      </c>
      <c r="M211" s="115">
        <f t="shared" si="56"/>
        <v>285.75761428671916</v>
      </c>
      <c r="N211" s="115">
        <f t="shared" si="57"/>
        <v>308.69694968418162</v>
      </c>
      <c r="O211" s="115">
        <f t="shared" si="58"/>
        <v>262.54875406619004</v>
      </c>
      <c r="P211" s="115">
        <f t="shared" si="59"/>
        <v>289.00888917941387</v>
      </c>
      <c r="Q211" s="115">
        <f t="shared" si="60"/>
        <v>34.768520989905937</v>
      </c>
    </row>
    <row r="212" spans="1:17" x14ac:dyDescent="0.25">
      <c r="A212" s="114">
        <f t="shared" si="51"/>
        <v>44573</v>
      </c>
      <c r="B212">
        <f t="shared" si="62"/>
        <v>5.5</v>
      </c>
      <c r="C212" s="109">
        <f t="shared" si="63"/>
        <v>19.066666666666666</v>
      </c>
      <c r="D212" s="109">
        <f t="shared" si="64"/>
        <v>72.86666666666666</v>
      </c>
      <c r="E212" s="107">
        <f t="shared" si="65"/>
        <v>44573.357638888891</v>
      </c>
      <c r="F212" s="106">
        <f t="shared" si="61"/>
        <v>44573.301634343494</v>
      </c>
      <c r="G212" t="str">
        <f t="shared" si="66"/>
        <v>Wednesday</v>
      </c>
      <c r="H212" s="129">
        <v>0.58680555555554503</v>
      </c>
      <c r="I212" s="115">
        <f t="shared" si="52"/>
        <v>28.278792629974681</v>
      </c>
      <c r="J212" s="115">
        <f t="shared" si="53"/>
        <v>267.94558323585773</v>
      </c>
      <c r="K212" s="115">
        <f t="shared" si="54"/>
        <v>26.708973341980943</v>
      </c>
      <c r="L212" s="115">
        <f t="shared" si="55"/>
        <v>237.05136132934854</v>
      </c>
      <c r="M212" s="115">
        <f t="shared" si="56"/>
        <v>285.7589474790887</v>
      </c>
      <c r="N212" s="115">
        <f t="shared" si="57"/>
        <v>308.69768285737985</v>
      </c>
      <c r="O212" s="115">
        <f t="shared" si="58"/>
        <v>262.54670884603485</v>
      </c>
      <c r="P212" s="115">
        <f t="shared" si="59"/>
        <v>289.00928685820753</v>
      </c>
      <c r="Q212" s="115">
        <f t="shared" si="60"/>
        <v>34.768336989919973</v>
      </c>
    </row>
    <row r="213" spans="1:17" x14ac:dyDescent="0.25">
      <c r="A213" s="114">
        <f t="shared" si="51"/>
        <v>44573</v>
      </c>
      <c r="B213">
        <f t="shared" si="62"/>
        <v>5.5</v>
      </c>
      <c r="C213" s="109">
        <f t="shared" si="63"/>
        <v>19.066666666666666</v>
      </c>
      <c r="D213" s="109">
        <f t="shared" si="64"/>
        <v>72.86666666666666</v>
      </c>
      <c r="E213" s="107">
        <f t="shared" si="65"/>
        <v>44573.361111111117</v>
      </c>
      <c r="F213" s="106">
        <f t="shared" si="61"/>
        <v>44573.301634343494</v>
      </c>
      <c r="G213" t="str">
        <f t="shared" si="66"/>
        <v>Wednesday</v>
      </c>
      <c r="H213" s="129">
        <v>0.59027777777776702</v>
      </c>
      <c r="I213" s="115">
        <f t="shared" si="52"/>
        <v>29.636284014488989</v>
      </c>
      <c r="J213" s="115">
        <f t="shared" si="53"/>
        <v>267.9491202639424</v>
      </c>
      <c r="K213" s="115">
        <f t="shared" si="54"/>
        <v>26.750102192146844</v>
      </c>
      <c r="L213" s="115">
        <f t="shared" si="55"/>
        <v>237.05385334265301</v>
      </c>
      <c r="M213" s="115">
        <f t="shared" si="56"/>
        <v>285.76027865270731</v>
      </c>
      <c r="N213" s="115">
        <f t="shared" si="57"/>
        <v>308.69841604545138</v>
      </c>
      <c r="O213" s="115">
        <f t="shared" si="58"/>
        <v>262.54466379743241</v>
      </c>
      <c r="P213" s="115">
        <f t="shared" si="59"/>
        <v>289.00968454162143</v>
      </c>
      <c r="Q213" s="115">
        <f t="shared" si="60"/>
        <v>34.768152989967085</v>
      </c>
    </row>
    <row r="214" spans="1:17" x14ac:dyDescent="0.25">
      <c r="A214" s="114">
        <f t="shared" si="51"/>
        <v>44573</v>
      </c>
      <c r="B214">
        <f t="shared" si="62"/>
        <v>5.5</v>
      </c>
      <c r="C214" s="109">
        <f t="shared" si="63"/>
        <v>19.066666666666666</v>
      </c>
      <c r="D214" s="109">
        <f t="shared" si="64"/>
        <v>72.86666666666666</v>
      </c>
      <c r="E214" s="107">
        <f t="shared" si="65"/>
        <v>44573.364583333336</v>
      </c>
      <c r="F214" s="106">
        <f t="shared" si="61"/>
        <v>44573.301634343494</v>
      </c>
      <c r="G214" t="str">
        <f t="shared" si="66"/>
        <v>Wednesday</v>
      </c>
      <c r="H214" s="129">
        <v>0.59374999999998901</v>
      </c>
      <c r="I214" s="115">
        <f t="shared" si="52"/>
        <v>30.984192581320613</v>
      </c>
      <c r="J214" s="115">
        <f t="shared" si="53"/>
        <v>267.9526572904644</v>
      </c>
      <c r="K214" s="115">
        <f t="shared" si="54"/>
        <v>26.791229744039981</v>
      </c>
      <c r="L214" s="115">
        <f t="shared" si="55"/>
        <v>237.05634536342248</v>
      </c>
      <c r="M214" s="115">
        <f t="shared" si="56"/>
        <v>285.76160780713809</v>
      </c>
      <c r="N214" s="115">
        <f t="shared" si="57"/>
        <v>308.69914924829607</v>
      </c>
      <c r="O214" s="115">
        <f t="shared" si="58"/>
        <v>262.54261891985885</v>
      </c>
      <c r="P214" s="115">
        <f t="shared" si="59"/>
        <v>289.01008223019488</v>
      </c>
      <c r="Q214" s="115">
        <f t="shared" si="60"/>
        <v>34.767968989997669</v>
      </c>
    </row>
    <row r="215" spans="1:17" x14ac:dyDescent="0.25">
      <c r="A215" s="114">
        <f t="shared" si="51"/>
        <v>44573</v>
      </c>
      <c r="B215">
        <f t="shared" si="62"/>
        <v>5.5</v>
      </c>
      <c r="C215" s="109">
        <f t="shared" si="63"/>
        <v>19.066666666666666</v>
      </c>
      <c r="D215" s="109">
        <f t="shared" si="64"/>
        <v>72.86666666666666</v>
      </c>
      <c r="E215" s="107">
        <f t="shared" si="65"/>
        <v>44573.368055555555</v>
      </c>
      <c r="F215" s="106">
        <f t="shared" si="61"/>
        <v>44573.301634343494</v>
      </c>
      <c r="G215" t="str">
        <f t="shared" si="66"/>
        <v>Wednesday</v>
      </c>
      <c r="H215" s="129">
        <v>0.597222222222211</v>
      </c>
      <c r="I215" s="115">
        <f t="shared" si="52"/>
        <v>32.322631255149901</v>
      </c>
      <c r="J215" s="115">
        <f t="shared" si="53"/>
        <v>267.95619431464019</v>
      </c>
      <c r="K215" s="115">
        <f t="shared" si="54"/>
        <v>26.832355989959265</v>
      </c>
      <c r="L215" s="115">
        <f t="shared" si="55"/>
        <v>237.05883739114702</v>
      </c>
      <c r="M215" s="115">
        <f t="shared" si="56"/>
        <v>285.76293494166941</v>
      </c>
      <c r="N215" s="115">
        <f t="shared" si="57"/>
        <v>308.69988246554612</v>
      </c>
      <c r="O215" s="115">
        <f t="shared" si="58"/>
        <v>262.54057421421305</v>
      </c>
      <c r="P215" s="115">
        <f t="shared" si="59"/>
        <v>289.01047992483052</v>
      </c>
      <c r="Q215" s="115">
        <f t="shared" si="60"/>
        <v>34.76778499001172</v>
      </c>
    </row>
    <row r="216" spans="1:17" x14ac:dyDescent="0.25">
      <c r="A216" s="114">
        <f t="shared" si="51"/>
        <v>44573</v>
      </c>
      <c r="B216">
        <f t="shared" si="62"/>
        <v>5.5</v>
      </c>
      <c r="C216" s="109">
        <f t="shared" si="63"/>
        <v>19.066666666666666</v>
      </c>
      <c r="D216" s="109">
        <f t="shared" si="64"/>
        <v>72.86666666666666</v>
      </c>
      <c r="E216" s="107">
        <f t="shared" si="65"/>
        <v>44573.371527777781</v>
      </c>
      <c r="F216" s="106">
        <f t="shared" si="61"/>
        <v>44573.301634343494</v>
      </c>
      <c r="G216" t="str">
        <f t="shared" si="66"/>
        <v>Wednesday</v>
      </c>
      <c r="H216" s="129">
        <v>0.60069444444443298</v>
      </c>
      <c r="I216" s="115">
        <f t="shared" si="52"/>
        <v>33.65172635645493</v>
      </c>
      <c r="J216" s="115">
        <f t="shared" si="53"/>
        <v>267.95973133748959</v>
      </c>
      <c r="K216" s="115">
        <f t="shared" si="54"/>
        <v>26.873480944360672</v>
      </c>
      <c r="L216" s="115">
        <f t="shared" si="55"/>
        <v>237.06132942658158</v>
      </c>
      <c r="M216" s="115">
        <f t="shared" si="56"/>
        <v>285.76426005604884</v>
      </c>
      <c r="N216" s="115">
        <f t="shared" si="57"/>
        <v>308.70061569783644</v>
      </c>
      <c r="O216" s="115">
        <f t="shared" si="58"/>
        <v>262.53852967999819</v>
      </c>
      <c r="P216" s="115">
        <f t="shared" si="59"/>
        <v>289.0108776251156</v>
      </c>
      <c r="Q216" s="115">
        <f t="shared" si="60"/>
        <v>34.767600990042297</v>
      </c>
    </row>
    <row r="217" spans="1:17" x14ac:dyDescent="0.25">
      <c r="A217" s="114">
        <f t="shared" si="51"/>
        <v>44573</v>
      </c>
      <c r="B217">
        <f t="shared" si="62"/>
        <v>5.5</v>
      </c>
      <c r="C217" s="109">
        <f t="shared" si="63"/>
        <v>19.066666666666666</v>
      </c>
      <c r="D217" s="109">
        <f t="shared" si="64"/>
        <v>72.86666666666666</v>
      </c>
      <c r="E217" s="107">
        <f t="shared" si="65"/>
        <v>44573.375</v>
      </c>
      <c r="F217" s="106">
        <f t="shared" si="61"/>
        <v>44573.301634343494</v>
      </c>
      <c r="G217" t="str">
        <f t="shared" si="66"/>
        <v>Wednesday</v>
      </c>
      <c r="H217" s="129">
        <v>0.60416666666665497</v>
      </c>
      <c r="I217" s="115">
        <f t="shared" si="52"/>
        <v>34.971615213523364</v>
      </c>
      <c r="J217" s="115">
        <f t="shared" si="53"/>
        <v>267.96326835799249</v>
      </c>
      <c r="K217" s="115">
        <f t="shared" si="54"/>
        <v>26.914604599661729</v>
      </c>
      <c r="L217" s="115">
        <f t="shared" si="55"/>
        <v>237.06382146898071</v>
      </c>
      <c r="M217" s="115">
        <f t="shared" si="56"/>
        <v>285.7655831492828</v>
      </c>
      <c r="N217" s="115">
        <f t="shared" si="57"/>
        <v>308.70134894466736</v>
      </c>
      <c r="O217" s="115">
        <f t="shared" si="58"/>
        <v>262.53648531796944</v>
      </c>
      <c r="P217" s="115">
        <f t="shared" si="59"/>
        <v>289.01127532996992</v>
      </c>
      <c r="Q217" s="115">
        <f t="shared" si="60"/>
        <v>34.767416990106007</v>
      </c>
    </row>
    <row r="218" spans="1:17" x14ac:dyDescent="0.25">
      <c r="A218" s="114">
        <f t="shared" si="51"/>
        <v>44573</v>
      </c>
      <c r="B218">
        <f t="shared" si="62"/>
        <v>5.5</v>
      </c>
      <c r="C218" s="109">
        <f t="shared" si="63"/>
        <v>19.066666666666666</v>
      </c>
      <c r="D218" s="109">
        <f t="shared" si="64"/>
        <v>72.86666666666666</v>
      </c>
      <c r="E218" s="107">
        <f t="shared" si="65"/>
        <v>44573.378472222226</v>
      </c>
      <c r="F218" s="106">
        <f t="shared" si="61"/>
        <v>44573.301634343494</v>
      </c>
      <c r="G218" t="str">
        <f t="shared" si="66"/>
        <v>Wednesday</v>
      </c>
      <c r="H218" s="129">
        <v>0.60763888888887696</v>
      </c>
      <c r="I218" s="115">
        <f t="shared" si="52"/>
        <v>36.282446480409789</v>
      </c>
      <c r="J218" s="115">
        <f t="shared" si="53"/>
        <v>267.96680537661911</v>
      </c>
      <c r="K218" s="115">
        <f t="shared" si="54"/>
        <v>26.955726964659583</v>
      </c>
      <c r="L218" s="115">
        <f t="shared" si="55"/>
        <v>237.06631351861571</v>
      </c>
      <c r="M218" s="115">
        <f t="shared" si="56"/>
        <v>285.7669042210353</v>
      </c>
      <c r="N218" s="115">
        <f t="shared" si="57"/>
        <v>308.7020822063019</v>
      </c>
      <c r="O218" s="115">
        <f t="shared" si="58"/>
        <v>262.53444112808091</v>
      </c>
      <c r="P218" s="115">
        <f t="shared" si="59"/>
        <v>289.01167304064296</v>
      </c>
      <c r="Q218" s="115">
        <f t="shared" si="60"/>
        <v>34.767232990119986</v>
      </c>
    </row>
    <row r="219" spans="1:17" x14ac:dyDescent="0.25">
      <c r="A219" s="114">
        <f t="shared" si="51"/>
        <v>44573</v>
      </c>
      <c r="B219">
        <f t="shared" si="62"/>
        <v>5.5</v>
      </c>
      <c r="C219" s="109">
        <f t="shared" si="63"/>
        <v>19.066666666666666</v>
      </c>
      <c r="D219" s="109">
        <f t="shared" si="64"/>
        <v>72.86666666666666</v>
      </c>
      <c r="E219" s="107">
        <f t="shared" si="65"/>
        <v>44573.381944444445</v>
      </c>
      <c r="F219" s="106">
        <f t="shared" si="61"/>
        <v>44573.301634343494</v>
      </c>
      <c r="G219" t="str">
        <f t="shared" si="66"/>
        <v>Wednesday</v>
      </c>
      <c r="H219" s="129">
        <v>0.61111111111109895</v>
      </c>
      <c r="I219" s="115">
        <f t="shared" si="52"/>
        <v>37.584378697722507</v>
      </c>
      <c r="J219" s="115">
        <f t="shared" si="53"/>
        <v>267.97034239399238</v>
      </c>
      <c r="K219" s="115">
        <f t="shared" si="54"/>
        <v>26.996848048410641</v>
      </c>
      <c r="L219" s="115">
        <f t="shared" si="55"/>
        <v>237.06880557619417</v>
      </c>
      <c r="M219" s="115">
        <f t="shared" si="56"/>
        <v>285.76822327100194</v>
      </c>
      <c r="N219" s="115">
        <f t="shared" si="57"/>
        <v>308.7028154827471</v>
      </c>
      <c r="O219" s="115">
        <f t="shared" si="58"/>
        <v>262.53239711003943</v>
      </c>
      <c r="P219" s="115">
        <f t="shared" si="59"/>
        <v>289.01207075676928</v>
      </c>
      <c r="Q219" s="115">
        <f t="shared" si="60"/>
        <v>34.767048990167169</v>
      </c>
    </row>
    <row r="220" spans="1:17" x14ac:dyDescent="0.25">
      <c r="A220" s="114">
        <f t="shared" ref="A220:A229" si="67">A219</f>
        <v>44573</v>
      </c>
      <c r="B220">
        <f t="shared" si="62"/>
        <v>5.5</v>
      </c>
      <c r="C220" s="109">
        <f t="shared" si="63"/>
        <v>19.066666666666666</v>
      </c>
      <c r="D220" s="109">
        <f t="shared" si="64"/>
        <v>72.86666666666666</v>
      </c>
      <c r="E220" s="107">
        <f t="shared" si="65"/>
        <v>44573.385416666672</v>
      </c>
      <c r="F220" s="106">
        <f t="shared" si="61"/>
        <v>44573.301634343494</v>
      </c>
      <c r="G220" t="str">
        <f t="shared" si="66"/>
        <v>Wednesday</v>
      </c>
      <c r="H220" s="129">
        <v>0.61458333333332105</v>
      </c>
      <c r="I220" s="115">
        <f t="shared" si="52"/>
        <v>38.877578906736403</v>
      </c>
      <c r="J220" s="115">
        <f t="shared" si="53"/>
        <v>267.97387940877394</v>
      </c>
      <c r="K220" s="115">
        <f t="shared" si="54"/>
        <v>27.037967843187829</v>
      </c>
      <c r="L220" s="115">
        <f t="shared" si="55"/>
        <v>237.07129764027158</v>
      </c>
      <c r="M220" s="115">
        <f t="shared" si="56"/>
        <v>285.76954029800277</v>
      </c>
      <c r="N220" s="115">
        <f t="shared" si="57"/>
        <v>308.70354877368874</v>
      </c>
      <c r="O220" s="115">
        <f t="shared" si="58"/>
        <v>262.53035326468051</v>
      </c>
      <c r="P220" s="115">
        <f t="shared" si="59"/>
        <v>289.01246847770466</v>
      </c>
      <c r="Q220" s="115">
        <f t="shared" si="60"/>
        <v>34.766864990197739</v>
      </c>
    </row>
    <row r="221" spans="1:17" x14ac:dyDescent="0.25">
      <c r="A221" s="114">
        <f t="shared" si="67"/>
        <v>44573</v>
      </c>
      <c r="B221">
        <f t="shared" si="62"/>
        <v>5.5</v>
      </c>
      <c r="C221" s="109">
        <f t="shared" si="63"/>
        <v>19.066666666666666</v>
      </c>
      <c r="D221" s="109">
        <f t="shared" si="64"/>
        <v>72.86666666666666</v>
      </c>
      <c r="E221" s="107">
        <f t="shared" si="65"/>
        <v>44573.388888888891</v>
      </c>
      <c r="F221" s="106">
        <f t="shared" si="61"/>
        <v>44573.301634343494</v>
      </c>
      <c r="G221" t="str">
        <f t="shared" si="66"/>
        <v>Wednesday</v>
      </c>
      <c r="H221" s="129">
        <v>0.61805555555554303</v>
      </c>
      <c r="I221" s="115">
        <f t="shared" ref="I221:I284" si="68">(Asdt(C221,D221,E221))</f>
        <v>40.162223029917087</v>
      </c>
      <c r="J221" s="115">
        <f t="shared" ref="J221:J284" si="69">(Planet(E221,0))</f>
        <v>267.97741642228209</v>
      </c>
      <c r="K221" s="115">
        <f t="shared" ref="K221:K284" si="70">(Planet(E221,1))</f>
        <v>27.079086363511841</v>
      </c>
      <c r="L221" s="115">
        <f t="shared" ref="L221:L284" si="71">(Planet(E221,4))</f>
        <v>237.0737897122043</v>
      </c>
      <c r="M221" s="115">
        <f t="shared" ref="M221:M284" si="72">(Planet(E221,2))</f>
        <v>285.77085530208143</v>
      </c>
      <c r="N221" s="115">
        <f t="shared" ref="N221:N284" si="73">(Planet(E221,5))</f>
        <v>308.70428207960043</v>
      </c>
      <c r="O221" s="115">
        <f t="shared" ref="O221:O284" si="74">Planet(E221,3)</f>
        <v>262.52830959174605</v>
      </c>
      <c r="P221" s="115">
        <f t="shared" ref="P221:P284" si="75">Planet(E221,6)</f>
        <v>289.01286620483074</v>
      </c>
      <c r="Q221" s="115">
        <f t="shared" ref="Q221:Q284" si="76">Planet(E221,10)</f>
        <v>34.766680990244964</v>
      </c>
    </row>
    <row r="222" spans="1:17" x14ac:dyDescent="0.25">
      <c r="A222" s="114">
        <f t="shared" si="67"/>
        <v>44573</v>
      </c>
      <c r="B222">
        <f t="shared" si="62"/>
        <v>5.5</v>
      </c>
      <c r="C222" s="109">
        <f t="shared" si="63"/>
        <v>19.066666666666666</v>
      </c>
      <c r="D222" s="109">
        <f t="shared" si="64"/>
        <v>72.86666666666666</v>
      </c>
      <c r="E222" s="107">
        <f t="shared" si="65"/>
        <v>44573.392361111117</v>
      </c>
      <c r="F222" s="106">
        <f t="shared" si="61"/>
        <v>44573.301634343494</v>
      </c>
      <c r="G222" t="str">
        <f t="shared" si="66"/>
        <v>Wednesday</v>
      </c>
      <c r="H222" s="129">
        <v>0.62152777777776502</v>
      </c>
      <c r="I222" s="115">
        <f t="shared" si="68"/>
        <v>41.43849368667901</v>
      </c>
      <c r="J222" s="115">
        <f t="shared" si="69"/>
        <v>267.9809534334575</v>
      </c>
      <c r="K222" s="115">
        <f t="shared" si="70"/>
        <v>27.120203601622951</v>
      </c>
      <c r="L222" s="115">
        <f t="shared" si="71"/>
        <v>237.07628179118922</v>
      </c>
      <c r="M222" s="115">
        <f t="shared" si="72"/>
        <v>285.77216828221941</v>
      </c>
      <c r="N222" s="115">
        <f t="shared" si="73"/>
        <v>308.70501539992574</v>
      </c>
      <c r="O222" s="115">
        <f t="shared" si="74"/>
        <v>262.52626609176463</v>
      </c>
      <c r="P222" s="115">
        <f t="shared" si="75"/>
        <v>289.01326393711895</v>
      </c>
      <c r="Q222" s="115">
        <f t="shared" si="76"/>
        <v>34.766496990275506</v>
      </c>
    </row>
    <row r="223" spans="1:17" x14ac:dyDescent="0.25">
      <c r="A223" s="114">
        <f t="shared" si="67"/>
        <v>44573</v>
      </c>
      <c r="B223">
        <f t="shared" si="62"/>
        <v>5.5</v>
      </c>
      <c r="C223" s="109">
        <f t="shared" si="63"/>
        <v>19.066666666666666</v>
      </c>
      <c r="D223" s="109">
        <f t="shared" si="64"/>
        <v>72.86666666666666</v>
      </c>
      <c r="E223" s="107">
        <f t="shared" si="65"/>
        <v>44573.395833333336</v>
      </c>
      <c r="F223" s="106">
        <f t="shared" si="61"/>
        <v>44573.301634343494</v>
      </c>
      <c r="G223" t="str">
        <f t="shared" si="66"/>
        <v>Wednesday</v>
      </c>
      <c r="H223" s="129">
        <v>0.62499999999998701</v>
      </c>
      <c r="I223" s="115">
        <f t="shared" si="68"/>
        <v>42.706580803062153</v>
      </c>
      <c r="J223" s="115">
        <f t="shared" si="69"/>
        <v>267.98449044323314</v>
      </c>
      <c r="K223" s="115">
        <f t="shared" si="70"/>
        <v>27.16131957203557</v>
      </c>
      <c r="L223" s="115">
        <f t="shared" si="71"/>
        <v>237.07877387773377</v>
      </c>
      <c r="M223" s="115">
        <f t="shared" si="72"/>
        <v>285.77347923818741</v>
      </c>
      <c r="N223" s="115">
        <f t="shared" si="73"/>
        <v>308.70574873533729</v>
      </c>
      <c r="O223" s="115">
        <f t="shared" si="74"/>
        <v>262.52422276440842</v>
      </c>
      <c r="P223" s="115">
        <f t="shared" si="75"/>
        <v>289.01366167480558</v>
      </c>
      <c r="Q223" s="115">
        <f t="shared" si="76"/>
        <v>34.766312990289542</v>
      </c>
    </row>
    <row r="224" spans="1:17" x14ac:dyDescent="0.25">
      <c r="A224" s="114">
        <f t="shared" si="67"/>
        <v>44573</v>
      </c>
      <c r="B224">
        <f t="shared" si="62"/>
        <v>5.5</v>
      </c>
      <c r="C224" s="109">
        <f t="shared" si="63"/>
        <v>19.066666666666666</v>
      </c>
      <c r="D224" s="109">
        <f t="shared" si="64"/>
        <v>72.86666666666666</v>
      </c>
      <c r="E224" s="107">
        <f t="shared" si="65"/>
        <v>44573.399305555555</v>
      </c>
      <c r="F224" s="106">
        <f t="shared" si="61"/>
        <v>44573.301634343494</v>
      </c>
      <c r="G224" t="str">
        <f t="shared" si="66"/>
        <v>Wednesday</v>
      </c>
      <c r="H224" s="129">
        <v>0.628472222222209</v>
      </c>
      <c r="I224" s="115">
        <f t="shared" si="68"/>
        <v>43.96667952005361</v>
      </c>
      <c r="J224" s="115">
        <f t="shared" si="69"/>
        <v>267.98802745078888</v>
      </c>
      <c r="K224" s="115">
        <f t="shared" si="70"/>
        <v>27.202434267080029</v>
      </c>
      <c r="L224" s="115">
        <f t="shared" si="71"/>
        <v>237.08126597138721</v>
      </c>
      <c r="M224" s="115">
        <f t="shared" si="72"/>
        <v>285.77478816918705</v>
      </c>
      <c r="N224" s="115">
        <f t="shared" si="73"/>
        <v>308.7064820854078</v>
      </c>
      <c r="O224" s="115">
        <f t="shared" si="74"/>
        <v>262.52217961036308</v>
      </c>
      <c r="P224" s="115">
        <f t="shared" si="75"/>
        <v>289.01405941834571</v>
      </c>
      <c r="Q224" s="115">
        <f t="shared" si="76"/>
        <v>34.766128990353202</v>
      </c>
    </row>
    <row r="225" spans="1:17" x14ac:dyDescent="0.25">
      <c r="A225" s="114">
        <f t="shared" si="67"/>
        <v>44573</v>
      </c>
      <c r="B225">
        <f t="shared" si="62"/>
        <v>5.5</v>
      </c>
      <c r="C225" s="109">
        <f t="shared" si="63"/>
        <v>19.066666666666666</v>
      </c>
      <c r="D225" s="109">
        <f t="shared" si="64"/>
        <v>72.86666666666666</v>
      </c>
      <c r="E225" s="107">
        <f t="shared" si="65"/>
        <v>44573.402777777781</v>
      </c>
      <c r="F225" s="106">
        <f t="shared" si="61"/>
        <v>44573.301634343494</v>
      </c>
      <c r="G225" t="str">
        <f t="shared" si="66"/>
        <v>Wednesday</v>
      </c>
      <c r="H225" s="129">
        <v>0.63194444444443099</v>
      </c>
      <c r="I225" s="115">
        <f t="shared" si="68"/>
        <v>45.218990856598417</v>
      </c>
      <c r="J225" s="115">
        <f t="shared" si="69"/>
        <v>267.9915644568286</v>
      </c>
      <c r="K225" s="115">
        <f t="shared" si="70"/>
        <v>27.243547701178919</v>
      </c>
      <c r="L225" s="115">
        <f t="shared" si="71"/>
        <v>237.08375807261808</v>
      </c>
      <c r="M225" s="115">
        <f t="shared" si="72"/>
        <v>285.77609507481162</v>
      </c>
      <c r="N225" s="115">
        <f t="shared" si="73"/>
        <v>308.70721545012702</v>
      </c>
      <c r="O225" s="115">
        <f t="shared" si="74"/>
        <v>262.52013662942699</v>
      </c>
      <c r="P225" s="115">
        <f t="shared" si="75"/>
        <v>289.0144571667114</v>
      </c>
      <c r="Q225" s="115">
        <f t="shared" si="76"/>
        <v>34.765944990383829</v>
      </c>
    </row>
    <row r="226" spans="1:17" x14ac:dyDescent="0.25">
      <c r="A226" s="114">
        <f t="shared" si="67"/>
        <v>44573</v>
      </c>
      <c r="B226">
        <f t="shared" si="62"/>
        <v>5.5</v>
      </c>
      <c r="C226" s="109">
        <f t="shared" si="63"/>
        <v>19.066666666666666</v>
      </c>
      <c r="D226" s="109">
        <f t="shared" si="64"/>
        <v>72.86666666666666</v>
      </c>
      <c r="E226" s="107">
        <f t="shared" si="65"/>
        <v>44573.40625</v>
      </c>
      <c r="F226" s="106">
        <f t="shared" si="61"/>
        <v>44573.301634343494</v>
      </c>
      <c r="G226" t="str">
        <f t="shared" si="66"/>
        <v>Wednesday</v>
      </c>
      <c r="H226" s="129">
        <v>0.63541666666665297</v>
      </c>
      <c r="I226" s="115">
        <f t="shared" si="68"/>
        <v>46.463719708753025</v>
      </c>
      <c r="J226" s="115">
        <f t="shared" si="69"/>
        <v>267.99510146041484</v>
      </c>
      <c r="K226" s="115">
        <f t="shared" si="70"/>
        <v>27.284659866707511</v>
      </c>
      <c r="L226" s="115">
        <f t="shared" si="71"/>
        <v>237.08625018050697</v>
      </c>
      <c r="M226" s="115">
        <f t="shared" si="72"/>
        <v>285.77739995422326</v>
      </c>
      <c r="N226" s="115">
        <f t="shared" si="73"/>
        <v>308.70794882938139</v>
      </c>
      <c r="O226" s="115">
        <f t="shared" si="74"/>
        <v>262.5180938219894</v>
      </c>
      <c r="P226" s="115">
        <f t="shared" si="75"/>
        <v>289.01485492026819</v>
      </c>
      <c r="Q226" s="115">
        <f t="shared" si="76"/>
        <v>34.765760990431005</v>
      </c>
    </row>
    <row r="227" spans="1:17" x14ac:dyDescent="0.25">
      <c r="A227" s="114">
        <f t="shared" si="67"/>
        <v>44573</v>
      </c>
      <c r="B227">
        <f t="shared" si="62"/>
        <v>5.5</v>
      </c>
      <c r="C227" s="109">
        <f t="shared" si="63"/>
        <v>19.066666666666666</v>
      </c>
      <c r="D227" s="109">
        <f t="shared" si="64"/>
        <v>72.86666666666666</v>
      </c>
      <c r="E227" s="107">
        <f t="shared" si="65"/>
        <v>44573.409722222226</v>
      </c>
      <c r="F227" s="106">
        <f t="shared" si="61"/>
        <v>44573.301634343494</v>
      </c>
      <c r="G227" t="str">
        <f t="shared" si="66"/>
        <v>Wednesday</v>
      </c>
      <c r="H227" s="129">
        <v>0.63888888888887496</v>
      </c>
      <c r="I227" s="115">
        <f t="shared" si="68"/>
        <v>47.701075406226778</v>
      </c>
      <c r="J227" s="115">
        <f t="shared" si="69"/>
        <v>267.99863846225111</v>
      </c>
      <c r="K227" s="115">
        <f t="shared" si="70"/>
        <v>27.325770772544232</v>
      </c>
      <c r="L227" s="115">
        <f t="shared" si="71"/>
        <v>237.08874229596347</v>
      </c>
      <c r="M227" s="115">
        <f t="shared" si="72"/>
        <v>285.77870280711255</v>
      </c>
      <c r="N227" s="115">
        <f t="shared" si="73"/>
        <v>308.7086822231372</v>
      </c>
      <c r="O227" s="115">
        <f t="shared" si="74"/>
        <v>262.51605118826615</v>
      </c>
      <c r="P227" s="115">
        <f t="shared" si="75"/>
        <v>289.01525267984437</v>
      </c>
      <c r="Q227" s="115">
        <f t="shared" si="76"/>
        <v>34.765576990444984</v>
      </c>
    </row>
    <row r="228" spans="1:17" x14ac:dyDescent="0.25">
      <c r="A228" s="114">
        <f t="shared" si="67"/>
        <v>44573</v>
      </c>
      <c r="B228">
        <f t="shared" si="62"/>
        <v>5.5</v>
      </c>
      <c r="C228" s="109">
        <f t="shared" si="63"/>
        <v>19.066666666666666</v>
      </c>
      <c r="D228" s="109">
        <f t="shared" si="64"/>
        <v>72.86666666666666</v>
      </c>
      <c r="E228" s="107">
        <f t="shared" si="65"/>
        <v>44573.413194444445</v>
      </c>
      <c r="F228" s="106">
        <f t="shared" si="61"/>
        <v>44573.301634343494</v>
      </c>
      <c r="G228" t="str">
        <f t="shared" si="66"/>
        <v>Wednesday</v>
      </c>
      <c r="H228" s="129">
        <v>0.64236111111109695</v>
      </c>
      <c r="I228" s="115">
        <f t="shared" si="68"/>
        <v>48.931270623171599</v>
      </c>
      <c r="J228" s="115">
        <f t="shared" si="69"/>
        <v>268.00217546267925</v>
      </c>
      <c r="K228" s="115">
        <f t="shared" si="70"/>
        <v>27.366880427645601</v>
      </c>
      <c r="L228" s="115">
        <f t="shared" si="71"/>
        <v>237.09123441908272</v>
      </c>
      <c r="M228" s="115">
        <f t="shared" si="72"/>
        <v>285.78000363295854</v>
      </c>
      <c r="N228" s="115">
        <f t="shared" si="73"/>
        <v>308.70941563210084</v>
      </c>
      <c r="O228" s="115">
        <f t="shared" si="74"/>
        <v>262.51400872799388</v>
      </c>
      <c r="P228" s="115">
        <f t="shared" si="75"/>
        <v>289.0156504446378</v>
      </c>
      <c r="Q228" s="115">
        <f t="shared" si="76"/>
        <v>34.765392990475561</v>
      </c>
    </row>
    <row r="229" spans="1:17" x14ac:dyDescent="0.25">
      <c r="A229" s="114">
        <f t="shared" si="67"/>
        <v>44573</v>
      </c>
      <c r="B229">
        <f t="shared" si="62"/>
        <v>5.5</v>
      </c>
      <c r="C229" s="109">
        <f t="shared" si="63"/>
        <v>19.066666666666666</v>
      </c>
      <c r="D229" s="109">
        <f t="shared" si="64"/>
        <v>72.86666666666666</v>
      </c>
      <c r="E229" s="107">
        <f t="shared" si="65"/>
        <v>44573.416666666672</v>
      </c>
      <c r="F229" s="106">
        <f t="shared" si="61"/>
        <v>44573.301634343494</v>
      </c>
      <c r="G229" t="str">
        <f t="shared" si="66"/>
        <v>Wednesday</v>
      </c>
      <c r="H229" s="129">
        <v>0.64583333333331905</v>
      </c>
      <c r="I229" s="115">
        <f t="shared" si="68"/>
        <v>50.154520341610436</v>
      </c>
      <c r="J229" s="115">
        <f t="shared" si="69"/>
        <v>268.00571246078221</v>
      </c>
      <c r="K229" s="115">
        <f t="shared" si="70"/>
        <v>27.407988824281468</v>
      </c>
      <c r="L229" s="115">
        <f t="shared" si="71"/>
        <v>237.09372654911925</v>
      </c>
      <c r="M229" s="115">
        <f t="shared" si="72"/>
        <v>285.78130243097041</v>
      </c>
      <c r="N229" s="115">
        <f t="shared" si="73"/>
        <v>308.71014905588441</v>
      </c>
      <c r="O229" s="115">
        <f t="shared" si="74"/>
        <v>262.51196644194357</v>
      </c>
      <c r="P229" s="115">
        <f t="shared" si="75"/>
        <v>289.01604821473705</v>
      </c>
      <c r="Q229" s="115">
        <f t="shared" si="76"/>
        <v>34.76520899052273</v>
      </c>
    </row>
    <row r="230" spans="1:17" x14ac:dyDescent="0.25">
      <c r="A230" s="114">
        <f>A229+1</f>
        <v>44574</v>
      </c>
      <c r="B230">
        <f t="shared" si="62"/>
        <v>5.5</v>
      </c>
      <c r="C230" s="109">
        <f t="shared" si="63"/>
        <v>19.066666666666666</v>
      </c>
      <c r="D230" s="109">
        <f t="shared" si="64"/>
        <v>72.86666666666666</v>
      </c>
      <c r="E230" s="107">
        <f t="shared" si="65"/>
        <v>44574.15625</v>
      </c>
      <c r="F230" s="106">
        <f t="shared" si="61"/>
        <v>44574.301717012808</v>
      </c>
      <c r="G230" t="str">
        <f t="shared" si="66"/>
        <v>Thursday</v>
      </c>
      <c r="H230" s="129">
        <v>0.38541666666666669</v>
      </c>
      <c r="I230" s="115">
        <f t="shared" si="68"/>
        <v>300.59986065748888</v>
      </c>
      <c r="J230" s="115">
        <f t="shared" si="69"/>
        <v>268.75905036702432</v>
      </c>
      <c r="K230" s="115">
        <f t="shared" si="70"/>
        <v>36.140936141390853</v>
      </c>
      <c r="L230" s="115">
        <f t="shared" si="71"/>
        <v>237.62471706486375</v>
      </c>
      <c r="M230" s="115">
        <f t="shared" si="72"/>
        <v>286.01083494719001</v>
      </c>
      <c r="N230" s="115">
        <f t="shared" si="73"/>
        <v>308.86670175427605</v>
      </c>
      <c r="O230" s="115">
        <f t="shared" si="74"/>
        <v>262.08119581417179</v>
      </c>
      <c r="P230" s="115">
        <f t="shared" si="75"/>
        <v>289.10089520734903</v>
      </c>
      <c r="Q230" s="115">
        <f t="shared" si="76"/>
        <v>34.72601699798166</v>
      </c>
    </row>
    <row r="231" spans="1:17" x14ac:dyDescent="0.25">
      <c r="A231" s="114">
        <f>A230</f>
        <v>44574</v>
      </c>
      <c r="B231">
        <f t="shared" si="62"/>
        <v>5.5</v>
      </c>
      <c r="C231" s="109">
        <f t="shared" si="63"/>
        <v>19.066666666666666</v>
      </c>
      <c r="D231" s="109">
        <f t="shared" si="64"/>
        <v>72.86666666666666</v>
      </c>
      <c r="E231" s="107">
        <f t="shared" si="65"/>
        <v>44574.159722222226</v>
      </c>
      <c r="F231" s="106">
        <f t="shared" si="61"/>
        <v>44574.301717012808</v>
      </c>
      <c r="G231" t="str">
        <f t="shared" si="66"/>
        <v>Thursday</v>
      </c>
      <c r="H231" s="129">
        <v>0.3888888888888889</v>
      </c>
      <c r="I231" s="115">
        <f t="shared" si="68"/>
        <v>302.08557612295414</v>
      </c>
      <c r="J231" s="115">
        <f t="shared" si="69"/>
        <v>268.76258696314943</v>
      </c>
      <c r="K231" s="115">
        <f t="shared" si="70"/>
        <v>36.181852070776415</v>
      </c>
      <c r="L231" s="115">
        <f t="shared" si="71"/>
        <v>237.62721076222502</v>
      </c>
      <c r="M231" s="115">
        <f t="shared" si="72"/>
        <v>286.01168729024096</v>
      </c>
      <c r="N231" s="115">
        <f t="shared" si="73"/>
        <v>308.86743830041058</v>
      </c>
      <c r="O231" s="115">
        <f t="shared" si="74"/>
        <v>262.07919457313744</v>
      </c>
      <c r="P231" s="115">
        <f t="shared" si="75"/>
        <v>289.10129411606925</v>
      </c>
      <c r="Q231" s="115">
        <f t="shared" si="76"/>
        <v>34.725832998045355</v>
      </c>
    </row>
    <row r="232" spans="1:17" x14ac:dyDescent="0.25">
      <c r="A232" s="114">
        <f t="shared" ref="A232:A295" si="77">A231</f>
        <v>44574</v>
      </c>
      <c r="B232">
        <f t="shared" si="62"/>
        <v>5.5</v>
      </c>
      <c r="C232" s="109">
        <f t="shared" si="63"/>
        <v>19.066666666666666</v>
      </c>
      <c r="D232" s="109">
        <f t="shared" si="64"/>
        <v>72.86666666666666</v>
      </c>
      <c r="E232" s="107">
        <f t="shared" si="65"/>
        <v>44574.163194444445</v>
      </c>
      <c r="F232" s="106">
        <f t="shared" si="61"/>
        <v>44574.301717012808</v>
      </c>
      <c r="G232" t="str">
        <f t="shared" si="66"/>
        <v>Thursday</v>
      </c>
      <c r="H232" s="129">
        <v>0.39236111111111099</v>
      </c>
      <c r="I232" s="115">
        <f t="shared" si="68"/>
        <v>303.58056157789963</v>
      </c>
      <c r="J232" s="115">
        <f t="shared" si="69"/>
        <v>268.76612355786716</v>
      </c>
      <c r="K232" s="115">
        <f t="shared" si="70"/>
        <v>36.222767448557413</v>
      </c>
      <c r="L232" s="115">
        <f t="shared" si="71"/>
        <v>237.62970446717492</v>
      </c>
      <c r="M232" s="115">
        <f t="shared" si="72"/>
        <v>286.01253749098322</v>
      </c>
      <c r="N232" s="115">
        <f t="shared" si="73"/>
        <v>308.86817486095765</v>
      </c>
      <c r="O232" s="115">
        <f t="shared" si="74"/>
        <v>262.07719354113351</v>
      </c>
      <c r="P232" s="115">
        <f t="shared" si="75"/>
        <v>289.10169303061099</v>
      </c>
      <c r="Q232" s="115">
        <f t="shared" si="76"/>
        <v>34.725648998059455</v>
      </c>
    </row>
    <row r="233" spans="1:17" x14ac:dyDescent="0.25">
      <c r="A233" s="114">
        <f t="shared" si="77"/>
        <v>44574</v>
      </c>
      <c r="B233">
        <f t="shared" si="62"/>
        <v>5.5</v>
      </c>
      <c r="C233" s="109">
        <f t="shared" si="63"/>
        <v>19.066666666666666</v>
      </c>
      <c r="D233" s="109">
        <f t="shared" si="64"/>
        <v>72.86666666666666</v>
      </c>
      <c r="E233" s="107">
        <f t="shared" si="65"/>
        <v>44574.166666666672</v>
      </c>
      <c r="F233" s="106">
        <f t="shared" si="61"/>
        <v>44574.301717012808</v>
      </c>
      <c r="G233" t="str">
        <f t="shared" si="66"/>
        <v>Thursday</v>
      </c>
      <c r="H233" s="129">
        <v>0.39583333333333298</v>
      </c>
      <c r="I233" s="115">
        <f t="shared" si="68"/>
        <v>305.08462277054423</v>
      </c>
      <c r="J233" s="115">
        <f t="shared" si="69"/>
        <v>268.76966015034412</v>
      </c>
      <c r="K233" s="115">
        <f t="shared" si="70"/>
        <v>36.263682266808559</v>
      </c>
      <c r="L233" s="115">
        <f t="shared" si="71"/>
        <v>237.6321981794828</v>
      </c>
      <c r="M233" s="115">
        <f t="shared" si="72"/>
        <v>286.01338554874906</v>
      </c>
      <c r="N233" s="115">
        <f t="shared" si="73"/>
        <v>308.86891143612337</v>
      </c>
      <c r="O233" s="115">
        <f t="shared" si="74"/>
        <v>262.07519271920415</v>
      </c>
      <c r="P233" s="115">
        <f t="shared" si="75"/>
        <v>289.10209195020872</v>
      </c>
      <c r="Q233" s="115">
        <f t="shared" si="76"/>
        <v>34.725464998123108</v>
      </c>
    </row>
    <row r="234" spans="1:17" x14ac:dyDescent="0.25">
      <c r="A234" s="114">
        <f t="shared" si="77"/>
        <v>44574</v>
      </c>
      <c r="B234">
        <f t="shared" si="62"/>
        <v>5.5</v>
      </c>
      <c r="C234" s="109">
        <f t="shared" si="63"/>
        <v>19.066666666666666</v>
      </c>
      <c r="D234" s="109">
        <f t="shared" si="64"/>
        <v>72.86666666666666</v>
      </c>
      <c r="E234" s="107">
        <f t="shared" si="65"/>
        <v>44574.170138888891</v>
      </c>
      <c r="F234" s="106">
        <f t="shared" si="61"/>
        <v>44574.301717012808</v>
      </c>
      <c r="G234" t="str">
        <f t="shared" si="66"/>
        <v>Thursday</v>
      </c>
      <c r="H234" s="129">
        <v>0.39930555555555503</v>
      </c>
      <c r="I234" s="115">
        <f t="shared" si="68"/>
        <v>306.59754002821916</v>
      </c>
      <c r="J234" s="115">
        <f t="shared" si="69"/>
        <v>268.77319674117837</v>
      </c>
      <c r="K234" s="115">
        <f t="shared" si="70"/>
        <v>36.304596539575989</v>
      </c>
      <c r="L234" s="115">
        <f t="shared" si="71"/>
        <v>237.63469189899257</v>
      </c>
      <c r="M234" s="115">
        <f t="shared" si="72"/>
        <v>286.01423146321633</v>
      </c>
      <c r="N234" s="115">
        <f t="shared" si="73"/>
        <v>308.86964802555269</v>
      </c>
      <c r="O234" s="115">
        <f t="shared" si="74"/>
        <v>262.07319210663456</v>
      </c>
      <c r="P234" s="115">
        <f t="shared" si="75"/>
        <v>289.10249087511897</v>
      </c>
      <c r="Q234" s="115">
        <f t="shared" si="76"/>
        <v>34.725280998120603</v>
      </c>
    </row>
    <row r="235" spans="1:17" x14ac:dyDescent="0.25">
      <c r="A235" s="114">
        <f t="shared" si="77"/>
        <v>44574</v>
      </c>
      <c r="B235">
        <f t="shared" si="62"/>
        <v>5.5</v>
      </c>
      <c r="C235" s="109">
        <f t="shared" si="63"/>
        <v>19.066666666666666</v>
      </c>
      <c r="D235" s="109">
        <f t="shared" si="64"/>
        <v>72.86666666666666</v>
      </c>
      <c r="E235" s="107">
        <f t="shared" si="65"/>
        <v>44574.173611111117</v>
      </c>
      <c r="F235" s="106">
        <f t="shared" si="61"/>
        <v>44574.301717012808</v>
      </c>
      <c r="G235" t="str">
        <f t="shared" si="66"/>
        <v>Thursday</v>
      </c>
      <c r="H235" s="129">
        <v>0.40277777777777801</v>
      </c>
      <c r="I235" s="115">
        <f t="shared" si="68"/>
        <v>308.11906640252812</v>
      </c>
      <c r="J235" s="115">
        <f t="shared" si="69"/>
        <v>268.77673332975098</v>
      </c>
      <c r="K235" s="115">
        <f t="shared" si="70"/>
        <v>36.345510258957525</v>
      </c>
      <c r="L235" s="115">
        <f t="shared" si="71"/>
        <v>237.63718562567803</v>
      </c>
      <c r="M235" s="115">
        <f t="shared" si="72"/>
        <v>286.01507523366399</v>
      </c>
      <c r="N235" s="115">
        <f t="shared" si="73"/>
        <v>308.87038462943713</v>
      </c>
      <c r="O235" s="115">
        <f t="shared" si="74"/>
        <v>262.07119170429456</v>
      </c>
      <c r="P235" s="115">
        <f t="shared" si="75"/>
        <v>289.1028898046938</v>
      </c>
      <c r="Q235" s="115">
        <f t="shared" si="76"/>
        <v>34.725096998151187</v>
      </c>
    </row>
    <row r="236" spans="1:17" x14ac:dyDescent="0.25">
      <c r="A236" s="114">
        <f t="shared" si="77"/>
        <v>44574</v>
      </c>
      <c r="B236">
        <f t="shared" si="62"/>
        <v>5.5</v>
      </c>
      <c r="C236" s="109">
        <f t="shared" si="63"/>
        <v>19.066666666666666</v>
      </c>
      <c r="D236" s="109">
        <f t="shared" si="64"/>
        <v>72.86666666666666</v>
      </c>
      <c r="E236" s="107">
        <f t="shared" si="65"/>
        <v>44574.177083333336</v>
      </c>
      <c r="F236" s="106">
        <f t="shared" si="61"/>
        <v>44574.301717012808</v>
      </c>
      <c r="G236" t="str">
        <f t="shared" si="66"/>
        <v>Thursday</v>
      </c>
      <c r="H236" s="129">
        <v>0.40625</v>
      </c>
      <c r="I236" s="115">
        <f t="shared" si="68"/>
        <v>309.64892919825479</v>
      </c>
      <c r="J236" s="115">
        <f t="shared" si="69"/>
        <v>268.78026991692684</v>
      </c>
      <c r="K236" s="115">
        <f t="shared" si="70"/>
        <v>36.386423439013306</v>
      </c>
      <c r="L236" s="115">
        <f t="shared" si="71"/>
        <v>237.63967936013239</v>
      </c>
      <c r="M236" s="115">
        <f t="shared" si="72"/>
        <v>286.01591685980867</v>
      </c>
      <c r="N236" s="115">
        <f t="shared" si="73"/>
        <v>308.87112124804474</v>
      </c>
      <c r="O236" s="115">
        <f t="shared" si="74"/>
        <v>262.06919151178971</v>
      </c>
      <c r="P236" s="115">
        <f t="shared" si="75"/>
        <v>289.1032887403228</v>
      </c>
      <c r="Q236" s="115">
        <f t="shared" si="76"/>
        <v>34.724912998181658</v>
      </c>
    </row>
    <row r="237" spans="1:17" x14ac:dyDescent="0.25">
      <c r="A237" s="114">
        <f t="shared" si="77"/>
        <v>44574</v>
      </c>
      <c r="B237">
        <f t="shared" si="62"/>
        <v>5.5</v>
      </c>
      <c r="C237" s="109">
        <f t="shared" si="63"/>
        <v>19.066666666666666</v>
      </c>
      <c r="D237" s="109">
        <f t="shared" si="64"/>
        <v>72.86666666666666</v>
      </c>
      <c r="E237" s="107">
        <f t="shared" si="65"/>
        <v>44574.180555555555</v>
      </c>
      <c r="F237" s="106">
        <f t="shared" si="61"/>
        <v>44574.301717012808</v>
      </c>
      <c r="G237" t="str">
        <f t="shared" si="66"/>
        <v>Thursday</v>
      </c>
      <c r="H237" s="129">
        <v>0.40972222222222199</v>
      </c>
      <c r="I237" s="115">
        <f t="shared" si="68"/>
        <v>311.18682838597647</v>
      </c>
      <c r="J237" s="115">
        <f t="shared" si="69"/>
        <v>268.78380650173182</v>
      </c>
      <c r="K237" s="115">
        <f t="shared" si="70"/>
        <v>36.427336071859088</v>
      </c>
      <c r="L237" s="115">
        <f t="shared" si="71"/>
        <v>237.64217310153103</v>
      </c>
      <c r="M237" s="115">
        <f t="shared" si="72"/>
        <v>286.01675634101531</v>
      </c>
      <c r="N237" s="115">
        <f t="shared" si="73"/>
        <v>308.87185788095212</v>
      </c>
      <c r="O237" s="115">
        <f t="shared" si="74"/>
        <v>262.06719152980827</v>
      </c>
      <c r="P237" s="115">
        <f t="shared" si="75"/>
        <v>289.10368768126943</v>
      </c>
      <c r="Q237" s="115">
        <f t="shared" si="76"/>
        <v>34.724728998245482</v>
      </c>
    </row>
    <row r="238" spans="1:17" x14ac:dyDescent="0.25">
      <c r="A238" s="114">
        <f t="shared" si="77"/>
        <v>44574</v>
      </c>
      <c r="B238">
        <f t="shared" si="62"/>
        <v>5.5</v>
      </c>
      <c r="C238" s="109">
        <f t="shared" si="63"/>
        <v>19.066666666666666</v>
      </c>
      <c r="D238" s="109">
        <f t="shared" si="64"/>
        <v>72.86666666666666</v>
      </c>
      <c r="E238" s="107">
        <f t="shared" si="65"/>
        <v>44574.184027777781</v>
      </c>
      <c r="F238" s="106">
        <f t="shared" si="61"/>
        <v>44574.301717012808</v>
      </c>
      <c r="G238" t="str">
        <f t="shared" si="66"/>
        <v>Thursday</v>
      </c>
      <c r="H238" s="129">
        <v>0.41319444444444398</v>
      </c>
      <c r="I238" s="115">
        <f t="shared" si="68"/>
        <v>312.73243845386503</v>
      </c>
      <c r="J238" s="115">
        <f t="shared" si="69"/>
        <v>268.78734308525264</v>
      </c>
      <c r="K238" s="115">
        <f t="shared" si="70"/>
        <v>36.468248171512919</v>
      </c>
      <c r="L238" s="115">
        <f t="shared" si="71"/>
        <v>237.64466685079725</v>
      </c>
      <c r="M238" s="115">
        <f t="shared" si="72"/>
        <v>286.01759367698384</v>
      </c>
      <c r="N238" s="115">
        <f t="shared" si="73"/>
        <v>308.87259452841806</v>
      </c>
      <c r="O238" s="115">
        <f t="shared" si="74"/>
        <v>262.06519175802265</v>
      </c>
      <c r="P238" s="115">
        <f t="shared" si="75"/>
        <v>289.10408662669636</v>
      </c>
      <c r="Q238" s="115">
        <f t="shared" si="76"/>
        <v>34.724544998259468</v>
      </c>
    </row>
    <row r="239" spans="1:17" x14ac:dyDescent="0.25">
      <c r="A239" s="114">
        <f t="shared" si="77"/>
        <v>44574</v>
      </c>
      <c r="B239">
        <f t="shared" si="62"/>
        <v>5.5</v>
      </c>
      <c r="C239" s="109">
        <f t="shared" si="63"/>
        <v>19.066666666666666</v>
      </c>
      <c r="D239" s="109">
        <f t="shared" si="64"/>
        <v>72.86666666666666</v>
      </c>
      <c r="E239" s="107">
        <f t="shared" si="65"/>
        <v>44574.1875</v>
      </c>
      <c r="F239" s="106">
        <f t="shared" si="61"/>
        <v>44574.301717012808</v>
      </c>
      <c r="G239" t="str">
        <f t="shared" si="66"/>
        <v>Thursday</v>
      </c>
      <c r="H239" s="129">
        <v>0.41666666666666702</v>
      </c>
      <c r="I239" s="115">
        <f t="shared" si="68"/>
        <v>314.28540712758047</v>
      </c>
      <c r="J239" s="115">
        <f t="shared" si="69"/>
        <v>268.79087966623149</v>
      </c>
      <c r="K239" s="115">
        <f t="shared" si="70"/>
        <v>36.509159730048545</v>
      </c>
      <c r="L239" s="115">
        <f t="shared" si="71"/>
        <v>237.64716060688585</v>
      </c>
      <c r="M239" s="115">
        <f t="shared" si="72"/>
        <v>286.0184288668342</v>
      </c>
      <c r="N239" s="115">
        <f t="shared" si="73"/>
        <v>308.87333119006485</v>
      </c>
      <c r="O239" s="115">
        <f t="shared" si="74"/>
        <v>262.06319219690778</v>
      </c>
      <c r="P239" s="115">
        <f t="shared" si="75"/>
        <v>289.104485577709</v>
      </c>
      <c r="Q239" s="115">
        <f t="shared" si="76"/>
        <v>34.724360998306615</v>
      </c>
    </row>
    <row r="240" spans="1:17" x14ac:dyDescent="0.25">
      <c r="A240" s="114">
        <f t="shared" si="77"/>
        <v>44574</v>
      </c>
      <c r="B240">
        <f t="shared" si="62"/>
        <v>5.5</v>
      </c>
      <c r="C240" s="109">
        <f t="shared" si="63"/>
        <v>19.066666666666666</v>
      </c>
      <c r="D240" s="109">
        <f t="shared" si="64"/>
        <v>72.86666666666666</v>
      </c>
      <c r="E240" s="107">
        <f t="shared" si="65"/>
        <v>44574.190972222226</v>
      </c>
      <c r="F240" s="106">
        <f t="shared" si="61"/>
        <v>44574.301717012808</v>
      </c>
      <c r="G240" t="str">
        <f t="shared" si="66"/>
        <v>Thursday</v>
      </c>
      <c r="H240" s="129">
        <v>0.42013888888888901</v>
      </c>
      <c r="I240" s="115">
        <f t="shared" si="68"/>
        <v>315.84535735943365</v>
      </c>
      <c r="J240" s="115">
        <f t="shared" si="69"/>
        <v>268.79441624531091</v>
      </c>
      <c r="K240" s="115">
        <f t="shared" si="70"/>
        <v>36.550070756015231</v>
      </c>
      <c r="L240" s="115">
        <f t="shared" si="71"/>
        <v>237.64965437017091</v>
      </c>
      <c r="M240" s="115">
        <f t="shared" si="72"/>
        <v>286.01926191041372</v>
      </c>
      <c r="N240" s="115">
        <f t="shared" si="73"/>
        <v>308.87406786632448</v>
      </c>
      <c r="O240" s="115">
        <f t="shared" si="74"/>
        <v>262.06119284670217</v>
      </c>
      <c r="P240" s="115">
        <f t="shared" si="75"/>
        <v>289.10488453373557</v>
      </c>
      <c r="Q240" s="115">
        <f t="shared" si="76"/>
        <v>34.724176998370346</v>
      </c>
    </row>
    <row r="241" spans="1:17" x14ac:dyDescent="0.25">
      <c r="A241" s="114">
        <f t="shared" si="77"/>
        <v>44574</v>
      </c>
      <c r="B241">
        <f t="shared" si="62"/>
        <v>5.5</v>
      </c>
      <c r="C241" s="109">
        <f t="shared" si="63"/>
        <v>19.066666666666666</v>
      </c>
      <c r="D241" s="109">
        <f t="shared" si="64"/>
        <v>72.86666666666666</v>
      </c>
      <c r="E241" s="107">
        <f t="shared" si="65"/>
        <v>44574.194444444445</v>
      </c>
      <c r="F241" s="106">
        <f t="shared" si="61"/>
        <v>44574.301717012808</v>
      </c>
      <c r="G241" t="str">
        <f t="shared" si="66"/>
        <v>Thursday</v>
      </c>
      <c r="H241" s="129">
        <v>0.42361111111111099</v>
      </c>
      <c r="I241" s="115">
        <f t="shared" si="68"/>
        <v>317.41188743269981</v>
      </c>
      <c r="J241" s="115">
        <f t="shared" si="69"/>
        <v>268.79795282304207</v>
      </c>
      <c r="K241" s="115">
        <f t="shared" si="70"/>
        <v>36.590981257964827</v>
      </c>
      <c r="L241" s="115">
        <f t="shared" si="71"/>
        <v>237.6521481412112</v>
      </c>
      <c r="M241" s="115">
        <f t="shared" si="72"/>
        <v>286.02009280719369</v>
      </c>
      <c r="N241" s="115">
        <f t="shared" si="73"/>
        <v>308.87480455713376</v>
      </c>
      <c r="O241" s="115">
        <f t="shared" si="74"/>
        <v>262.0591937071045</v>
      </c>
      <c r="P241" s="115">
        <f t="shared" si="75"/>
        <v>289.10528349514721</v>
      </c>
      <c r="Q241" s="115">
        <f t="shared" si="76"/>
        <v>34.723992998367791</v>
      </c>
    </row>
    <row r="242" spans="1:17" x14ac:dyDescent="0.25">
      <c r="A242" s="114">
        <f t="shared" si="77"/>
        <v>44574</v>
      </c>
      <c r="B242">
        <f t="shared" si="62"/>
        <v>5.5</v>
      </c>
      <c r="C242" s="109">
        <f t="shared" si="63"/>
        <v>19.066666666666666</v>
      </c>
      <c r="D242" s="109">
        <f t="shared" si="64"/>
        <v>72.86666666666666</v>
      </c>
      <c r="E242" s="107">
        <f t="shared" si="65"/>
        <v>44574.197916666672</v>
      </c>
      <c r="F242" s="106">
        <f t="shared" si="61"/>
        <v>44574.301717012808</v>
      </c>
      <c r="G242" t="str">
        <f t="shared" si="66"/>
        <v>Thursday</v>
      </c>
      <c r="H242" s="129">
        <v>0.42708333333333298</v>
      </c>
      <c r="I242" s="115">
        <f t="shared" si="68"/>
        <v>318.98457121836384</v>
      </c>
      <c r="J242" s="115">
        <f t="shared" si="69"/>
        <v>268.80148939841354</v>
      </c>
      <c r="K242" s="115">
        <f t="shared" si="70"/>
        <v>36.631891228006218</v>
      </c>
      <c r="L242" s="115">
        <f t="shared" si="71"/>
        <v>237.65464191940242</v>
      </c>
      <c r="M242" s="115">
        <f t="shared" si="72"/>
        <v>286.02092155652133</v>
      </c>
      <c r="N242" s="115">
        <f t="shared" si="73"/>
        <v>308.87554126247773</v>
      </c>
      <c r="O242" s="115">
        <f t="shared" si="74"/>
        <v>262.05719477885725</v>
      </c>
      <c r="P242" s="115">
        <f t="shared" si="75"/>
        <v>289.10568246213381</v>
      </c>
      <c r="Q242" s="115">
        <f t="shared" si="76"/>
        <v>34.723808998414967</v>
      </c>
    </row>
    <row r="243" spans="1:17" x14ac:dyDescent="0.25">
      <c r="A243" s="114">
        <f t="shared" si="77"/>
        <v>44574</v>
      </c>
      <c r="B243">
        <f t="shared" si="62"/>
        <v>5.5</v>
      </c>
      <c r="C243" s="109">
        <f t="shared" si="63"/>
        <v>19.066666666666666</v>
      </c>
      <c r="D243" s="109">
        <f t="shared" si="64"/>
        <v>72.86666666666666</v>
      </c>
      <c r="E243" s="107">
        <f t="shared" si="65"/>
        <v>44574.201388888891</v>
      </c>
      <c r="F243" s="106">
        <f t="shared" si="61"/>
        <v>44574.301717012808</v>
      </c>
      <c r="G243" t="str">
        <f t="shared" si="66"/>
        <v>Thursday</v>
      </c>
      <c r="H243" s="129">
        <v>0.43055555555555503</v>
      </c>
      <c r="I243" s="115">
        <f t="shared" si="68"/>
        <v>320.56296072666862</v>
      </c>
      <c r="J243" s="115">
        <f t="shared" si="69"/>
        <v>268.80502597236972</v>
      </c>
      <c r="K243" s="115">
        <f t="shared" si="70"/>
        <v>36.672800680140256</v>
      </c>
      <c r="L243" s="115">
        <f t="shared" si="71"/>
        <v>237.6571357051948</v>
      </c>
      <c r="M243" s="115">
        <f t="shared" si="72"/>
        <v>286.02174815812555</v>
      </c>
      <c r="N243" s="115">
        <f t="shared" si="73"/>
        <v>308.87627798201368</v>
      </c>
      <c r="O243" s="115">
        <f t="shared" si="74"/>
        <v>262.05519606156082</v>
      </c>
      <c r="P243" s="115">
        <f t="shared" si="75"/>
        <v>289.10608143411326</v>
      </c>
      <c r="Q243" s="115">
        <f t="shared" si="76"/>
        <v>34.723624998462135</v>
      </c>
    </row>
    <row r="244" spans="1:17" x14ac:dyDescent="0.25">
      <c r="A244" s="114">
        <f t="shared" si="77"/>
        <v>44574</v>
      </c>
      <c r="B244">
        <f t="shared" si="62"/>
        <v>5.5</v>
      </c>
      <c r="C244" s="109">
        <f t="shared" si="63"/>
        <v>19.066666666666666</v>
      </c>
      <c r="D244" s="109">
        <f t="shared" si="64"/>
        <v>72.86666666666666</v>
      </c>
      <c r="E244" s="107">
        <f t="shared" si="65"/>
        <v>44574.204861111117</v>
      </c>
      <c r="F244" s="106">
        <f t="shared" si="61"/>
        <v>44574.301717012808</v>
      </c>
      <c r="G244" t="str">
        <f t="shared" si="66"/>
        <v>Thursday</v>
      </c>
      <c r="H244" s="129">
        <v>0.43402777777777801</v>
      </c>
      <c r="I244" s="115">
        <f t="shared" si="68"/>
        <v>322.14658566591368</v>
      </c>
      <c r="J244" s="115">
        <f t="shared" si="69"/>
        <v>268.80856254402465</v>
      </c>
      <c r="K244" s="115">
        <f t="shared" si="70"/>
        <v>36.713709606479078</v>
      </c>
      <c r="L244" s="115">
        <f t="shared" si="71"/>
        <v>237.65962949809543</v>
      </c>
      <c r="M244" s="115">
        <f t="shared" si="72"/>
        <v>286.02257261121349</v>
      </c>
      <c r="N244" s="115">
        <f t="shared" si="73"/>
        <v>308.87701471624223</v>
      </c>
      <c r="O244" s="115">
        <f t="shared" si="74"/>
        <v>262.05319755590222</v>
      </c>
      <c r="P244" s="115">
        <f t="shared" si="75"/>
        <v>289.10648041115201</v>
      </c>
      <c r="Q244" s="115">
        <f t="shared" si="76"/>
        <v>34.723440998509254</v>
      </c>
    </row>
    <row r="245" spans="1:17" x14ac:dyDescent="0.25">
      <c r="A245" s="114">
        <f t="shared" si="77"/>
        <v>44574</v>
      </c>
      <c r="B245">
        <f t="shared" si="62"/>
        <v>5.5</v>
      </c>
      <c r="C245" s="109">
        <f t="shared" si="63"/>
        <v>19.066666666666666</v>
      </c>
      <c r="D245" s="109">
        <f t="shared" si="64"/>
        <v>72.86666666666666</v>
      </c>
      <c r="E245" s="107">
        <f t="shared" si="65"/>
        <v>44574.208333333336</v>
      </c>
      <c r="F245" s="106">
        <f t="shared" si="61"/>
        <v>44574.301717012808</v>
      </c>
      <c r="G245" t="str">
        <f t="shared" si="66"/>
        <v>Thursday</v>
      </c>
      <c r="H245" s="129">
        <v>0.4375</v>
      </c>
      <c r="I245" s="115">
        <f t="shared" si="68"/>
        <v>323.73495656300639</v>
      </c>
      <c r="J245" s="115">
        <f t="shared" si="69"/>
        <v>268.81209911426561</v>
      </c>
      <c r="K245" s="115">
        <f t="shared" si="70"/>
        <v>36.754618021044728</v>
      </c>
      <c r="L245" s="115">
        <f t="shared" si="71"/>
        <v>237.66212329869799</v>
      </c>
      <c r="M245" s="115">
        <f t="shared" si="72"/>
        <v>286.02339491564743</v>
      </c>
      <c r="N245" s="115">
        <f t="shared" si="73"/>
        <v>308.87775146470773</v>
      </c>
      <c r="O245" s="115">
        <f t="shared" si="74"/>
        <v>262.05119926161865</v>
      </c>
      <c r="P245" s="115">
        <f t="shared" si="75"/>
        <v>289.10687939328341</v>
      </c>
      <c r="Q245" s="115">
        <f t="shared" si="76"/>
        <v>34.723256998523297</v>
      </c>
    </row>
    <row r="246" spans="1:17" x14ac:dyDescent="0.25">
      <c r="A246" s="114">
        <f t="shared" si="77"/>
        <v>44574</v>
      </c>
      <c r="B246">
        <f t="shared" si="62"/>
        <v>5.5</v>
      </c>
      <c r="C246" s="109">
        <f t="shared" si="63"/>
        <v>19.066666666666666</v>
      </c>
      <c r="D246" s="109">
        <f t="shared" si="64"/>
        <v>72.86666666666666</v>
      </c>
      <c r="E246" s="107">
        <f t="shared" si="65"/>
        <v>44574.211805555555</v>
      </c>
      <c r="F246" s="106">
        <f t="shared" si="61"/>
        <v>44574.301717012808</v>
      </c>
      <c r="G246" t="str">
        <f t="shared" si="66"/>
        <v>Thursday</v>
      </c>
      <c r="H246" s="129">
        <v>0.44097222222222199</v>
      </c>
      <c r="I246" s="115">
        <f t="shared" si="68"/>
        <v>325.32756464798001</v>
      </c>
      <c r="J246" s="115">
        <f t="shared" si="69"/>
        <v>268.81563568196498</v>
      </c>
      <c r="K246" s="115">
        <f t="shared" si="70"/>
        <v>36.795525915837324</v>
      </c>
      <c r="L246" s="115">
        <f t="shared" si="71"/>
        <v>237.66461710602502</v>
      </c>
      <c r="M246" s="115">
        <f t="shared" si="72"/>
        <v>286.02421507053737</v>
      </c>
      <c r="N246" s="115">
        <f t="shared" si="73"/>
        <v>308.87848822792506</v>
      </c>
      <c r="O246" s="115">
        <f t="shared" si="74"/>
        <v>262.04920117921927</v>
      </c>
      <c r="P246" s="115">
        <f t="shared" si="75"/>
        <v>289.10727838145465</v>
      </c>
      <c r="Q246" s="115">
        <f t="shared" si="76"/>
        <v>34.723072998553924</v>
      </c>
    </row>
    <row r="247" spans="1:17" x14ac:dyDescent="0.25">
      <c r="A247" s="114">
        <f t="shared" si="77"/>
        <v>44574</v>
      </c>
      <c r="B247">
        <f t="shared" si="62"/>
        <v>5.5</v>
      </c>
      <c r="C247" s="109">
        <f t="shared" si="63"/>
        <v>19.066666666666666</v>
      </c>
      <c r="D247" s="109">
        <f t="shared" si="64"/>
        <v>72.86666666666666</v>
      </c>
      <c r="E247" s="107">
        <f t="shared" si="65"/>
        <v>44574.215277777781</v>
      </c>
      <c r="F247" s="106">
        <f t="shared" si="61"/>
        <v>44574.301717012808</v>
      </c>
      <c r="G247" t="str">
        <f t="shared" si="66"/>
        <v>Thursday</v>
      </c>
      <c r="H247" s="129">
        <v>0.44444444444444398</v>
      </c>
      <c r="I247" s="115">
        <f t="shared" si="68"/>
        <v>326.92388530625715</v>
      </c>
      <c r="J247" s="115">
        <f t="shared" si="69"/>
        <v>268.81917224836593</v>
      </c>
      <c r="K247" s="115">
        <f t="shared" si="70"/>
        <v>36.836433305022062</v>
      </c>
      <c r="L247" s="115">
        <f t="shared" si="71"/>
        <v>237.66711092118467</v>
      </c>
      <c r="M247" s="115">
        <f t="shared" si="72"/>
        <v>286.02503307576598</v>
      </c>
      <c r="N247" s="115">
        <f t="shared" si="73"/>
        <v>308.87922500545295</v>
      </c>
      <c r="O247" s="115">
        <f t="shared" si="74"/>
        <v>262.04720330845896</v>
      </c>
      <c r="P247" s="115">
        <f t="shared" si="75"/>
        <v>289.10767737389847</v>
      </c>
      <c r="Q247" s="115">
        <f t="shared" si="76"/>
        <v>34.722888998567967</v>
      </c>
    </row>
    <row r="248" spans="1:17" x14ac:dyDescent="0.25">
      <c r="A248" s="114">
        <f t="shared" si="77"/>
        <v>44574</v>
      </c>
      <c r="B248">
        <f t="shared" si="62"/>
        <v>5.5</v>
      </c>
      <c r="C248" s="109">
        <f t="shared" si="63"/>
        <v>19.066666666666666</v>
      </c>
      <c r="D248" s="109">
        <f t="shared" si="64"/>
        <v>72.86666666666666</v>
      </c>
      <c r="E248" s="107">
        <f t="shared" si="65"/>
        <v>44574.21875</v>
      </c>
      <c r="F248" s="106">
        <f t="shared" si="61"/>
        <v>44574.301717012808</v>
      </c>
      <c r="G248" t="str">
        <f t="shared" si="66"/>
        <v>Thursday</v>
      </c>
      <c r="H248" s="129">
        <v>0.44791666666666602</v>
      </c>
      <c r="I248" s="115">
        <f t="shared" si="68"/>
        <v>328.5233782573909</v>
      </c>
      <c r="J248" s="115">
        <f t="shared" si="69"/>
        <v>268.82270881240402</v>
      </c>
      <c r="K248" s="115">
        <f t="shared" si="70"/>
        <v>36.877340180592135</v>
      </c>
      <c r="L248" s="115">
        <f t="shared" si="71"/>
        <v>237.66960474334621</v>
      </c>
      <c r="M248" s="115">
        <f t="shared" si="72"/>
        <v>286.02584893054131</v>
      </c>
      <c r="N248" s="115">
        <f t="shared" si="73"/>
        <v>308.87996179731311</v>
      </c>
      <c r="O248" s="115">
        <f t="shared" si="74"/>
        <v>262.04520565001496</v>
      </c>
      <c r="P248" s="115">
        <f t="shared" si="75"/>
        <v>289.10807637174344</v>
      </c>
      <c r="Q248" s="115">
        <f t="shared" si="76"/>
        <v>34.722704998614994</v>
      </c>
    </row>
    <row r="249" spans="1:17" x14ac:dyDescent="0.25">
      <c r="A249" s="114">
        <f t="shared" si="77"/>
        <v>44574</v>
      </c>
      <c r="B249">
        <f t="shared" si="62"/>
        <v>5.5</v>
      </c>
      <c r="C249" s="109">
        <f t="shared" si="63"/>
        <v>19.066666666666666</v>
      </c>
      <c r="D249" s="109">
        <f t="shared" si="64"/>
        <v>72.86666666666666</v>
      </c>
      <c r="E249" s="107">
        <f t="shared" si="65"/>
        <v>44574.222222222226</v>
      </c>
      <c r="F249" s="106">
        <f t="shared" si="61"/>
        <v>44574.301717012808</v>
      </c>
      <c r="G249" t="str">
        <f t="shared" si="66"/>
        <v>Thursday</v>
      </c>
      <c r="H249" s="129">
        <v>0.45138888888888801</v>
      </c>
      <c r="I249" s="115">
        <f t="shared" si="68"/>
        <v>330.12549107044265</v>
      </c>
      <c r="J249" s="115">
        <f t="shared" si="69"/>
        <v>268.82624537456667</v>
      </c>
      <c r="K249" s="115">
        <f t="shared" si="70"/>
        <v>36.918246551090341</v>
      </c>
      <c r="L249" s="115">
        <f t="shared" si="71"/>
        <v>237.67209857290374</v>
      </c>
      <c r="M249" s="115">
        <f t="shared" si="72"/>
        <v>286.02666263451277</v>
      </c>
      <c r="N249" s="115">
        <f t="shared" si="73"/>
        <v>308.88069860355193</v>
      </c>
      <c r="O249" s="115">
        <f t="shared" si="74"/>
        <v>262.04320820385141</v>
      </c>
      <c r="P249" s="115">
        <f t="shared" si="75"/>
        <v>289.10847537520397</v>
      </c>
      <c r="Q249" s="115">
        <f t="shared" si="76"/>
        <v>34.722520998678803</v>
      </c>
    </row>
    <row r="250" spans="1:17" x14ac:dyDescent="0.25">
      <c r="A250" s="114">
        <f t="shared" si="77"/>
        <v>44574</v>
      </c>
      <c r="B250">
        <f t="shared" si="62"/>
        <v>5.5</v>
      </c>
      <c r="C250" s="109">
        <f t="shared" si="63"/>
        <v>19.066666666666666</v>
      </c>
      <c r="D250" s="109">
        <f t="shared" si="64"/>
        <v>72.86666666666666</v>
      </c>
      <c r="E250" s="107">
        <f t="shared" si="65"/>
        <v>44574.225694444445</v>
      </c>
      <c r="F250" s="106">
        <f t="shared" si="61"/>
        <v>44574.301717012808</v>
      </c>
      <c r="G250" t="str">
        <f t="shared" si="66"/>
        <v>Thursday</v>
      </c>
      <c r="H250" s="129">
        <v>0.45486111111110999</v>
      </c>
      <c r="I250" s="115">
        <f t="shared" si="68"/>
        <v>331.72966066216117</v>
      </c>
      <c r="J250" s="115">
        <f t="shared" si="69"/>
        <v>268.82978193541749</v>
      </c>
      <c r="K250" s="115">
        <f t="shared" si="70"/>
        <v>36.959152425035342</v>
      </c>
      <c r="L250" s="115">
        <f t="shared" si="71"/>
        <v>237.67459241024125</v>
      </c>
      <c r="M250" s="115">
        <f t="shared" si="72"/>
        <v>286.02747418731838</v>
      </c>
      <c r="N250" s="115">
        <f t="shared" si="73"/>
        <v>308.88143542460108</v>
      </c>
      <c r="O250" s="115">
        <f t="shared" si="74"/>
        <v>262.04121096963917</v>
      </c>
      <c r="P250" s="115">
        <f t="shared" si="75"/>
        <v>289.10887438421435</v>
      </c>
      <c r="Q250" s="115">
        <f t="shared" si="76"/>
        <v>34.722336998692839</v>
      </c>
    </row>
    <row r="251" spans="1:17" x14ac:dyDescent="0.25">
      <c r="A251" s="114">
        <f t="shared" si="77"/>
        <v>44574</v>
      </c>
      <c r="B251">
        <f t="shared" si="62"/>
        <v>5.5</v>
      </c>
      <c r="C251" s="109">
        <f t="shared" si="63"/>
        <v>19.066666666666666</v>
      </c>
      <c r="D251" s="109">
        <f t="shared" si="64"/>
        <v>72.86666666666666</v>
      </c>
      <c r="E251" s="107">
        <f t="shared" si="65"/>
        <v>44574.229166666672</v>
      </c>
      <c r="F251" s="106">
        <f t="shared" si="61"/>
        <v>44574.301717012808</v>
      </c>
      <c r="G251" t="str">
        <f t="shared" si="66"/>
        <v>Thursday</v>
      </c>
      <c r="H251" s="129">
        <v>0.45833333333333198</v>
      </c>
      <c r="I251" s="115">
        <f t="shared" si="68"/>
        <v>333.3353148770077</v>
      </c>
      <c r="J251" s="115">
        <f t="shared" si="69"/>
        <v>268.83331849367875</v>
      </c>
      <c r="K251" s="115">
        <f t="shared" si="70"/>
        <v>37.00005779452637</v>
      </c>
      <c r="L251" s="115">
        <f t="shared" si="71"/>
        <v>237.6770862543396</v>
      </c>
      <c r="M251" s="115">
        <f t="shared" si="72"/>
        <v>286.02828358813321</v>
      </c>
      <c r="N251" s="115">
        <f t="shared" si="73"/>
        <v>308.88217225959625</v>
      </c>
      <c r="O251" s="115">
        <f t="shared" si="74"/>
        <v>262.03921394832685</v>
      </c>
      <c r="P251" s="115">
        <f t="shared" si="75"/>
        <v>289.10927339730569</v>
      </c>
      <c r="Q251" s="115">
        <f t="shared" si="76"/>
        <v>34.722152998739958</v>
      </c>
    </row>
    <row r="252" spans="1:17" x14ac:dyDescent="0.25">
      <c r="A252" s="114">
        <f t="shared" si="77"/>
        <v>44574</v>
      </c>
      <c r="B252">
        <f t="shared" si="62"/>
        <v>5.5</v>
      </c>
      <c r="C252" s="109">
        <f t="shared" si="63"/>
        <v>19.066666666666666</v>
      </c>
      <c r="D252" s="109">
        <f t="shared" si="64"/>
        <v>72.86666666666666</v>
      </c>
      <c r="E252" s="107">
        <f t="shared" si="65"/>
        <v>44574.232638888891</v>
      </c>
      <c r="F252" s="106">
        <f t="shared" si="61"/>
        <v>44574.301717012808</v>
      </c>
      <c r="G252" t="str">
        <f t="shared" si="66"/>
        <v>Thursday</v>
      </c>
      <c r="H252" s="129">
        <v>0.46180555555555403</v>
      </c>
      <c r="I252" s="115">
        <f t="shared" si="68"/>
        <v>334.94187630781471</v>
      </c>
      <c r="J252" s="115">
        <f t="shared" si="69"/>
        <v>268.83685505065392</v>
      </c>
      <c r="K252" s="115">
        <f t="shared" si="70"/>
        <v>37.040962673558099</v>
      </c>
      <c r="L252" s="115">
        <f t="shared" si="71"/>
        <v>237.67958010626828</v>
      </c>
      <c r="M252" s="115">
        <f t="shared" si="72"/>
        <v>286.02909083681101</v>
      </c>
      <c r="N252" s="115">
        <f t="shared" si="73"/>
        <v>308.88290910961246</v>
      </c>
      <c r="O252" s="115">
        <f t="shared" si="74"/>
        <v>262.03721713931236</v>
      </c>
      <c r="P252" s="115">
        <f t="shared" si="75"/>
        <v>289.10967241640509</v>
      </c>
      <c r="Q252" s="115">
        <f t="shared" si="76"/>
        <v>34.721968998770592</v>
      </c>
    </row>
    <row r="253" spans="1:17" x14ac:dyDescent="0.25">
      <c r="A253" s="114">
        <f t="shared" si="77"/>
        <v>44574</v>
      </c>
      <c r="B253">
        <f t="shared" si="62"/>
        <v>5.5</v>
      </c>
      <c r="C253" s="109">
        <f t="shared" si="63"/>
        <v>19.066666666666666</v>
      </c>
      <c r="D253" s="109">
        <f t="shared" si="64"/>
        <v>72.86666666666666</v>
      </c>
      <c r="E253" s="107">
        <f t="shared" si="65"/>
        <v>44574.236111111117</v>
      </c>
      <c r="F253" s="106">
        <f t="shared" si="61"/>
        <v>44574.301717012808</v>
      </c>
      <c r="G253" t="str">
        <f t="shared" si="66"/>
        <v>Thursday</v>
      </c>
      <c r="H253" s="129">
        <v>0.46527777777777601</v>
      </c>
      <c r="I253" s="115">
        <f t="shared" si="68"/>
        <v>336.54876293484494</v>
      </c>
      <c r="J253" s="115">
        <f t="shared" si="69"/>
        <v>268.84039160524202</v>
      </c>
      <c r="K253" s="115">
        <f t="shared" si="70"/>
        <v>37.081867054234344</v>
      </c>
      <c r="L253" s="115">
        <f t="shared" si="71"/>
        <v>237.68207396515092</v>
      </c>
      <c r="M253" s="115">
        <f t="shared" si="72"/>
        <v>286.02989593258303</v>
      </c>
      <c r="N253" s="115">
        <f t="shared" si="73"/>
        <v>308.88364597369406</v>
      </c>
      <c r="O253" s="115">
        <f t="shared" si="74"/>
        <v>262.0352205435413</v>
      </c>
      <c r="P253" s="115">
        <f t="shared" si="75"/>
        <v>289.11007144055469</v>
      </c>
      <c r="Q253" s="115">
        <f t="shared" si="76"/>
        <v>34.721784998801112</v>
      </c>
    </row>
    <row r="254" spans="1:17" x14ac:dyDescent="0.25">
      <c r="A254" s="114">
        <f t="shared" si="77"/>
        <v>44574</v>
      </c>
      <c r="B254">
        <f t="shared" si="62"/>
        <v>5.5</v>
      </c>
      <c r="C254" s="109">
        <f t="shared" si="63"/>
        <v>19.066666666666666</v>
      </c>
      <c r="D254" s="109">
        <f t="shared" si="64"/>
        <v>72.86666666666666</v>
      </c>
      <c r="E254" s="107">
        <f t="shared" si="65"/>
        <v>44574.239583333336</v>
      </c>
      <c r="F254" s="106">
        <f t="shared" si="61"/>
        <v>44574.301717012808</v>
      </c>
      <c r="G254" t="str">
        <f t="shared" si="66"/>
        <v>Thursday</v>
      </c>
      <c r="H254" s="129">
        <v>0.468749999999998</v>
      </c>
      <c r="I254" s="115">
        <f t="shared" si="68"/>
        <v>338.15539225456467</v>
      </c>
      <c r="J254" s="115">
        <f t="shared" si="69"/>
        <v>268.84392815843336</v>
      </c>
      <c r="K254" s="115">
        <f t="shared" si="70"/>
        <v>37.122770950544393</v>
      </c>
      <c r="L254" s="115">
        <f t="shared" si="71"/>
        <v>237.68456783176802</v>
      </c>
      <c r="M254" s="115">
        <f t="shared" si="72"/>
        <v>286.03069887518785</v>
      </c>
      <c r="N254" s="115">
        <f t="shared" si="73"/>
        <v>308.88438285237913</v>
      </c>
      <c r="O254" s="115">
        <f t="shared" si="74"/>
        <v>262.03322416037088</v>
      </c>
      <c r="P254" s="115">
        <f t="shared" si="75"/>
        <v>289.11047047032298</v>
      </c>
      <c r="Q254" s="115">
        <f t="shared" si="76"/>
        <v>34.721600998831747</v>
      </c>
    </row>
    <row r="255" spans="1:17" x14ac:dyDescent="0.25">
      <c r="A255" s="114">
        <f t="shared" si="77"/>
        <v>44574</v>
      </c>
      <c r="B255">
        <f t="shared" si="62"/>
        <v>5.5</v>
      </c>
      <c r="C255" s="109">
        <f t="shared" si="63"/>
        <v>19.066666666666666</v>
      </c>
      <c r="D255" s="109">
        <f t="shared" si="64"/>
        <v>72.86666666666666</v>
      </c>
      <c r="E255" s="107">
        <f t="shared" si="65"/>
        <v>44574.243055555555</v>
      </c>
      <c r="F255" s="106">
        <f t="shared" si="61"/>
        <v>44574.301717012808</v>
      </c>
      <c r="G255" t="str">
        <f t="shared" si="66"/>
        <v>Thursday</v>
      </c>
      <c r="H255" s="129">
        <v>0.47222222222221999</v>
      </c>
      <c r="I255" s="115">
        <f t="shared" si="68"/>
        <v>339.7611819680094</v>
      </c>
      <c r="J255" s="115">
        <f t="shared" si="69"/>
        <v>268.84746470925631</v>
      </c>
      <c r="K255" s="115">
        <f t="shared" si="70"/>
        <v>37.163674354542394</v>
      </c>
      <c r="L255" s="115">
        <f t="shared" si="71"/>
        <v>237.68706170536262</v>
      </c>
      <c r="M255" s="115">
        <f t="shared" si="72"/>
        <v>286.03149966393732</v>
      </c>
      <c r="N255" s="115">
        <f t="shared" si="73"/>
        <v>308.88511974526926</v>
      </c>
      <c r="O255" s="115">
        <f t="shared" si="74"/>
        <v>262.03122799079318</v>
      </c>
      <c r="P255" s="115">
        <f t="shared" si="75"/>
        <v>289.11086950454279</v>
      </c>
      <c r="Q255" s="115">
        <f t="shared" si="76"/>
        <v>34.721416998895457</v>
      </c>
    </row>
    <row r="256" spans="1:17" x14ac:dyDescent="0.25">
      <c r="A256" s="114">
        <f t="shared" si="77"/>
        <v>44574</v>
      </c>
      <c r="B256">
        <f t="shared" si="62"/>
        <v>5.5</v>
      </c>
      <c r="C256" s="109">
        <f t="shared" si="63"/>
        <v>19.066666666666666</v>
      </c>
      <c r="D256" s="109">
        <f t="shared" si="64"/>
        <v>72.86666666666666</v>
      </c>
      <c r="E256" s="107">
        <f t="shared" si="65"/>
        <v>44574.246527777781</v>
      </c>
      <c r="F256" s="106">
        <f t="shared" si="61"/>
        <v>44574.301717012808</v>
      </c>
      <c r="G256" t="str">
        <f t="shared" si="66"/>
        <v>Thursday</v>
      </c>
      <c r="H256" s="129">
        <v>0.47569444444444198</v>
      </c>
      <c r="I256" s="115">
        <f t="shared" si="68"/>
        <v>341.36555410629467</v>
      </c>
      <c r="J256" s="115">
        <f t="shared" si="69"/>
        <v>268.85100125872026</v>
      </c>
      <c r="K256" s="115">
        <f t="shared" si="70"/>
        <v>37.204577280234275</v>
      </c>
      <c r="L256" s="115">
        <f t="shared" si="71"/>
        <v>237.689555586751</v>
      </c>
      <c r="M256" s="115">
        <f t="shared" si="72"/>
        <v>286.03229829853109</v>
      </c>
      <c r="N256" s="115">
        <f t="shared" si="73"/>
        <v>308.88585665309733</v>
      </c>
      <c r="O256" s="115">
        <f t="shared" si="74"/>
        <v>262.02923203407818</v>
      </c>
      <c r="P256" s="115">
        <f t="shared" si="75"/>
        <v>289.11126854458718</v>
      </c>
      <c r="Q256" s="115">
        <f t="shared" si="76"/>
        <v>34.7212329989095</v>
      </c>
    </row>
    <row r="257" spans="1:17" x14ac:dyDescent="0.25">
      <c r="A257" s="114">
        <f t="shared" si="77"/>
        <v>44574</v>
      </c>
      <c r="B257">
        <f t="shared" si="62"/>
        <v>5.5</v>
      </c>
      <c r="C257" s="109">
        <f t="shared" si="63"/>
        <v>19.066666666666666</v>
      </c>
      <c r="D257" s="109">
        <f t="shared" si="64"/>
        <v>72.86666666666666</v>
      </c>
      <c r="E257" s="107">
        <f t="shared" si="65"/>
        <v>44574.25</v>
      </c>
      <c r="F257" s="106">
        <f t="shared" si="61"/>
        <v>44574.301717012808</v>
      </c>
      <c r="G257" t="str">
        <f t="shared" si="66"/>
        <v>Thursday</v>
      </c>
      <c r="H257" s="129">
        <v>0.47916666666666402</v>
      </c>
      <c r="I257" s="115">
        <f t="shared" si="68"/>
        <v>342.96793568369242</v>
      </c>
      <c r="J257" s="115">
        <f t="shared" si="69"/>
        <v>268.85453780570617</v>
      </c>
      <c r="K257" s="115">
        <f t="shared" si="70"/>
        <v>37.245479719706658</v>
      </c>
      <c r="L257" s="115">
        <f t="shared" si="71"/>
        <v>237.69204947491875</v>
      </c>
      <c r="M257" s="115">
        <f t="shared" si="72"/>
        <v>286.03309477831925</v>
      </c>
      <c r="N257" s="115">
        <f t="shared" si="73"/>
        <v>308.886593574931</v>
      </c>
      <c r="O257" s="115">
        <f t="shared" si="74"/>
        <v>262.027236291257</v>
      </c>
      <c r="P257" s="115">
        <f t="shared" si="75"/>
        <v>289.11166758915664</v>
      </c>
      <c r="Q257" s="115">
        <f t="shared" si="76"/>
        <v>34.721048998956618</v>
      </c>
    </row>
    <row r="258" spans="1:17" x14ac:dyDescent="0.25">
      <c r="A258" s="114">
        <f t="shared" si="77"/>
        <v>44574</v>
      </c>
      <c r="B258">
        <f t="shared" si="62"/>
        <v>5.5</v>
      </c>
      <c r="C258" s="109">
        <f t="shared" si="63"/>
        <v>19.066666666666666</v>
      </c>
      <c r="D258" s="109">
        <f t="shared" si="64"/>
        <v>72.86666666666666</v>
      </c>
      <c r="E258" s="107">
        <f t="shared" si="65"/>
        <v>44574.253472222226</v>
      </c>
      <c r="F258" s="106">
        <f t="shared" si="61"/>
        <v>44574.301717012808</v>
      </c>
      <c r="G258" t="str">
        <f t="shared" si="66"/>
        <v>Thursday</v>
      </c>
      <c r="H258" s="129">
        <v>0.48263888888888601</v>
      </c>
      <c r="I258" s="115">
        <f t="shared" si="68"/>
        <v>344.56776251663325</v>
      </c>
      <c r="J258" s="115">
        <f t="shared" si="69"/>
        <v>268.85807435086792</v>
      </c>
      <c r="K258" s="115">
        <f t="shared" si="70"/>
        <v>37.286381681480265</v>
      </c>
      <c r="L258" s="115">
        <f t="shared" si="71"/>
        <v>237.69454337063334</v>
      </c>
      <c r="M258" s="115">
        <f t="shared" si="72"/>
        <v>286.03388910282581</v>
      </c>
      <c r="N258" s="115">
        <f t="shared" si="73"/>
        <v>308.88733051133892</v>
      </c>
      <c r="O258" s="115">
        <f t="shared" si="74"/>
        <v>262.02524076207527</v>
      </c>
      <c r="P258" s="115">
        <f t="shared" si="75"/>
        <v>289.11206663936383</v>
      </c>
      <c r="Q258" s="115">
        <f t="shared" si="76"/>
        <v>34.720864999020321</v>
      </c>
    </row>
    <row r="259" spans="1:17" x14ac:dyDescent="0.25">
      <c r="A259" s="114">
        <f t="shared" si="77"/>
        <v>44574</v>
      </c>
      <c r="B259">
        <f t="shared" si="62"/>
        <v>5.5</v>
      </c>
      <c r="C259" s="109">
        <f t="shared" si="63"/>
        <v>19.066666666666666</v>
      </c>
      <c r="D259" s="109">
        <f t="shared" si="64"/>
        <v>72.86666666666666</v>
      </c>
      <c r="E259" s="107">
        <f t="shared" si="65"/>
        <v>44574.256944444445</v>
      </c>
      <c r="F259" s="106">
        <f t="shared" ref="F259:F322" si="78">sunrise(C259,D259,E259)+B259/24</f>
        <v>44574.301717012808</v>
      </c>
      <c r="G259" t="str">
        <f t="shared" si="66"/>
        <v>Thursday</v>
      </c>
      <c r="H259" s="129">
        <v>0.486111111111108</v>
      </c>
      <c r="I259" s="115">
        <f t="shared" si="68"/>
        <v>346.16448082328475</v>
      </c>
      <c r="J259" s="115">
        <f t="shared" si="69"/>
        <v>268.86161089460995</v>
      </c>
      <c r="K259" s="115">
        <f t="shared" si="70"/>
        <v>37.327283174017765</v>
      </c>
      <c r="L259" s="115">
        <f t="shared" si="71"/>
        <v>237.69703727389464</v>
      </c>
      <c r="M259" s="115">
        <f t="shared" si="72"/>
        <v>286.03468127176609</v>
      </c>
      <c r="N259" s="115">
        <f t="shared" si="73"/>
        <v>308.88806746208115</v>
      </c>
      <c r="O259" s="115">
        <f t="shared" si="74"/>
        <v>262.02324544651299</v>
      </c>
      <c r="P259" s="115">
        <f t="shared" si="75"/>
        <v>289.11246569474446</v>
      </c>
      <c r="Q259" s="115">
        <f t="shared" si="76"/>
        <v>34.720680999001296</v>
      </c>
    </row>
    <row r="260" spans="1:17" x14ac:dyDescent="0.25">
      <c r="A260" s="114">
        <f t="shared" si="77"/>
        <v>44574</v>
      </c>
      <c r="B260">
        <f t="shared" ref="B260:B323" si="79">B259</f>
        <v>5.5</v>
      </c>
      <c r="C260" s="109">
        <f t="shared" ref="C260:C323" si="80">C259</f>
        <v>19.066666666666666</v>
      </c>
      <c r="D260" s="109">
        <f t="shared" ref="D260:D323" si="81">D259</f>
        <v>72.86666666666666</v>
      </c>
      <c r="E260" s="107">
        <f t="shared" ref="E260:E323" si="82">A260+H260-B260/24</f>
        <v>44574.260416666672</v>
      </c>
      <c r="F260" s="106">
        <f t="shared" si="78"/>
        <v>44574.301717012808</v>
      </c>
      <c r="G260" t="str">
        <f t="shared" ref="G260:G323" si="83">CHOOSE(WEEKDAY(E260),"Sunday","Monday","Tuesday","Wednesday","Thursday","Friday","Saturday")</f>
        <v>Thursday</v>
      </c>
      <c r="H260" s="129">
        <v>0.48958333333332998</v>
      </c>
      <c r="I260" s="115">
        <f t="shared" si="68"/>
        <v>347.75754872487738</v>
      </c>
      <c r="J260" s="115">
        <f t="shared" si="69"/>
        <v>268.86514743598809</v>
      </c>
      <c r="K260" s="115">
        <f t="shared" si="70"/>
        <v>37.368184189453849</v>
      </c>
      <c r="L260" s="115">
        <f t="shared" si="71"/>
        <v>237.69953118423581</v>
      </c>
      <c r="M260" s="115">
        <f t="shared" si="72"/>
        <v>286.03547128436952</v>
      </c>
      <c r="N260" s="115">
        <f t="shared" si="73"/>
        <v>308.88880442736462</v>
      </c>
      <c r="O260" s="115">
        <f t="shared" si="74"/>
        <v>262.02125034502865</v>
      </c>
      <c r="P260" s="115">
        <f t="shared" si="75"/>
        <v>289.11286475569102</v>
      </c>
      <c r="Q260" s="115">
        <f t="shared" si="76"/>
        <v>34.720496999048464</v>
      </c>
    </row>
    <row r="261" spans="1:17" x14ac:dyDescent="0.25">
      <c r="A261" s="114">
        <f t="shared" si="77"/>
        <v>44574</v>
      </c>
      <c r="B261">
        <f t="shared" si="79"/>
        <v>5.5</v>
      </c>
      <c r="C261" s="109">
        <f t="shared" si="80"/>
        <v>19.066666666666666</v>
      </c>
      <c r="D261" s="109">
        <f t="shared" si="81"/>
        <v>72.86666666666666</v>
      </c>
      <c r="E261" s="107">
        <f t="shared" si="82"/>
        <v>44574.263888888891</v>
      </c>
      <c r="F261" s="106">
        <f t="shared" si="78"/>
        <v>44574.301717012808</v>
      </c>
      <c r="G261" t="str">
        <f t="shared" si="83"/>
        <v>Thursday</v>
      </c>
      <c r="H261" s="129">
        <v>0.49305555555555203</v>
      </c>
      <c r="I261" s="115">
        <f t="shared" si="68"/>
        <v>349.34643978225722</v>
      </c>
      <c r="J261" s="115">
        <f t="shared" si="69"/>
        <v>268.86868397607412</v>
      </c>
      <c r="K261" s="115">
        <f t="shared" si="70"/>
        <v>37.409084741764758</v>
      </c>
      <c r="L261" s="115">
        <f t="shared" si="71"/>
        <v>237.70202510244513</v>
      </c>
      <c r="M261" s="115">
        <f t="shared" si="72"/>
        <v>286.03625914040362</v>
      </c>
      <c r="N261" s="115">
        <f t="shared" si="73"/>
        <v>308.88954140721739</v>
      </c>
      <c r="O261" s="115">
        <f t="shared" si="74"/>
        <v>262.01925545753352</v>
      </c>
      <c r="P261" s="115">
        <f t="shared" si="75"/>
        <v>289.11326382175798</v>
      </c>
      <c r="Q261" s="115">
        <f t="shared" si="76"/>
        <v>34.720312999095533</v>
      </c>
    </row>
    <row r="262" spans="1:17" x14ac:dyDescent="0.25">
      <c r="A262" s="114">
        <f t="shared" si="77"/>
        <v>44574</v>
      </c>
      <c r="B262">
        <f t="shared" si="79"/>
        <v>5.5</v>
      </c>
      <c r="C262" s="109">
        <f t="shared" si="80"/>
        <v>19.066666666666666</v>
      </c>
      <c r="D262" s="109">
        <f t="shared" si="81"/>
        <v>72.86666666666666</v>
      </c>
      <c r="E262" s="107">
        <f t="shared" si="82"/>
        <v>44574.267361111117</v>
      </c>
      <c r="F262" s="106">
        <f t="shared" si="78"/>
        <v>44574.301717012808</v>
      </c>
      <c r="G262" t="str">
        <f t="shared" si="83"/>
        <v>Thursday</v>
      </c>
      <c r="H262" s="129">
        <v>0.49652777777777402</v>
      </c>
      <c r="I262" s="115">
        <f t="shared" si="68"/>
        <v>350.93064318716472</v>
      </c>
      <c r="J262" s="115">
        <f t="shared" si="69"/>
        <v>268.87222051361806</v>
      </c>
      <c r="K262" s="115">
        <f t="shared" si="70"/>
        <v>37.44998482298881</v>
      </c>
      <c r="L262" s="115">
        <f t="shared" si="71"/>
        <v>237.70451902739711</v>
      </c>
      <c r="M262" s="115">
        <f t="shared" si="72"/>
        <v>286.03704483907654</v>
      </c>
      <c r="N262" s="115">
        <f t="shared" si="73"/>
        <v>308.89027840134503</v>
      </c>
      <c r="O262" s="115">
        <f t="shared" si="74"/>
        <v>262.01726078450378</v>
      </c>
      <c r="P262" s="115">
        <f t="shared" si="75"/>
        <v>289.11366289296234</v>
      </c>
      <c r="Q262" s="115">
        <f t="shared" si="76"/>
        <v>34.720128999142709</v>
      </c>
    </row>
    <row r="263" spans="1:17" x14ac:dyDescent="0.25">
      <c r="A263" s="114">
        <f t="shared" si="77"/>
        <v>44574</v>
      </c>
      <c r="B263">
        <f t="shared" si="79"/>
        <v>5.5</v>
      </c>
      <c r="C263" s="109">
        <f t="shared" si="80"/>
        <v>19.066666666666666</v>
      </c>
      <c r="D263" s="109">
        <f t="shared" si="81"/>
        <v>72.86666666666666</v>
      </c>
      <c r="E263" s="107">
        <f t="shared" si="82"/>
        <v>44574.270833333336</v>
      </c>
      <c r="F263" s="106">
        <f t="shared" si="78"/>
        <v>44574.301717012808</v>
      </c>
      <c r="G263" t="str">
        <f t="shared" si="83"/>
        <v>Thursday</v>
      </c>
      <c r="H263" s="129">
        <v>0.499999999999996</v>
      </c>
      <c r="I263" s="115">
        <f t="shared" si="68"/>
        <v>352.50966723255692</v>
      </c>
      <c r="J263" s="115">
        <f t="shared" si="69"/>
        <v>268.87575704974529</v>
      </c>
      <c r="K263" s="115">
        <f t="shared" si="70"/>
        <v>37.490884447105273</v>
      </c>
      <c r="L263" s="115">
        <f t="shared" si="71"/>
        <v>237.70701296004438</v>
      </c>
      <c r="M263" s="115">
        <f t="shared" si="72"/>
        <v>286.03782838028047</v>
      </c>
      <c r="N263" s="115">
        <f t="shared" si="73"/>
        <v>308.89101540991538</v>
      </c>
      <c r="O263" s="115">
        <f t="shared" si="74"/>
        <v>262.01526632575013</v>
      </c>
      <c r="P263" s="115">
        <f t="shared" si="75"/>
        <v>289.1140619689329</v>
      </c>
      <c r="Q263" s="115">
        <f t="shared" si="76"/>
        <v>34.719944999140196</v>
      </c>
    </row>
    <row r="264" spans="1:17" x14ac:dyDescent="0.25">
      <c r="A264" s="114">
        <f t="shared" si="77"/>
        <v>44574</v>
      </c>
      <c r="B264">
        <f t="shared" si="79"/>
        <v>5.5</v>
      </c>
      <c r="C264" s="109">
        <f t="shared" si="80"/>
        <v>19.066666666666666</v>
      </c>
      <c r="D264" s="109">
        <f t="shared" si="81"/>
        <v>72.86666666666666</v>
      </c>
      <c r="E264" s="107">
        <f t="shared" si="82"/>
        <v>44574.274305555555</v>
      </c>
      <c r="F264" s="106">
        <f t="shared" si="78"/>
        <v>44574.301717012808</v>
      </c>
      <c r="G264" t="str">
        <f t="shared" si="83"/>
        <v>Thursday</v>
      </c>
      <c r="H264" s="129">
        <v>0.50347222222221799</v>
      </c>
      <c r="I264" s="115">
        <f t="shared" si="68"/>
        <v>354.0830392181511</v>
      </c>
      <c r="J264" s="115">
        <f t="shared" si="69"/>
        <v>268.87929358356786</v>
      </c>
      <c r="K264" s="115">
        <f t="shared" si="70"/>
        <v>37.531783606218376</v>
      </c>
      <c r="L264" s="115">
        <f t="shared" si="71"/>
        <v>237.70950689978935</v>
      </c>
      <c r="M264" s="115">
        <f t="shared" si="72"/>
        <v>286.03860976315917</v>
      </c>
      <c r="N264" s="115">
        <f t="shared" si="73"/>
        <v>308.89175243278083</v>
      </c>
      <c r="O264" s="115">
        <f t="shared" si="74"/>
        <v>262.01327208185523</v>
      </c>
      <c r="P264" s="115">
        <f t="shared" si="75"/>
        <v>289.11446105035338</v>
      </c>
      <c r="Q264" s="115">
        <f t="shared" si="76"/>
        <v>34.719760999220483</v>
      </c>
    </row>
    <row r="265" spans="1:17" x14ac:dyDescent="0.25">
      <c r="A265" s="114">
        <f t="shared" si="77"/>
        <v>44574</v>
      </c>
      <c r="B265">
        <f t="shared" si="79"/>
        <v>5.5</v>
      </c>
      <c r="C265" s="109">
        <f t="shared" si="80"/>
        <v>19.066666666666666</v>
      </c>
      <c r="D265" s="109">
        <f t="shared" si="81"/>
        <v>72.86666666666666</v>
      </c>
      <c r="E265" s="107">
        <f t="shared" si="82"/>
        <v>44574.277777777781</v>
      </c>
      <c r="F265" s="106">
        <f t="shared" si="78"/>
        <v>44574.301717012808</v>
      </c>
      <c r="G265" t="str">
        <f t="shared" si="83"/>
        <v>Thursday</v>
      </c>
      <c r="H265" s="129">
        <v>0.50694444444443998</v>
      </c>
      <c r="I265" s="115">
        <f t="shared" si="68"/>
        <v>355.65030858487791</v>
      </c>
      <c r="J265" s="115">
        <f t="shared" si="69"/>
        <v>268.88283011597252</v>
      </c>
      <c r="K265" s="115">
        <f t="shared" si="70"/>
        <v>37.572682314267574</v>
      </c>
      <c r="L265" s="115">
        <f t="shared" si="71"/>
        <v>237.71200084707615</v>
      </c>
      <c r="M265" s="115">
        <f t="shared" si="72"/>
        <v>286.03938898752443</v>
      </c>
      <c r="N265" s="115">
        <f t="shared" si="73"/>
        <v>308.89248947039232</v>
      </c>
      <c r="O265" s="115">
        <f t="shared" si="74"/>
        <v>262.01127805247512</v>
      </c>
      <c r="P265" s="115">
        <f t="shared" si="75"/>
        <v>289.114860137503</v>
      </c>
      <c r="Q265" s="115">
        <f t="shared" si="76"/>
        <v>34.71957699923454</v>
      </c>
    </row>
    <row r="266" spans="1:17" x14ac:dyDescent="0.25">
      <c r="A266" s="114">
        <f t="shared" si="77"/>
        <v>44574</v>
      </c>
      <c r="B266">
        <f t="shared" si="79"/>
        <v>5.5</v>
      </c>
      <c r="C266" s="109">
        <f t="shared" si="80"/>
        <v>19.066666666666666</v>
      </c>
      <c r="D266" s="109">
        <f t="shared" si="81"/>
        <v>72.86666666666666</v>
      </c>
      <c r="E266" s="107">
        <f t="shared" si="82"/>
        <v>44574.28125</v>
      </c>
      <c r="F266" s="106">
        <f t="shared" si="78"/>
        <v>44574.301717012808</v>
      </c>
      <c r="G266" t="str">
        <f t="shared" si="83"/>
        <v>Thursday</v>
      </c>
      <c r="H266" s="129">
        <v>0.51041666666666197</v>
      </c>
      <c r="I266" s="115">
        <f t="shared" si="68"/>
        <v>357.21104650201823</v>
      </c>
      <c r="J266" s="115">
        <f t="shared" si="69"/>
        <v>268.88636664601552</v>
      </c>
      <c r="K266" s="115">
        <f t="shared" si="70"/>
        <v>37.613580563349487</v>
      </c>
      <c r="L266" s="115">
        <f t="shared" si="71"/>
        <v>237.71449480152992</v>
      </c>
      <c r="M266" s="115">
        <f t="shared" si="72"/>
        <v>286.0401660527051</v>
      </c>
      <c r="N266" s="115">
        <f t="shared" si="73"/>
        <v>308.89322652223348</v>
      </c>
      <c r="O266" s="115">
        <f t="shared" si="74"/>
        <v>262.00928423829879</v>
      </c>
      <c r="P266" s="115">
        <f t="shared" si="75"/>
        <v>289.11525922937716</v>
      </c>
      <c r="Q266" s="115">
        <f t="shared" si="76"/>
        <v>34.719392999265132</v>
      </c>
    </row>
    <row r="267" spans="1:17" x14ac:dyDescent="0.25">
      <c r="A267" s="114">
        <f t="shared" si="77"/>
        <v>44574</v>
      </c>
      <c r="B267">
        <f t="shared" si="79"/>
        <v>5.5</v>
      </c>
      <c r="C267" s="109">
        <f t="shared" si="80"/>
        <v>19.066666666666666</v>
      </c>
      <c r="D267" s="109">
        <f t="shared" si="81"/>
        <v>72.86666666666666</v>
      </c>
      <c r="E267" s="107">
        <f t="shared" si="82"/>
        <v>44574.284722222226</v>
      </c>
      <c r="F267" s="106">
        <f t="shared" si="78"/>
        <v>44574.301717012808</v>
      </c>
      <c r="G267" t="str">
        <f t="shared" si="83"/>
        <v>Thursday</v>
      </c>
      <c r="H267" s="129">
        <v>0.51388888888888395</v>
      </c>
      <c r="I267" s="115">
        <f t="shared" si="68"/>
        <v>358.76484843080868</v>
      </c>
      <c r="J267" s="115">
        <f t="shared" si="69"/>
        <v>268.88990317429796</v>
      </c>
      <c r="K267" s="115">
        <f t="shared" si="70"/>
        <v>37.654478361940093</v>
      </c>
      <c r="L267" s="115">
        <f t="shared" si="71"/>
        <v>237.71698876358388</v>
      </c>
      <c r="M267" s="115">
        <f t="shared" si="72"/>
        <v>286.04094095826082</v>
      </c>
      <c r="N267" s="115">
        <f t="shared" si="73"/>
        <v>308.89396358844624</v>
      </c>
      <c r="O267" s="115">
        <f t="shared" si="74"/>
        <v>262.00729063926195</v>
      </c>
      <c r="P267" s="115">
        <f t="shared" si="75"/>
        <v>289.1156583265456</v>
      </c>
      <c r="Q267" s="115">
        <f t="shared" si="76"/>
        <v>34.719208999312258</v>
      </c>
    </row>
    <row r="268" spans="1:17" x14ac:dyDescent="0.25">
      <c r="A268" s="114">
        <f t="shared" si="77"/>
        <v>44574</v>
      </c>
      <c r="B268">
        <f t="shared" si="79"/>
        <v>5.5</v>
      </c>
      <c r="C268" s="109">
        <f t="shared" si="80"/>
        <v>19.066666666666666</v>
      </c>
      <c r="D268" s="109">
        <f t="shared" si="81"/>
        <v>72.86666666666666</v>
      </c>
      <c r="E268" s="107">
        <f t="shared" si="82"/>
        <v>44574.288194444445</v>
      </c>
      <c r="F268" s="106">
        <f t="shared" si="78"/>
        <v>44574.301717012808</v>
      </c>
      <c r="G268" t="str">
        <f t="shared" si="83"/>
        <v>Thursday</v>
      </c>
      <c r="H268" s="129">
        <v>0.51736111111110605</v>
      </c>
      <c r="I268" s="115">
        <f t="shared" si="68"/>
        <v>0.31133441098707593</v>
      </c>
      <c r="J268" s="115">
        <f t="shared" si="69"/>
        <v>268.89343970103613</v>
      </c>
      <c r="K268" s="115">
        <f t="shared" si="70"/>
        <v>37.695375718532574</v>
      </c>
      <c r="L268" s="115">
        <f t="shared" si="71"/>
        <v>237.71948273300438</v>
      </c>
      <c r="M268" s="115">
        <f t="shared" si="72"/>
        <v>286.04171370378987</v>
      </c>
      <c r="N268" s="115">
        <f t="shared" si="73"/>
        <v>308.89470066921928</v>
      </c>
      <c r="O268" s="115">
        <f t="shared" si="74"/>
        <v>262.00529725518038</v>
      </c>
      <c r="P268" s="115">
        <f t="shared" si="75"/>
        <v>289.11605742891334</v>
      </c>
      <c r="Q268" s="115">
        <f t="shared" si="76"/>
        <v>34.719024999342849</v>
      </c>
    </row>
    <row r="269" spans="1:17" x14ac:dyDescent="0.25">
      <c r="A269" s="114">
        <f t="shared" si="77"/>
        <v>44574</v>
      </c>
      <c r="B269">
        <f t="shared" si="79"/>
        <v>5.5</v>
      </c>
      <c r="C269" s="109">
        <f t="shared" si="80"/>
        <v>19.066666666666666</v>
      </c>
      <c r="D269" s="109">
        <f t="shared" si="81"/>
        <v>72.86666666666666</v>
      </c>
      <c r="E269" s="107">
        <f t="shared" si="82"/>
        <v>44574.291666666672</v>
      </c>
      <c r="F269" s="106">
        <f t="shared" si="78"/>
        <v>44574.301717012808</v>
      </c>
      <c r="G269" t="str">
        <f t="shared" si="83"/>
        <v>Thursday</v>
      </c>
      <c r="H269" s="129">
        <v>0.52083333333332804</v>
      </c>
      <c r="I269" s="115">
        <f t="shared" si="68"/>
        <v>1.8501491767054077</v>
      </c>
      <c r="J269" s="115">
        <f t="shared" si="69"/>
        <v>268.89697622529695</v>
      </c>
      <c r="K269" s="115">
        <f t="shared" si="70"/>
        <v>37.736272625208514</v>
      </c>
      <c r="L269" s="115">
        <f t="shared" si="71"/>
        <v>237.72197670933082</v>
      </c>
      <c r="M269" s="115">
        <f t="shared" si="72"/>
        <v>286.04248428858989</v>
      </c>
      <c r="N269" s="115">
        <f t="shared" si="73"/>
        <v>308.89543776443503</v>
      </c>
      <c r="O269" s="115">
        <f t="shared" si="74"/>
        <v>262.00330408685227</v>
      </c>
      <c r="P269" s="115">
        <f t="shared" si="75"/>
        <v>289.11645653627426</v>
      </c>
      <c r="Q269" s="115">
        <f t="shared" si="76"/>
        <v>34.718840999390032</v>
      </c>
    </row>
    <row r="270" spans="1:17" x14ac:dyDescent="0.25">
      <c r="A270" s="114">
        <f t="shared" si="77"/>
        <v>44574</v>
      </c>
      <c r="B270">
        <f t="shared" si="79"/>
        <v>5.5</v>
      </c>
      <c r="C270" s="109">
        <f t="shared" si="80"/>
        <v>19.066666666666666</v>
      </c>
      <c r="D270" s="109">
        <f t="shared" si="81"/>
        <v>72.86666666666666</v>
      </c>
      <c r="E270" s="107">
        <f t="shared" si="82"/>
        <v>44574.295138888891</v>
      </c>
      <c r="F270" s="106">
        <f t="shared" si="78"/>
        <v>44574.301717012808</v>
      </c>
      <c r="G270" t="str">
        <f t="shared" si="83"/>
        <v>Thursday</v>
      </c>
      <c r="H270" s="129">
        <v>0.52430555555555003</v>
      </c>
      <c r="I270" s="115">
        <f t="shared" si="68"/>
        <v>3.3809641731172313</v>
      </c>
      <c r="J270" s="115">
        <f t="shared" si="69"/>
        <v>268.9005127482622</v>
      </c>
      <c r="K270" s="115">
        <f t="shared" si="70"/>
        <v>37.777169095934958</v>
      </c>
      <c r="L270" s="115">
        <f t="shared" si="71"/>
        <v>237.72447069346131</v>
      </c>
      <c r="M270" s="115">
        <f t="shared" si="72"/>
        <v>286.04325271245852</v>
      </c>
      <c r="N270" s="115">
        <f t="shared" si="73"/>
        <v>308.89617487405263</v>
      </c>
      <c r="O270" s="115">
        <f t="shared" si="74"/>
        <v>262.00131113369287</v>
      </c>
      <c r="P270" s="115">
        <f t="shared" si="75"/>
        <v>289.11685564882953</v>
      </c>
      <c r="Q270" s="115">
        <f t="shared" si="76"/>
        <v>34.718656999420631</v>
      </c>
    </row>
    <row r="271" spans="1:17" x14ac:dyDescent="0.25">
      <c r="A271" s="114">
        <f t="shared" si="77"/>
        <v>44574</v>
      </c>
      <c r="B271">
        <f t="shared" si="79"/>
        <v>5.5</v>
      </c>
      <c r="C271" s="109">
        <f t="shared" si="80"/>
        <v>19.066666666666666</v>
      </c>
      <c r="D271" s="109">
        <f t="shared" si="81"/>
        <v>72.86666666666666</v>
      </c>
      <c r="E271" s="107">
        <f t="shared" si="82"/>
        <v>44574.298611111117</v>
      </c>
      <c r="F271" s="106">
        <f t="shared" si="78"/>
        <v>44574.301717012808</v>
      </c>
      <c r="G271" t="str">
        <f t="shared" si="83"/>
        <v>Thursday</v>
      </c>
      <c r="H271" s="129">
        <v>0.52777777777777202</v>
      </c>
      <c r="I271" s="115">
        <f t="shared" si="68"/>
        <v>4.9034762920488468</v>
      </c>
      <c r="J271" s="115">
        <f t="shared" si="69"/>
        <v>268.90404926885645</v>
      </c>
      <c r="K271" s="115">
        <f t="shared" si="70"/>
        <v>37.818065122722473</v>
      </c>
      <c r="L271" s="115">
        <f t="shared" si="71"/>
        <v>237.72696468461061</v>
      </c>
      <c r="M271" s="115">
        <f t="shared" si="72"/>
        <v>286.04401897468551</v>
      </c>
      <c r="N271" s="115">
        <f t="shared" si="73"/>
        <v>308.89691199812125</v>
      </c>
      <c r="O271" s="115">
        <f t="shared" si="74"/>
        <v>261.99931839672161</v>
      </c>
      <c r="P271" s="115">
        <f t="shared" si="75"/>
        <v>289.11725476720454</v>
      </c>
      <c r="Q271" s="115">
        <f t="shared" si="76"/>
        <v>34.718472999451173</v>
      </c>
    </row>
    <row r="272" spans="1:17" x14ac:dyDescent="0.25">
      <c r="A272" s="114">
        <f t="shared" si="77"/>
        <v>44574</v>
      </c>
      <c r="B272">
        <f t="shared" si="79"/>
        <v>5.5</v>
      </c>
      <c r="C272" s="109">
        <f t="shared" si="80"/>
        <v>19.066666666666666</v>
      </c>
      <c r="D272" s="109">
        <f t="shared" si="81"/>
        <v>72.86666666666666</v>
      </c>
      <c r="E272" s="107">
        <f t="shared" si="82"/>
        <v>44574.302083333336</v>
      </c>
      <c r="F272" s="106">
        <f t="shared" si="78"/>
        <v>44574.301717012808</v>
      </c>
      <c r="G272" t="str">
        <f t="shared" si="83"/>
        <v>Thursday</v>
      </c>
      <c r="H272" s="129">
        <v>0.531249999999994</v>
      </c>
      <c r="I272" s="115">
        <f t="shared" si="68"/>
        <v>6.4174097436718398</v>
      </c>
      <c r="J272" s="115">
        <f t="shared" si="69"/>
        <v>268.90758578803548</v>
      </c>
      <c r="K272" s="115">
        <f t="shared" si="70"/>
        <v>37.85896071957449</v>
      </c>
      <c r="L272" s="115">
        <f t="shared" si="71"/>
        <v>237.72945868345812</v>
      </c>
      <c r="M272" s="115">
        <f t="shared" si="72"/>
        <v>286.04478307500744</v>
      </c>
      <c r="N272" s="115">
        <f t="shared" si="73"/>
        <v>308.89764913650743</v>
      </c>
      <c r="O272" s="115">
        <f t="shared" si="74"/>
        <v>261.997325875218</v>
      </c>
      <c r="P272" s="115">
        <f t="shared" si="75"/>
        <v>289.11765389027994</v>
      </c>
      <c r="Q272" s="115">
        <f t="shared" si="76"/>
        <v>34.71828899946523</v>
      </c>
    </row>
    <row r="273" spans="1:17" x14ac:dyDescent="0.25">
      <c r="A273" s="114">
        <f t="shared" si="77"/>
        <v>44574</v>
      </c>
      <c r="B273">
        <f t="shared" si="79"/>
        <v>5.5</v>
      </c>
      <c r="C273" s="109">
        <f t="shared" si="80"/>
        <v>19.066666666666666</v>
      </c>
      <c r="D273" s="109">
        <f t="shared" si="81"/>
        <v>72.86666666666666</v>
      </c>
      <c r="E273" s="107">
        <f t="shared" si="82"/>
        <v>44574.305555555555</v>
      </c>
      <c r="F273" s="106">
        <f t="shared" si="78"/>
        <v>44574.301717012808</v>
      </c>
      <c r="G273" t="str">
        <f t="shared" si="83"/>
        <v>Thursday</v>
      </c>
      <c r="H273" s="129">
        <v>0.53472222222221599</v>
      </c>
      <c r="I273" s="115">
        <f t="shared" si="68"/>
        <v>7.9225144887286199</v>
      </c>
      <c r="J273" s="115">
        <f t="shared" si="69"/>
        <v>268.91112230490853</v>
      </c>
      <c r="K273" s="115">
        <f t="shared" si="70"/>
        <v>37.899855878548813</v>
      </c>
      <c r="L273" s="115">
        <f t="shared" si="71"/>
        <v>237.73195268943448</v>
      </c>
      <c r="M273" s="115">
        <f t="shared" si="72"/>
        <v>286.04554501265022</v>
      </c>
      <c r="N273" s="115">
        <f t="shared" si="73"/>
        <v>308.89838628942647</v>
      </c>
      <c r="O273" s="115">
        <f t="shared" si="74"/>
        <v>261.99533357009523</v>
      </c>
      <c r="P273" s="115">
        <f t="shared" si="75"/>
        <v>289.11805301899761</v>
      </c>
      <c r="Q273" s="115">
        <f t="shared" si="76"/>
        <v>34.718104999512391</v>
      </c>
    </row>
    <row r="274" spans="1:17" x14ac:dyDescent="0.25">
      <c r="A274" s="114">
        <f t="shared" si="77"/>
        <v>44574</v>
      </c>
      <c r="B274">
        <f t="shared" si="79"/>
        <v>5.5</v>
      </c>
      <c r="C274" s="109">
        <f t="shared" si="80"/>
        <v>19.066666666666666</v>
      </c>
      <c r="D274" s="109">
        <f t="shared" si="81"/>
        <v>72.86666666666666</v>
      </c>
      <c r="E274" s="107">
        <f t="shared" si="82"/>
        <v>44574.309027777781</v>
      </c>
      <c r="F274" s="106">
        <f t="shared" si="78"/>
        <v>44574.301717012808</v>
      </c>
      <c r="G274" t="str">
        <f t="shared" si="83"/>
        <v>Thursday</v>
      </c>
      <c r="H274" s="129">
        <v>0.53819444444443798</v>
      </c>
      <c r="I274" s="115">
        <f t="shared" si="68"/>
        <v>9.4185677791268496</v>
      </c>
      <c r="J274" s="115">
        <f t="shared" si="69"/>
        <v>268.91465882032264</v>
      </c>
      <c r="K274" s="115">
        <f t="shared" si="70"/>
        <v>37.940750613595291</v>
      </c>
      <c r="L274" s="115">
        <f t="shared" si="71"/>
        <v>237.73444670295098</v>
      </c>
      <c r="M274" s="115">
        <f t="shared" si="72"/>
        <v>286.04630478746355</v>
      </c>
      <c r="N274" s="115">
        <f t="shared" si="73"/>
        <v>308.89912345661401</v>
      </c>
      <c r="O274" s="115">
        <f t="shared" si="74"/>
        <v>261.99334148099041</v>
      </c>
      <c r="P274" s="115">
        <f t="shared" si="75"/>
        <v>289.11845215224469</v>
      </c>
      <c r="Q274" s="115">
        <f t="shared" si="76"/>
        <v>34.717920999526392</v>
      </c>
    </row>
    <row r="275" spans="1:17" x14ac:dyDescent="0.25">
      <c r="A275" s="114">
        <f t="shared" si="77"/>
        <v>44574</v>
      </c>
      <c r="B275">
        <f t="shared" si="79"/>
        <v>5.5</v>
      </c>
      <c r="C275" s="109">
        <f t="shared" si="80"/>
        <v>19.066666666666666</v>
      </c>
      <c r="D275" s="109">
        <f t="shared" si="81"/>
        <v>72.86666666666666</v>
      </c>
      <c r="E275" s="107">
        <f t="shared" si="82"/>
        <v>44574.3125</v>
      </c>
      <c r="F275" s="106">
        <f t="shared" si="78"/>
        <v>44574.301717012808</v>
      </c>
      <c r="G275" t="str">
        <f t="shared" si="83"/>
        <v>Thursday</v>
      </c>
      <c r="H275" s="129">
        <v>0.54166666666665997</v>
      </c>
      <c r="I275" s="115">
        <f t="shared" si="68"/>
        <v>10.90537232589778</v>
      </c>
      <c r="J275" s="115">
        <f t="shared" si="69"/>
        <v>268.91819533329817</v>
      </c>
      <c r="K275" s="115">
        <f t="shared" si="70"/>
        <v>37.981644916772623</v>
      </c>
      <c r="L275" s="115">
        <f t="shared" si="71"/>
        <v>237.73694072342502</v>
      </c>
      <c r="M275" s="115">
        <f t="shared" si="72"/>
        <v>286.0470623986476</v>
      </c>
      <c r="N275" s="115">
        <f t="shared" si="73"/>
        <v>308.89986063829912</v>
      </c>
      <c r="O275" s="115">
        <f t="shared" si="74"/>
        <v>261.9913496085382</v>
      </c>
      <c r="P275" s="115">
        <f t="shared" si="75"/>
        <v>289.1188512912604</v>
      </c>
      <c r="Q275" s="115">
        <f t="shared" si="76"/>
        <v>34.717736999590144</v>
      </c>
    </row>
    <row r="276" spans="1:17" x14ac:dyDescent="0.25">
      <c r="A276" s="114">
        <f t="shared" si="77"/>
        <v>44574</v>
      </c>
      <c r="B276">
        <f t="shared" si="79"/>
        <v>5.5</v>
      </c>
      <c r="C276" s="109">
        <f t="shared" si="80"/>
        <v>19.066666666666666</v>
      </c>
      <c r="D276" s="109">
        <f t="shared" si="81"/>
        <v>72.86666666666666</v>
      </c>
      <c r="E276" s="107">
        <f t="shared" si="82"/>
        <v>44574.315972222226</v>
      </c>
      <c r="F276" s="106">
        <f t="shared" si="78"/>
        <v>44574.301717012808</v>
      </c>
      <c r="G276" t="str">
        <f t="shared" si="83"/>
        <v>Thursday</v>
      </c>
      <c r="H276" s="129">
        <v>0.54513888888888196</v>
      </c>
      <c r="I276" s="115">
        <f t="shared" si="68"/>
        <v>12.382757352549817</v>
      </c>
      <c r="J276" s="115">
        <f t="shared" si="69"/>
        <v>268.9217318444455</v>
      </c>
      <c r="K276" s="115">
        <f t="shared" si="70"/>
        <v>38.022538796558152</v>
      </c>
      <c r="L276" s="115">
        <f t="shared" si="71"/>
        <v>237.73943475131645</v>
      </c>
      <c r="M276" s="115">
        <f t="shared" si="72"/>
        <v>286.04781784590841</v>
      </c>
      <c r="N276" s="115">
        <f t="shared" si="73"/>
        <v>308.90059783429314</v>
      </c>
      <c r="O276" s="115">
        <f t="shared" si="74"/>
        <v>261.98935795260883</v>
      </c>
      <c r="P276" s="115">
        <f t="shared" si="75"/>
        <v>289.11925043494949</v>
      </c>
      <c r="Q276" s="115">
        <f t="shared" si="76"/>
        <v>34.717552999653826</v>
      </c>
    </row>
    <row r="277" spans="1:17" x14ac:dyDescent="0.25">
      <c r="A277" s="114">
        <f t="shared" si="77"/>
        <v>44574</v>
      </c>
      <c r="B277">
        <f t="shared" si="79"/>
        <v>5.5</v>
      </c>
      <c r="C277" s="109">
        <f t="shared" si="80"/>
        <v>19.066666666666666</v>
      </c>
      <c r="D277" s="109">
        <f t="shared" si="81"/>
        <v>72.86666666666666</v>
      </c>
      <c r="E277" s="107">
        <f t="shared" si="82"/>
        <v>44574.319444444445</v>
      </c>
      <c r="F277" s="106">
        <f t="shared" si="78"/>
        <v>44574.301717012808</v>
      </c>
      <c r="G277" t="str">
        <f t="shared" si="83"/>
        <v>Thursday</v>
      </c>
      <c r="H277" s="129">
        <v>0.54861111111110406</v>
      </c>
      <c r="I277" s="115">
        <f t="shared" si="68"/>
        <v>13.850577525033096</v>
      </c>
      <c r="J277" s="115">
        <f t="shared" si="69"/>
        <v>268.9252683541809</v>
      </c>
      <c r="K277" s="115">
        <f t="shared" si="70"/>
        <v>38.063432261447261</v>
      </c>
      <c r="L277" s="115">
        <f t="shared" si="71"/>
        <v>237.74192878692088</v>
      </c>
      <c r="M277" s="115">
        <f t="shared" si="72"/>
        <v>286.04857112877693</v>
      </c>
      <c r="N277" s="115">
        <f t="shared" si="73"/>
        <v>308.90133504474755</v>
      </c>
      <c r="O277" s="115">
        <f t="shared" si="74"/>
        <v>261.98736651313015</v>
      </c>
      <c r="P277" s="115">
        <f t="shared" si="75"/>
        <v>289.11964958440035</v>
      </c>
      <c r="Q277" s="115">
        <f t="shared" si="76"/>
        <v>34.717368999667805</v>
      </c>
    </row>
    <row r="278" spans="1:17" x14ac:dyDescent="0.25">
      <c r="A278" s="114">
        <f t="shared" si="77"/>
        <v>44574</v>
      </c>
      <c r="B278">
        <f t="shared" si="79"/>
        <v>5.5</v>
      </c>
      <c r="C278" s="109">
        <f t="shared" si="80"/>
        <v>19.066666666666666</v>
      </c>
      <c r="D278" s="109">
        <f t="shared" si="81"/>
        <v>72.86666666666666</v>
      </c>
      <c r="E278" s="107">
        <f t="shared" si="82"/>
        <v>44574.322916666672</v>
      </c>
      <c r="F278" s="106">
        <f t="shared" si="78"/>
        <v>44574.301717012808</v>
      </c>
      <c r="G278" t="str">
        <f t="shared" si="83"/>
        <v>Thursday</v>
      </c>
      <c r="H278" s="129">
        <v>0.55208333333332604</v>
      </c>
      <c r="I278" s="115">
        <f t="shared" si="68"/>
        <v>15.308711790286825</v>
      </c>
      <c r="J278" s="115">
        <f t="shared" si="69"/>
        <v>268.92880486155246</v>
      </c>
      <c r="K278" s="115">
        <f t="shared" si="70"/>
        <v>38.104325303452768</v>
      </c>
      <c r="L278" s="115">
        <f t="shared" si="71"/>
        <v>237.74442282954021</v>
      </c>
      <c r="M278" s="115">
        <f t="shared" si="72"/>
        <v>286.04932224664526</v>
      </c>
      <c r="N278" s="115">
        <f t="shared" si="73"/>
        <v>308.90207226986894</v>
      </c>
      <c r="O278" s="115">
        <f t="shared" si="74"/>
        <v>261.98537529079323</v>
      </c>
      <c r="P278" s="115">
        <f t="shared" si="75"/>
        <v>289.12004873896376</v>
      </c>
      <c r="Q278" s="115">
        <f t="shared" si="76"/>
        <v>34.71718499971503</v>
      </c>
    </row>
    <row r="279" spans="1:17" x14ac:dyDescent="0.25">
      <c r="A279" s="114">
        <f t="shared" si="77"/>
        <v>44574</v>
      </c>
      <c r="B279">
        <f t="shared" si="79"/>
        <v>5.5</v>
      </c>
      <c r="C279" s="109">
        <f t="shared" si="80"/>
        <v>19.066666666666666</v>
      </c>
      <c r="D279" s="109">
        <f t="shared" si="81"/>
        <v>72.86666666666666</v>
      </c>
      <c r="E279" s="107">
        <f t="shared" si="82"/>
        <v>44574.326388888891</v>
      </c>
      <c r="F279" s="106">
        <f t="shared" si="78"/>
        <v>44574.301717012808</v>
      </c>
      <c r="G279" t="str">
        <f t="shared" si="83"/>
        <v>Thursday</v>
      </c>
      <c r="H279" s="129">
        <v>0.55555555555554803</v>
      </c>
      <c r="I279" s="115">
        <f t="shared" si="68"/>
        <v>16.75706408928977</v>
      </c>
      <c r="J279" s="115">
        <f t="shared" si="69"/>
        <v>268.93234136762101</v>
      </c>
      <c r="K279" s="115">
        <f t="shared" si="70"/>
        <v>38.145217936526294</v>
      </c>
      <c r="L279" s="115">
        <f t="shared" si="71"/>
        <v>237.74691688003114</v>
      </c>
      <c r="M279" s="115">
        <f t="shared" si="72"/>
        <v>286.05007119926938</v>
      </c>
      <c r="N279" s="115">
        <f t="shared" si="73"/>
        <v>308.90280950955048</v>
      </c>
      <c r="O279" s="115">
        <f t="shared" si="74"/>
        <v>261.98338428523988</v>
      </c>
      <c r="P279" s="115">
        <f t="shared" si="75"/>
        <v>289.1204478986308</v>
      </c>
      <c r="Q279" s="115">
        <f t="shared" si="76"/>
        <v>34.717000999729024</v>
      </c>
    </row>
    <row r="280" spans="1:17" x14ac:dyDescent="0.25">
      <c r="A280" s="114">
        <f t="shared" si="77"/>
        <v>44574</v>
      </c>
      <c r="B280">
        <f t="shared" si="79"/>
        <v>5.5</v>
      </c>
      <c r="C280" s="109">
        <f t="shared" si="80"/>
        <v>19.066666666666666</v>
      </c>
      <c r="D280" s="109">
        <f t="shared" si="81"/>
        <v>72.86666666666666</v>
      </c>
      <c r="E280" s="107">
        <f t="shared" si="82"/>
        <v>44574.329861111117</v>
      </c>
      <c r="F280" s="106">
        <f t="shared" si="78"/>
        <v>44574.301717012808</v>
      </c>
      <c r="G280" t="str">
        <f t="shared" si="83"/>
        <v>Thursday</v>
      </c>
      <c r="H280" s="129">
        <v>0.55902777777777002</v>
      </c>
      <c r="I280" s="115">
        <f t="shared" si="68"/>
        <v>18.195561044056863</v>
      </c>
      <c r="J280" s="115">
        <f t="shared" si="69"/>
        <v>268.93587787108191</v>
      </c>
      <c r="K280" s="115">
        <f t="shared" si="70"/>
        <v>38.186110152741946</v>
      </c>
      <c r="L280" s="115">
        <f t="shared" si="71"/>
        <v>237.74941093716237</v>
      </c>
      <c r="M280" s="115">
        <f t="shared" si="72"/>
        <v>286.05081798579067</v>
      </c>
      <c r="N280" s="115">
        <f t="shared" si="73"/>
        <v>308.90354676293947</v>
      </c>
      <c r="O280" s="115">
        <f t="shared" si="74"/>
        <v>261.98139349707714</v>
      </c>
      <c r="P280" s="115">
        <f t="shared" si="75"/>
        <v>289.1208470638154</v>
      </c>
      <c r="Q280" s="115">
        <f t="shared" si="76"/>
        <v>34.716816999776192</v>
      </c>
    </row>
    <row r="281" spans="1:17" x14ac:dyDescent="0.25">
      <c r="A281" s="114">
        <f t="shared" si="77"/>
        <v>44574</v>
      </c>
      <c r="B281">
        <f t="shared" si="79"/>
        <v>5.5</v>
      </c>
      <c r="C281" s="109">
        <f t="shared" si="80"/>
        <v>19.066666666666666</v>
      </c>
      <c r="D281" s="109">
        <f t="shared" si="81"/>
        <v>72.86666666666666</v>
      </c>
      <c r="E281" s="107">
        <f t="shared" si="82"/>
        <v>44574.333333333336</v>
      </c>
      <c r="F281" s="106">
        <f t="shared" si="78"/>
        <v>44574.301717012808</v>
      </c>
      <c r="G281" t="str">
        <f t="shared" si="83"/>
        <v>Thursday</v>
      </c>
      <c r="H281" s="129">
        <v>0.56249999999999201</v>
      </c>
      <c r="I281" s="115">
        <f t="shared" si="68"/>
        <v>19.624152693408202</v>
      </c>
      <c r="J281" s="115">
        <f t="shared" si="69"/>
        <v>268.93941437326112</v>
      </c>
      <c r="K281" s="115">
        <f t="shared" si="70"/>
        <v>38.22700196602888</v>
      </c>
      <c r="L281" s="115">
        <f t="shared" si="71"/>
        <v>237.75190500213199</v>
      </c>
      <c r="M281" s="115">
        <f t="shared" si="72"/>
        <v>286.05156260609323</v>
      </c>
      <c r="N281" s="115">
        <f t="shared" si="73"/>
        <v>308.90428403154141</v>
      </c>
      <c r="O281" s="115">
        <f t="shared" si="74"/>
        <v>261.97940292604659</v>
      </c>
      <c r="P281" s="115">
        <f t="shared" si="75"/>
        <v>289.12124623328333</v>
      </c>
      <c r="Q281" s="115">
        <f t="shared" si="76"/>
        <v>34.716632999790185</v>
      </c>
    </row>
    <row r="282" spans="1:17" x14ac:dyDescent="0.25">
      <c r="A282" s="114">
        <f t="shared" si="77"/>
        <v>44574</v>
      </c>
      <c r="B282">
        <f t="shared" si="79"/>
        <v>5.5</v>
      </c>
      <c r="C282" s="109">
        <f t="shared" si="80"/>
        <v>19.066666666666666</v>
      </c>
      <c r="D282" s="109">
        <f t="shared" si="81"/>
        <v>72.86666666666666</v>
      </c>
      <c r="E282" s="107">
        <f t="shared" si="82"/>
        <v>44574.336805555555</v>
      </c>
      <c r="F282" s="106">
        <f t="shared" si="78"/>
        <v>44574.301717012808</v>
      </c>
      <c r="G282" t="str">
        <f t="shared" si="83"/>
        <v>Thursday</v>
      </c>
      <c r="H282" s="129">
        <v>0.56597222222221399</v>
      </c>
      <c r="I282" s="115">
        <f t="shared" si="68"/>
        <v>21.042810078581976</v>
      </c>
      <c r="J282" s="115">
        <f t="shared" si="69"/>
        <v>268.94295087307626</v>
      </c>
      <c r="K282" s="115">
        <f t="shared" si="70"/>
        <v>38.267893368441342</v>
      </c>
      <c r="L282" s="115">
        <f t="shared" si="71"/>
        <v>237.75439907415495</v>
      </c>
      <c r="M282" s="115">
        <f t="shared" si="72"/>
        <v>286.0523050594843</v>
      </c>
      <c r="N282" s="115">
        <f t="shared" si="73"/>
        <v>308.90502131397841</v>
      </c>
      <c r="O282" s="115">
        <f t="shared" si="74"/>
        <v>261.97741257278841</v>
      </c>
      <c r="P282" s="115">
        <f t="shared" si="75"/>
        <v>289.12164540891024</v>
      </c>
      <c r="Q282" s="115">
        <f t="shared" si="76"/>
        <v>34.716448999870472</v>
      </c>
    </row>
    <row r="283" spans="1:17" x14ac:dyDescent="0.25">
      <c r="A283" s="114">
        <f t="shared" si="77"/>
        <v>44574</v>
      </c>
      <c r="B283">
        <f t="shared" si="79"/>
        <v>5.5</v>
      </c>
      <c r="C283" s="109">
        <f t="shared" si="80"/>
        <v>19.066666666666666</v>
      </c>
      <c r="D283" s="109">
        <f t="shared" si="81"/>
        <v>72.86666666666666</v>
      </c>
      <c r="E283" s="107">
        <f t="shared" si="82"/>
        <v>44574.340277777781</v>
      </c>
      <c r="F283" s="106">
        <f t="shared" si="78"/>
        <v>44574.301717012808</v>
      </c>
      <c r="G283" t="str">
        <f t="shared" si="83"/>
        <v>Thursday</v>
      </c>
      <c r="H283" s="129">
        <v>0.56944444444443598</v>
      </c>
      <c r="I283" s="115">
        <f t="shared" si="68"/>
        <v>22.451525849822925</v>
      </c>
      <c r="J283" s="115">
        <f t="shared" si="69"/>
        <v>268.94648737146707</v>
      </c>
      <c r="K283" s="115">
        <f t="shared" si="70"/>
        <v>38.308784373912708</v>
      </c>
      <c r="L283" s="115">
        <f t="shared" si="71"/>
        <v>237.75689315383195</v>
      </c>
      <c r="M283" s="115">
        <f t="shared" si="72"/>
        <v>286.05304534556939</v>
      </c>
      <c r="N283" s="115">
        <f t="shared" si="73"/>
        <v>308.90575861106572</v>
      </c>
      <c r="O283" s="115">
        <f t="shared" si="74"/>
        <v>261.97542243694062</v>
      </c>
      <c r="P283" s="115">
        <f t="shared" si="75"/>
        <v>289.12204458887533</v>
      </c>
      <c r="Q283" s="115">
        <f t="shared" si="76"/>
        <v>34.716264999867946</v>
      </c>
    </row>
    <row r="284" spans="1:17" x14ac:dyDescent="0.25">
      <c r="A284" s="114">
        <f t="shared" si="77"/>
        <v>44574</v>
      </c>
      <c r="B284">
        <f t="shared" si="79"/>
        <v>5.5</v>
      </c>
      <c r="C284" s="109">
        <f t="shared" si="80"/>
        <v>19.066666666666666</v>
      </c>
      <c r="D284" s="109">
        <f t="shared" si="81"/>
        <v>72.86666666666666</v>
      </c>
      <c r="E284" s="107">
        <f t="shared" si="82"/>
        <v>44574.34375</v>
      </c>
      <c r="F284" s="106">
        <f t="shared" si="78"/>
        <v>44574.301717012808</v>
      </c>
      <c r="G284" t="str">
        <f t="shared" si="83"/>
        <v>Thursday</v>
      </c>
      <c r="H284" s="129">
        <v>0.57291666666665797</v>
      </c>
      <c r="I284" s="115">
        <f t="shared" si="68"/>
        <v>23.850311789850572</v>
      </c>
      <c r="J284" s="115">
        <f t="shared" si="69"/>
        <v>268.95002386797216</v>
      </c>
      <c r="K284" s="115">
        <f t="shared" si="70"/>
        <v>38.349674979953477</v>
      </c>
      <c r="L284" s="115">
        <f t="shared" si="71"/>
        <v>237.75938724089747</v>
      </c>
      <c r="M284" s="115">
        <f t="shared" si="72"/>
        <v>286.05378346389881</v>
      </c>
      <c r="N284" s="115">
        <f t="shared" si="73"/>
        <v>308.90649592256767</v>
      </c>
      <c r="O284" s="115">
        <f t="shared" si="74"/>
        <v>261.97343251899707</v>
      </c>
      <c r="P284" s="115">
        <f t="shared" si="75"/>
        <v>289.12244377433387</v>
      </c>
      <c r="Q284" s="115">
        <f t="shared" si="76"/>
        <v>34.716080999882017</v>
      </c>
    </row>
    <row r="285" spans="1:17" x14ac:dyDescent="0.25">
      <c r="A285" s="114">
        <f t="shared" si="77"/>
        <v>44574</v>
      </c>
      <c r="B285">
        <f t="shared" si="79"/>
        <v>5.5</v>
      </c>
      <c r="C285" s="109">
        <f t="shared" si="80"/>
        <v>19.066666666666666</v>
      </c>
      <c r="D285" s="109">
        <f t="shared" si="81"/>
        <v>72.86666666666666</v>
      </c>
      <c r="E285" s="107">
        <f t="shared" si="82"/>
        <v>44574.347222222226</v>
      </c>
      <c r="F285" s="106">
        <f t="shared" si="78"/>
        <v>44574.301717012808</v>
      </c>
      <c r="G285" t="str">
        <f t="shared" si="83"/>
        <v>Thursday</v>
      </c>
      <c r="H285" s="129">
        <v>0.57638888888887996</v>
      </c>
      <c r="I285" s="115">
        <f t="shared" ref="I285:I348" si="84">(Asdt(C285,D285,E285))</f>
        <v>25.239199149979942</v>
      </c>
      <c r="J285" s="115">
        <f t="shared" ref="J285:J348" si="85">(Planet(E285,0))</f>
        <v>268.95356036217987</v>
      </c>
      <c r="K285" s="115">
        <f t="shared" ref="K285:K348" si="86">(Planet(E285,1))</f>
        <v>38.390565184085389</v>
      </c>
      <c r="L285" s="115">
        <f t="shared" ref="L285:L348" si="87">(Planet(E285,4))</f>
        <v>237.7618813351086</v>
      </c>
      <c r="M285" s="115">
        <f t="shared" ref="M285:M348" si="88">(Planet(E285,2))</f>
        <v>286.05451941384678</v>
      </c>
      <c r="N285" s="115">
        <f t="shared" ref="N285:N348" si="89">(Planet(E285,5))</f>
        <v>308.90723324846016</v>
      </c>
      <c r="O285" s="115">
        <f t="shared" ref="O285:O348" si="90">Planet(E285,3)</f>
        <v>261.9714428191399</v>
      </c>
      <c r="P285" s="115">
        <f t="shared" ref="P285:P348" si="91">Planet(E285,6)</f>
        <v>289.12284296584045</v>
      </c>
      <c r="Q285" s="115">
        <f t="shared" ref="Q285:Q348" si="92">Planet(E285,10)</f>
        <v>34.715896999929114</v>
      </c>
    </row>
    <row r="286" spans="1:17" x14ac:dyDescent="0.25">
      <c r="A286" s="114">
        <f t="shared" si="77"/>
        <v>44574</v>
      </c>
      <c r="B286">
        <f t="shared" si="79"/>
        <v>5.5</v>
      </c>
      <c r="C286" s="109">
        <f t="shared" si="80"/>
        <v>19.066666666666666</v>
      </c>
      <c r="D286" s="109">
        <f t="shared" si="81"/>
        <v>72.86666666666666</v>
      </c>
      <c r="E286" s="107">
        <f t="shared" si="82"/>
        <v>44574.350694444445</v>
      </c>
      <c r="F286" s="106">
        <f t="shared" si="78"/>
        <v>44574.301717012808</v>
      </c>
      <c r="G286" t="str">
        <f t="shared" si="83"/>
        <v>Thursday</v>
      </c>
      <c r="H286" s="129">
        <v>0.57986111111110095</v>
      </c>
      <c r="I286" s="115">
        <f t="shared" si="84"/>
        <v>26.618237078208303</v>
      </c>
      <c r="J286" s="115">
        <f t="shared" si="85"/>
        <v>268.9570968548324</v>
      </c>
      <c r="K286" s="115">
        <f t="shared" si="86"/>
        <v>38.431455000246494</v>
      </c>
      <c r="L286" s="115">
        <f t="shared" si="87"/>
        <v>237.76437543672159</v>
      </c>
      <c r="M286" s="115">
        <f t="shared" si="88"/>
        <v>286.05525319512748</v>
      </c>
      <c r="N286" s="115">
        <f t="shared" si="89"/>
        <v>308.90797058863876</v>
      </c>
      <c r="O286" s="115">
        <f t="shared" si="90"/>
        <v>261.96945333727649</v>
      </c>
      <c r="P286" s="115">
        <f t="shared" si="91"/>
        <v>289.12324216118083</v>
      </c>
      <c r="Q286" s="115">
        <f t="shared" si="92"/>
        <v>34.715712999943179</v>
      </c>
    </row>
    <row r="287" spans="1:17" x14ac:dyDescent="0.25">
      <c r="A287" s="114">
        <f t="shared" si="77"/>
        <v>44574</v>
      </c>
      <c r="B287">
        <f t="shared" si="79"/>
        <v>5.5</v>
      </c>
      <c r="C287" s="109">
        <f t="shared" si="80"/>
        <v>19.066666666666666</v>
      </c>
      <c r="D287" s="109">
        <f t="shared" si="81"/>
        <v>72.86666666666666</v>
      </c>
      <c r="E287" s="107">
        <f t="shared" si="82"/>
        <v>44574.354166666672</v>
      </c>
      <c r="F287" s="106">
        <f t="shared" si="78"/>
        <v>44574.301717012808</v>
      </c>
      <c r="G287" t="str">
        <f t="shared" si="83"/>
        <v>Thursday</v>
      </c>
      <c r="H287" s="129">
        <v>0.58333333333332305</v>
      </c>
      <c r="I287" s="115">
        <f t="shared" si="84"/>
        <v>27.987491053516312</v>
      </c>
      <c r="J287" s="115">
        <f t="shared" si="85"/>
        <v>268.96063334518925</v>
      </c>
      <c r="K287" s="115">
        <f t="shared" si="86"/>
        <v>38.472344420473455</v>
      </c>
      <c r="L287" s="115">
        <f t="shared" si="87"/>
        <v>237.76686954548276</v>
      </c>
      <c r="M287" s="115">
        <f t="shared" si="88"/>
        <v>286.05598480707425</v>
      </c>
      <c r="N287" s="115">
        <f t="shared" si="89"/>
        <v>308.90870794335086</v>
      </c>
      <c r="O287" s="115">
        <f t="shared" si="90"/>
        <v>261.96746407398308</v>
      </c>
      <c r="P287" s="115">
        <f t="shared" si="91"/>
        <v>289.12364136257742</v>
      </c>
      <c r="Q287" s="115">
        <f t="shared" si="92"/>
        <v>34.715528999990326</v>
      </c>
    </row>
    <row r="288" spans="1:17" x14ac:dyDescent="0.25">
      <c r="A288" s="114">
        <f t="shared" si="77"/>
        <v>44574</v>
      </c>
      <c r="B288">
        <f t="shared" si="79"/>
        <v>5.5</v>
      </c>
      <c r="C288" s="109">
        <f t="shared" si="80"/>
        <v>19.066666666666666</v>
      </c>
      <c r="D288" s="109">
        <f t="shared" si="81"/>
        <v>72.86666666666666</v>
      </c>
      <c r="E288" s="107">
        <f t="shared" si="82"/>
        <v>44574.357638888891</v>
      </c>
      <c r="F288" s="106">
        <f t="shared" si="78"/>
        <v>44574.301717012808</v>
      </c>
      <c r="G288" t="str">
        <f t="shared" si="83"/>
        <v>Thursday</v>
      </c>
      <c r="H288" s="129">
        <v>0.58680555555554503</v>
      </c>
      <c r="I288" s="115">
        <f t="shared" si="84"/>
        <v>29.347043166409367</v>
      </c>
      <c r="J288" s="115">
        <f t="shared" si="85"/>
        <v>268.96416983413036</v>
      </c>
      <c r="K288" s="115">
        <f t="shared" si="86"/>
        <v>38.513233458718467</v>
      </c>
      <c r="L288" s="115">
        <f t="shared" si="87"/>
        <v>237.76936366192817</v>
      </c>
      <c r="M288" s="115">
        <f t="shared" si="88"/>
        <v>286.05671424942233</v>
      </c>
      <c r="N288" s="115">
        <f t="shared" si="89"/>
        <v>308.90944531245538</v>
      </c>
      <c r="O288" s="115">
        <f t="shared" si="90"/>
        <v>261.96547502888626</v>
      </c>
      <c r="P288" s="115">
        <f t="shared" si="91"/>
        <v>289.12404056880564</v>
      </c>
      <c r="Q288" s="115">
        <f t="shared" si="92"/>
        <v>34.715345000037502</v>
      </c>
    </row>
    <row r="289" spans="1:17" x14ac:dyDescent="0.25">
      <c r="A289" s="114">
        <f t="shared" si="77"/>
        <v>44574</v>
      </c>
      <c r="B289">
        <f t="shared" si="79"/>
        <v>5.5</v>
      </c>
      <c r="C289" s="109">
        <f t="shared" si="80"/>
        <v>19.066666666666666</v>
      </c>
      <c r="D289" s="109">
        <f t="shared" si="81"/>
        <v>72.86666666666666</v>
      </c>
      <c r="E289" s="107">
        <f t="shared" si="82"/>
        <v>44574.361111111117</v>
      </c>
      <c r="F289" s="106">
        <f t="shared" si="78"/>
        <v>44574.301717012808</v>
      </c>
      <c r="G289" t="str">
        <f t="shared" si="83"/>
        <v>Thursday</v>
      </c>
      <c r="H289" s="129">
        <v>0.59027777777776702</v>
      </c>
      <c r="I289" s="115">
        <f t="shared" si="84"/>
        <v>30.696989638878549</v>
      </c>
      <c r="J289" s="115">
        <f t="shared" si="85"/>
        <v>268.96770632070792</v>
      </c>
      <c r="K289" s="115">
        <f t="shared" si="86"/>
        <v>38.554122106968869</v>
      </c>
      <c r="L289" s="115">
        <f t="shared" si="87"/>
        <v>237.77185778540272</v>
      </c>
      <c r="M289" s="115">
        <f t="shared" si="88"/>
        <v>286.05744152146298</v>
      </c>
      <c r="N289" s="115">
        <f t="shared" si="89"/>
        <v>308.91018269597009</v>
      </c>
      <c r="O289" s="115">
        <f t="shared" si="90"/>
        <v>261.96348620270663</v>
      </c>
      <c r="P289" s="115">
        <f t="shared" si="91"/>
        <v>289.12443978026289</v>
      </c>
      <c r="Q289" s="115">
        <f t="shared" si="92"/>
        <v>34.715161000084656</v>
      </c>
    </row>
    <row r="290" spans="1:17" x14ac:dyDescent="0.25">
      <c r="A290" s="114">
        <f t="shared" si="77"/>
        <v>44574</v>
      </c>
      <c r="B290">
        <f t="shared" si="79"/>
        <v>5.5</v>
      </c>
      <c r="C290" s="109">
        <f t="shared" si="80"/>
        <v>19.066666666666666</v>
      </c>
      <c r="D290" s="109">
        <f t="shared" si="81"/>
        <v>72.86666666666666</v>
      </c>
      <c r="E290" s="107">
        <f t="shared" si="82"/>
        <v>44574.364583333336</v>
      </c>
      <c r="F290" s="106">
        <f t="shared" si="78"/>
        <v>44574.301717012808</v>
      </c>
      <c r="G290" t="str">
        <f t="shared" si="83"/>
        <v>Thursday</v>
      </c>
      <c r="H290" s="129">
        <v>0.59374999999998901</v>
      </c>
      <c r="I290" s="115">
        <f t="shared" si="84"/>
        <v>32.037441283553974</v>
      </c>
      <c r="J290" s="115">
        <f t="shared" si="85"/>
        <v>268.97124280599019</v>
      </c>
      <c r="K290" s="115">
        <f t="shared" si="86"/>
        <v>38.595010379141954</v>
      </c>
      <c r="L290" s="115">
        <f t="shared" si="87"/>
        <v>237.77435191669412</v>
      </c>
      <c r="M290" s="115">
        <f t="shared" si="88"/>
        <v>286.0581666229815</v>
      </c>
      <c r="N290" s="115">
        <f t="shared" si="89"/>
        <v>308.91092009394492</v>
      </c>
      <c r="O290" s="115">
        <f t="shared" si="90"/>
        <v>261.96149759508342</v>
      </c>
      <c r="P290" s="115">
        <f t="shared" si="91"/>
        <v>289.12483899714118</v>
      </c>
      <c r="Q290" s="115">
        <f t="shared" si="92"/>
        <v>34.714977000082101</v>
      </c>
    </row>
    <row r="291" spans="1:17" x14ac:dyDescent="0.25">
      <c r="A291" s="114">
        <f t="shared" si="77"/>
        <v>44574</v>
      </c>
      <c r="B291">
        <f t="shared" si="79"/>
        <v>5.5</v>
      </c>
      <c r="C291" s="109">
        <f t="shared" si="80"/>
        <v>19.066666666666666</v>
      </c>
      <c r="D291" s="109">
        <f t="shared" si="81"/>
        <v>72.86666666666666</v>
      </c>
      <c r="E291" s="107">
        <f t="shared" si="82"/>
        <v>44574.368055555555</v>
      </c>
      <c r="F291" s="106">
        <f t="shared" si="78"/>
        <v>44574.301717012808</v>
      </c>
      <c r="G291" t="str">
        <f t="shared" si="83"/>
        <v>Thursday</v>
      </c>
      <c r="H291" s="129">
        <v>0.597222222222211</v>
      </c>
      <c r="I291" s="115">
        <f t="shared" si="84"/>
        <v>33.368521077180191</v>
      </c>
      <c r="J291" s="115">
        <f t="shared" si="85"/>
        <v>268.97477928878419</v>
      </c>
      <c r="K291" s="115">
        <f t="shared" si="86"/>
        <v>38.635898267369527</v>
      </c>
      <c r="L291" s="115">
        <f t="shared" si="87"/>
        <v>237.77684605494346</v>
      </c>
      <c r="M291" s="115">
        <f t="shared" si="88"/>
        <v>286.05888955320813</v>
      </c>
      <c r="N291" s="115">
        <f t="shared" si="89"/>
        <v>308.91165750626232</v>
      </c>
      <c r="O291" s="115">
        <f t="shared" si="90"/>
        <v>261.95950920664455</v>
      </c>
      <c r="P291" s="115">
        <f t="shared" si="91"/>
        <v>289.12523821946695</v>
      </c>
      <c r="Q291" s="115">
        <f t="shared" si="92"/>
        <v>34.714793000145818</v>
      </c>
    </row>
    <row r="292" spans="1:17" x14ac:dyDescent="0.25">
      <c r="A292" s="114">
        <f t="shared" si="77"/>
        <v>44574</v>
      </c>
      <c r="B292">
        <f t="shared" si="79"/>
        <v>5.5</v>
      </c>
      <c r="C292" s="109">
        <f t="shared" si="80"/>
        <v>19.066666666666666</v>
      </c>
      <c r="D292" s="109">
        <f t="shared" si="81"/>
        <v>72.86666666666666</v>
      </c>
      <c r="E292" s="107">
        <f t="shared" si="82"/>
        <v>44574.371527777781</v>
      </c>
      <c r="F292" s="106">
        <f t="shared" si="78"/>
        <v>44574.301717012808</v>
      </c>
      <c r="G292" t="str">
        <f t="shared" si="83"/>
        <v>Thursday</v>
      </c>
      <c r="H292" s="129">
        <v>0.60069444444443298</v>
      </c>
      <c r="I292" s="115">
        <f t="shared" si="84"/>
        <v>34.690364634524585</v>
      </c>
      <c r="J292" s="115">
        <f t="shared" si="85"/>
        <v>268.97831577004973</v>
      </c>
      <c r="K292" s="115">
        <f t="shared" si="86"/>
        <v>38.676785785477428</v>
      </c>
      <c r="L292" s="115">
        <f t="shared" si="87"/>
        <v>237.77934020060701</v>
      </c>
      <c r="M292" s="115">
        <f t="shared" si="88"/>
        <v>286.05961031184717</v>
      </c>
      <c r="N292" s="115">
        <f t="shared" si="89"/>
        <v>308.91239493282103</v>
      </c>
      <c r="O292" s="115">
        <f t="shared" si="90"/>
        <v>261.95752103702222</v>
      </c>
      <c r="P292" s="115">
        <f t="shared" si="91"/>
        <v>289.12563744632416</v>
      </c>
      <c r="Q292" s="115">
        <f t="shared" si="92"/>
        <v>34.714609000159875</v>
      </c>
    </row>
    <row r="293" spans="1:17" x14ac:dyDescent="0.25">
      <c r="A293" s="114">
        <f t="shared" si="77"/>
        <v>44574</v>
      </c>
      <c r="B293">
        <f t="shared" si="79"/>
        <v>5.5</v>
      </c>
      <c r="C293" s="109">
        <f t="shared" si="80"/>
        <v>19.066666666666666</v>
      </c>
      <c r="D293" s="109">
        <f t="shared" si="81"/>
        <v>72.86666666666666</v>
      </c>
      <c r="E293" s="107">
        <f t="shared" si="82"/>
        <v>44574.375</v>
      </c>
      <c r="F293" s="106">
        <f t="shared" si="78"/>
        <v>44574.301717012808</v>
      </c>
      <c r="G293" t="str">
        <f t="shared" si="83"/>
        <v>Thursday</v>
      </c>
      <c r="H293" s="129">
        <v>0.60416666666665497</v>
      </c>
      <c r="I293" s="115">
        <f t="shared" si="84"/>
        <v>36.003117848809765</v>
      </c>
      <c r="J293" s="115">
        <f t="shared" si="85"/>
        <v>268.98185224905637</v>
      </c>
      <c r="K293" s="115">
        <f t="shared" si="86"/>
        <v>38.717672925526045</v>
      </c>
      <c r="L293" s="115">
        <f t="shared" si="87"/>
        <v>237.78183435347549</v>
      </c>
      <c r="M293" s="115">
        <f t="shared" si="88"/>
        <v>286.06032889839668</v>
      </c>
      <c r="N293" s="115">
        <f t="shared" si="89"/>
        <v>308.9131323737808</v>
      </c>
      <c r="O293" s="115">
        <f t="shared" si="90"/>
        <v>261.95553308696094</v>
      </c>
      <c r="P293" s="115">
        <f t="shared" si="91"/>
        <v>289.1260366782173</v>
      </c>
      <c r="Q293" s="115">
        <f t="shared" si="92"/>
        <v>34.714425000207036</v>
      </c>
    </row>
    <row r="294" spans="1:17" x14ac:dyDescent="0.25">
      <c r="A294" s="114">
        <f t="shared" si="77"/>
        <v>44574</v>
      </c>
      <c r="B294">
        <f t="shared" si="79"/>
        <v>5.5</v>
      </c>
      <c r="C294" s="109">
        <f t="shared" si="80"/>
        <v>19.066666666666666</v>
      </c>
      <c r="D294" s="109">
        <f t="shared" si="81"/>
        <v>72.86666666666666</v>
      </c>
      <c r="E294" s="107">
        <f t="shared" si="82"/>
        <v>44574.378472222226</v>
      </c>
      <c r="F294" s="106">
        <f t="shared" si="78"/>
        <v>44574.301717012808</v>
      </c>
      <c r="G294" t="str">
        <f t="shared" si="83"/>
        <v>Thursday</v>
      </c>
      <c r="H294" s="129">
        <v>0.60763888888887696</v>
      </c>
      <c r="I294" s="115">
        <f t="shared" si="84"/>
        <v>37.306937224931985</v>
      </c>
      <c r="J294" s="115">
        <f t="shared" si="85"/>
        <v>268.9853887261886</v>
      </c>
      <c r="K294" s="115">
        <f t="shared" si="86"/>
        <v>38.758559695962482</v>
      </c>
      <c r="L294" s="115">
        <f t="shared" si="87"/>
        <v>237.78432851372551</v>
      </c>
      <c r="M294" s="115">
        <f t="shared" si="88"/>
        <v>286.06104531234718</v>
      </c>
      <c r="N294" s="115">
        <f t="shared" si="89"/>
        <v>308.91386982931067</v>
      </c>
      <c r="O294" s="115">
        <f t="shared" si="90"/>
        <v>261.9535453564377</v>
      </c>
      <c r="P294" s="115">
        <f t="shared" si="91"/>
        <v>289.12643591595429</v>
      </c>
      <c r="Q294" s="115">
        <f t="shared" si="92"/>
        <v>34.714241000270697</v>
      </c>
    </row>
    <row r="295" spans="1:17" x14ac:dyDescent="0.25">
      <c r="A295" s="114">
        <f t="shared" si="77"/>
        <v>44574</v>
      </c>
      <c r="B295">
        <f t="shared" si="79"/>
        <v>5.5</v>
      </c>
      <c r="C295" s="109">
        <f t="shared" si="80"/>
        <v>19.066666666666666</v>
      </c>
      <c r="D295" s="109">
        <f t="shared" si="81"/>
        <v>72.86666666666666</v>
      </c>
      <c r="E295" s="107">
        <f t="shared" si="82"/>
        <v>44574.381944444445</v>
      </c>
      <c r="F295" s="106">
        <f t="shared" si="78"/>
        <v>44574.301717012808</v>
      </c>
      <c r="G295" t="str">
        <f t="shared" si="83"/>
        <v>Thursday</v>
      </c>
      <c r="H295" s="129">
        <v>0.61111111111109895</v>
      </c>
      <c r="I295" s="115">
        <f t="shared" si="84"/>
        <v>38.601988470255328</v>
      </c>
      <c r="J295" s="115">
        <f t="shared" si="85"/>
        <v>268.98892520188321</v>
      </c>
      <c r="K295" s="115">
        <f t="shared" si="86"/>
        <v>38.799446105210578</v>
      </c>
      <c r="L295" s="115">
        <f t="shared" si="87"/>
        <v>237.78682268158229</v>
      </c>
      <c r="M295" s="115">
        <f t="shared" si="88"/>
        <v>286.06175955328297</v>
      </c>
      <c r="N295" s="115">
        <f t="shared" si="89"/>
        <v>308.91460729934926</v>
      </c>
      <c r="O295" s="115">
        <f t="shared" si="90"/>
        <v>261.95155784505931</v>
      </c>
      <c r="P295" s="115">
        <f t="shared" si="91"/>
        <v>289.12683515913955</v>
      </c>
      <c r="Q295" s="115">
        <f t="shared" si="92"/>
        <v>34.714057000268177</v>
      </c>
    </row>
    <row r="296" spans="1:17" x14ac:dyDescent="0.25">
      <c r="A296" s="114">
        <f t="shared" ref="A296:A305" si="93">A295</f>
        <v>44574</v>
      </c>
      <c r="B296">
        <f t="shared" si="79"/>
        <v>5.5</v>
      </c>
      <c r="C296" s="109">
        <f t="shared" si="80"/>
        <v>19.066666666666666</v>
      </c>
      <c r="D296" s="109">
        <f t="shared" si="81"/>
        <v>72.86666666666666</v>
      </c>
      <c r="E296" s="107">
        <f t="shared" si="82"/>
        <v>44574.385416666672</v>
      </c>
      <c r="F296" s="106">
        <f t="shared" si="78"/>
        <v>44574.301717012808</v>
      </c>
      <c r="G296" t="str">
        <f t="shared" si="83"/>
        <v>Thursday</v>
      </c>
      <c r="H296" s="129">
        <v>0.61458333333332105</v>
      </c>
      <c r="I296" s="115">
        <f t="shared" si="84"/>
        <v>39.888445132319177</v>
      </c>
      <c r="J296" s="115">
        <f t="shared" si="85"/>
        <v>268.99246167535455</v>
      </c>
      <c r="K296" s="115">
        <f t="shared" si="86"/>
        <v>38.840332145343531</v>
      </c>
      <c r="L296" s="115">
        <f t="shared" si="87"/>
        <v>237.78931685672978</v>
      </c>
      <c r="M296" s="115">
        <f t="shared" si="88"/>
        <v>286.0624716207401</v>
      </c>
      <c r="N296" s="115">
        <f t="shared" si="89"/>
        <v>308.91534478360728</v>
      </c>
      <c r="O296" s="115">
        <f t="shared" si="90"/>
        <v>261.94957055383395</v>
      </c>
      <c r="P296" s="115">
        <f t="shared" si="91"/>
        <v>289.1272344071599</v>
      </c>
      <c r="Q296" s="115">
        <f t="shared" si="92"/>
        <v>34.713873000315346</v>
      </c>
    </row>
    <row r="297" spans="1:17" x14ac:dyDescent="0.25">
      <c r="A297" s="114">
        <f t="shared" si="93"/>
        <v>44574</v>
      </c>
      <c r="B297">
        <f t="shared" si="79"/>
        <v>5.5</v>
      </c>
      <c r="C297" s="109">
        <f t="shared" si="80"/>
        <v>19.066666666666666</v>
      </c>
      <c r="D297" s="109">
        <f t="shared" si="81"/>
        <v>72.86666666666666</v>
      </c>
      <c r="E297" s="107">
        <f t="shared" si="82"/>
        <v>44574.388888888891</v>
      </c>
      <c r="F297" s="106">
        <f t="shared" si="78"/>
        <v>44574.301717012808</v>
      </c>
      <c r="G297" t="str">
        <f t="shared" si="83"/>
        <v>Thursday</v>
      </c>
      <c r="H297" s="129">
        <v>0.61805555555554303</v>
      </c>
      <c r="I297" s="115">
        <f t="shared" si="84"/>
        <v>41.166489007111323</v>
      </c>
      <c r="J297" s="115">
        <f t="shared" si="85"/>
        <v>268.99599814722217</v>
      </c>
      <c r="K297" s="115">
        <f t="shared" si="86"/>
        <v>38.881217830271652</v>
      </c>
      <c r="L297" s="115">
        <f t="shared" si="87"/>
        <v>237.79181103936079</v>
      </c>
      <c r="M297" s="115">
        <f t="shared" si="88"/>
        <v>286.06318151414962</v>
      </c>
      <c r="N297" s="115">
        <f t="shared" si="89"/>
        <v>308.91608228232059</v>
      </c>
      <c r="O297" s="115">
        <f t="shared" si="90"/>
        <v>261.94758348216806</v>
      </c>
      <c r="P297" s="115">
        <f t="shared" si="91"/>
        <v>289.12763365994363</v>
      </c>
      <c r="Q297" s="115">
        <f t="shared" si="92"/>
        <v>34.713689000345965</v>
      </c>
    </row>
    <row r="298" spans="1:17" x14ac:dyDescent="0.25">
      <c r="A298" s="114">
        <f t="shared" si="93"/>
        <v>44574</v>
      </c>
      <c r="B298">
        <f t="shared" si="79"/>
        <v>5.5</v>
      </c>
      <c r="C298" s="109">
        <f t="shared" si="80"/>
        <v>19.066666666666666</v>
      </c>
      <c r="D298" s="109">
        <f t="shared" si="81"/>
        <v>72.86666666666666</v>
      </c>
      <c r="E298" s="107">
        <f t="shared" si="82"/>
        <v>44574.392361111117</v>
      </c>
      <c r="F298" s="106">
        <f t="shared" si="78"/>
        <v>44574.301717012808</v>
      </c>
      <c r="G298" t="str">
        <f t="shared" si="83"/>
        <v>Thursday</v>
      </c>
      <c r="H298" s="129">
        <v>0.62152777777776502</v>
      </c>
      <c r="I298" s="115">
        <f t="shared" si="84"/>
        <v>42.436307984994663</v>
      </c>
      <c r="J298" s="115">
        <f t="shared" si="85"/>
        <v>268.99953461671129</v>
      </c>
      <c r="K298" s="115">
        <f t="shared" si="86"/>
        <v>38.922103151966247</v>
      </c>
      <c r="L298" s="115">
        <f t="shared" si="87"/>
        <v>237.79430522875936</v>
      </c>
      <c r="M298" s="115">
        <f t="shared" si="88"/>
        <v>286.06388923306883</v>
      </c>
      <c r="N298" s="115">
        <f t="shared" si="89"/>
        <v>308.91681979547633</v>
      </c>
      <c r="O298" s="115">
        <f t="shared" si="90"/>
        <v>261.94559663098119</v>
      </c>
      <c r="P298" s="115">
        <f t="shared" si="91"/>
        <v>289.128032918261</v>
      </c>
      <c r="Q298" s="115">
        <f t="shared" si="92"/>
        <v>34.713505000376571</v>
      </c>
    </row>
    <row r="299" spans="1:17" x14ac:dyDescent="0.25">
      <c r="A299" s="114">
        <f t="shared" si="93"/>
        <v>44574</v>
      </c>
      <c r="B299">
        <f t="shared" si="79"/>
        <v>5.5</v>
      </c>
      <c r="C299" s="109">
        <f t="shared" si="80"/>
        <v>19.066666666666666</v>
      </c>
      <c r="D299" s="109">
        <f t="shared" si="81"/>
        <v>72.86666666666666</v>
      </c>
      <c r="E299" s="107">
        <f t="shared" si="82"/>
        <v>44574.395833333336</v>
      </c>
      <c r="F299" s="106">
        <f t="shared" si="78"/>
        <v>44574.301717012808</v>
      </c>
      <c r="G299" t="str">
        <f t="shared" si="83"/>
        <v>Thursday</v>
      </c>
      <c r="H299" s="129">
        <v>0.62499999999998701</v>
      </c>
      <c r="I299" s="115">
        <f t="shared" si="84"/>
        <v>43.698096684933063</v>
      </c>
      <c r="J299" s="115">
        <f t="shared" si="85"/>
        <v>269.00307108485566</v>
      </c>
      <c r="K299" s="115">
        <f t="shared" si="86"/>
        <v>38.962988124364905</v>
      </c>
      <c r="L299" s="115">
        <f t="shared" si="87"/>
        <v>237.7967994261642</v>
      </c>
      <c r="M299" s="115">
        <f t="shared" si="88"/>
        <v>286.06459477717516</v>
      </c>
      <c r="N299" s="115">
        <f t="shared" si="89"/>
        <v>308.91755732279262</v>
      </c>
      <c r="O299" s="115">
        <f t="shared" si="90"/>
        <v>261.94360999959366</v>
      </c>
      <c r="P299" s="115">
        <f t="shared" si="91"/>
        <v>289.12843218164846</v>
      </c>
      <c r="Q299" s="115">
        <f t="shared" si="92"/>
        <v>34.713321000407056</v>
      </c>
    </row>
    <row r="300" spans="1:17" x14ac:dyDescent="0.25">
      <c r="A300" s="114">
        <f t="shared" si="93"/>
        <v>44574</v>
      </c>
      <c r="B300">
        <f t="shared" si="79"/>
        <v>5.5</v>
      </c>
      <c r="C300" s="109">
        <f t="shared" si="80"/>
        <v>19.066666666666666</v>
      </c>
      <c r="D300" s="109">
        <f t="shared" si="81"/>
        <v>72.86666666666666</v>
      </c>
      <c r="E300" s="107">
        <f t="shared" si="82"/>
        <v>44574.399305555555</v>
      </c>
      <c r="F300" s="106">
        <f t="shared" si="78"/>
        <v>44574.301717012808</v>
      </c>
      <c r="G300" t="str">
        <f t="shared" si="83"/>
        <v>Thursday</v>
      </c>
      <c r="H300" s="129">
        <v>0.628472222222209</v>
      </c>
      <c r="I300" s="115">
        <f t="shared" si="84"/>
        <v>44.952054396298465</v>
      </c>
      <c r="J300" s="115">
        <f t="shared" si="85"/>
        <v>269.00660755063609</v>
      </c>
      <c r="K300" s="115">
        <f t="shared" si="86"/>
        <v>39.003872739485338</v>
      </c>
      <c r="L300" s="115">
        <f t="shared" si="87"/>
        <v>237.79929363053759</v>
      </c>
      <c r="M300" s="115">
        <f t="shared" si="88"/>
        <v>286.06529814572696</v>
      </c>
      <c r="N300" s="115">
        <f t="shared" si="89"/>
        <v>308.91829486486483</v>
      </c>
      <c r="O300" s="115">
        <f t="shared" si="90"/>
        <v>261.94162358903048</v>
      </c>
      <c r="P300" s="115">
        <f t="shared" si="91"/>
        <v>289.12883145010886</v>
      </c>
      <c r="Q300" s="115">
        <f t="shared" si="92"/>
        <v>34.713137000470837</v>
      </c>
    </row>
    <row r="301" spans="1:17" x14ac:dyDescent="0.25">
      <c r="A301" s="114">
        <f t="shared" si="93"/>
        <v>44574</v>
      </c>
      <c r="B301">
        <f t="shared" si="79"/>
        <v>5.5</v>
      </c>
      <c r="C301" s="109">
        <f t="shared" si="80"/>
        <v>19.066666666666666</v>
      </c>
      <c r="D301" s="109">
        <f t="shared" si="81"/>
        <v>72.86666666666666</v>
      </c>
      <c r="E301" s="107">
        <f t="shared" si="82"/>
        <v>44574.402777777781</v>
      </c>
      <c r="F301" s="106">
        <f t="shared" si="78"/>
        <v>44574.301717012808</v>
      </c>
      <c r="G301" t="str">
        <f t="shared" si="83"/>
        <v>Thursday</v>
      </c>
      <c r="H301" s="129">
        <v>0.63194444444443099</v>
      </c>
      <c r="I301" s="115">
        <f t="shared" si="84"/>
        <v>46.198385766867638</v>
      </c>
      <c r="J301" s="115">
        <f t="shared" si="85"/>
        <v>269.01014401499344</v>
      </c>
      <c r="K301" s="115">
        <f t="shared" si="86"/>
        <v>39.044757011236499</v>
      </c>
      <c r="L301" s="115">
        <f t="shared" si="87"/>
        <v>237.80178784255492</v>
      </c>
      <c r="M301" s="115">
        <f t="shared" si="88"/>
        <v>286.06599933852931</v>
      </c>
      <c r="N301" s="115">
        <f t="shared" si="89"/>
        <v>308.91903242106366</v>
      </c>
      <c r="O301" s="115">
        <f t="shared" si="90"/>
        <v>261.93963739858555</v>
      </c>
      <c r="P301" s="115">
        <f t="shared" si="91"/>
        <v>289.12923072397956</v>
      </c>
      <c r="Q301" s="115">
        <f t="shared" si="92"/>
        <v>34.712953000484831</v>
      </c>
    </row>
    <row r="302" spans="1:17" x14ac:dyDescent="0.25">
      <c r="A302" s="114">
        <f t="shared" si="93"/>
        <v>44574</v>
      </c>
      <c r="B302">
        <f t="shared" si="79"/>
        <v>5.5</v>
      </c>
      <c r="C302" s="109">
        <f t="shared" si="80"/>
        <v>19.066666666666666</v>
      </c>
      <c r="D302" s="109">
        <f t="shared" si="81"/>
        <v>72.86666666666666</v>
      </c>
      <c r="E302" s="107">
        <f t="shared" si="82"/>
        <v>44574.40625</v>
      </c>
      <c r="F302" s="106">
        <f t="shared" si="78"/>
        <v>44574.301717012808</v>
      </c>
      <c r="G302" t="str">
        <f t="shared" si="83"/>
        <v>Thursday</v>
      </c>
      <c r="H302" s="129">
        <v>0.63541666666665297</v>
      </c>
      <c r="I302" s="115">
        <f t="shared" si="84"/>
        <v>47.437298835277822</v>
      </c>
      <c r="J302" s="115">
        <f t="shared" si="85"/>
        <v>269.01368047705682</v>
      </c>
      <c r="K302" s="115">
        <f t="shared" si="86"/>
        <v>39.08564093163254</v>
      </c>
      <c r="L302" s="115">
        <f t="shared" si="87"/>
        <v>237.80428206170822</v>
      </c>
      <c r="M302" s="115">
        <f t="shared" si="88"/>
        <v>286.06669835486798</v>
      </c>
      <c r="N302" s="115">
        <f t="shared" si="89"/>
        <v>308.91976999166627</v>
      </c>
      <c r="O302" s="115">
        <f t="shared" si="90"/>
        <v>261.93765142926895</v>
      </c>
      <c r="P302" s="115">
        <f t="shared" si="91"/>
        <v>289.12963000254325</v>
      </c>
      <c r="Q302" s="115">
        <f t="shared" si="92"/>
        <v>34.712769000532006</v>
      </c>
    </row>
    <row r="303" spans="1:17" x14ac:dyDescent="0.25">
      <c r="A303" s="114">
        <f t="shared" si="93"/>
        <v>44574</v>
      </c>
      <c r="B303">
        <f t="shared" si="79"/>
        <v>5.5</v>
      </c>
      <c r="C303" s="109">
        <f t="shared" si="80"/>
        <v>19.066666666666666</v>
      </c>
      <c r="D303" s="109">
        <f t="shared" si="81"/>
        <v>72.86666666666666</v>
      </c>
      <c r="E303" s="107">
        <f t="shared" si="82"/>
        <v>44574.409722222226</v>
      </c>
      <c r="F303" s="106">
        <f t="shared" si="78"/>
        <v>44574.301717012808</v>
      </c>
      <c r="G303" t="str">
        <f t="shared" si="83"/>
        <v>Thursday</v>
      </c>
      <c r="H303" s="129">
        <v>0.63888888888887496</v>
      </c>
      <c r="I303" s="115">
        <f t="shared" si="84"/>
        <v>48.669005610082792</v>
      </c>
      <c r="J303" s="115">
        <f t="shared" si="85"/>
        <v>269.01721693710209</v>
      </c>
      <c r="K303" s="115">
        <f t="shared" si="86"/>
        <v>39.126524509105657</v>
      </c>
      <c r="L303" s="115">
        <f t="shared" si="87"/>
        <v>237.80677628804241</v>
      </c>
      <c r="M303" s="115">
        <f t="shared" si="88"/>
        <v>286.06739519437372</v>
      </c>
      <c r="N303" s="115">
        <f t="shared" si="89"/>
        <v>308.92050757648701</v>
      </c>
      <c r="O303" s="115">
        <f t="shared" si="90"/>
        <v>261.93566568069934</v>
      </c>
      <c r="P303" s="115">
        <f t="shared" si="91"/>
        <v>289.13002928704452</v>
      </c>
      <c r="Q303" s="115">
        <f t="shared" si="92"/>
        <v>34.712585000595737</v>
      </c>
    </row>
    <row r="304" spans="1:17" x14ac:dyDescent="0.25">
      <c r="A304" s="114">
        <f t="shared" si="93"/>
        <v>44574</v>
      </c>
      <c r="B304">
        <f t="shared" si="79"/>
        <v>5.5</v>
      </c>
      <c r="C304" s="109">
        <f t="shared" si="80"/>
        <v>19.066666666666666</v>
      </c>
      <c r="D304" s="109">
        <f t="shared" si="81"/>
        <v>72.86666666666666</v>
      </c>
      <c r="E304" s="107">
        <f t="shared" si="82"/>
        <v>44574.413194444445</v>
      </c>
      <c r="F304" s="106">
        <f t="shared" si="78"/>
        <v>44574.301717012808</v>
      </c>
      <c r="G304" t="str">
        <f t="shared" si="83"/>
        <v>Thursday</v>
      </c>
      <c r="H304" s="129">
        <v>0.64236111111109695</v>
      </c>
      <c r="I304" s="115">
        <f t="shared" si="84"/>
        <v>49.893721012385818</v>
      </c>
      <c r="J304" s="115">
        <f t="shared" si="85"/>
        <v>269.02075339578539</v>
      </c>
      <c r="K304" s="115">
        <f t="shared" si="86"/>
        <v>39.167407752109924</v>
      </c>
      <c r="L304" s="115">
        <f t="shared" si="87"/>
        <v>237.80927052207153</v>
      </c>
      <c r="M304" s="115">
        <f t="shared" si="88"/>
        <v>286.0680898566826</v>
      </c>
      <c r="N304" s="115">
        <f t="shared" si="89"/>
        <v>308.92124517611694</v>
      </c>
      <c r="O304" s="115">
        <f t="shared" si="90"/>
        <v>261.9336801530423</v>
      </c>
      <c r="P304" s="115">
        <f t="shared" si="91"/>
        <v>289.13042857642534</v>
      </c>
      <c r="Q304" s="115">
        <f t="shared" si="92"/>
        <v>34.712401000593168</v>
      </c>
    </row>
    <row r="305" spans="1:17" x14ac:dyDescent="0.25">
      <c r="A305" s="114">
        <f t="shared" si="93"/>
        <v>44574</v>
      </c>
      <c r="B305">
        <f t="shared" si="79"/>
        <v>5.5</v>
      </c>
      <c r="C305" s="109">
        <f t="shared" si="80"/>
        <v>19.066666666666666</v>
      </c>
      <c r="D305" s="109">
        <f t="shared" si="81"/>
        <v>72.86666666666666</v>
      </c>
      <c r="E305" s="107">
        <f t="shared" si="82"/>
        <v>44574.416666666672</v>
      </c>
      <c r="F305" s="106">
        <f t="shared" si="78"/>
        <v>44574.301717012808</v>
      </c>
      <c r="G305" t="str">
        <f t="shared" si="83"/>
        <v>Thursday</v>
      </c>
      <c r="H305" s="129">
        <v>0.64583333333331905</v>
      </c>
      <c r="I305" s="115">
        <f t="shared" si="84"/>
        <v>51.111661865368035</v>
      </c>
      <c r="J305" s="115">
        <f t="shared" si="85"/>
        <v>269.02428985211128</v>
      </c>
      <c r="K305" s="115">
        <f t="shared" si="86"/>
        <v>39.208290652608099</v>
      </c>
      <c r="L305" s="115">
        <f t="shared" si="87"/>
        <v>237.81176476325763</v>
      </c>
      <c r="M305" s="115">
        <f t="shared" si="88"/>
        <v>286.06878234114146</v>
      </c>
      <c r="N305" s="115">
        <f t="shared" si="89"/>
        <v>308.9219827899376</v>
      </c>
      <c r="O305" s="115">
        <f t="shared" si="90"/>
        <v>261.93169484668374</v>
      </c>
      <c r="P305" s="115">
        <f t="shared" si="91"/>
        <v>289.13082787108561</v>
      </c>
      <c r="Q305" s="115">
        <f t="shared" si="92"/>
        <v>34.712217000640386</v>
      </c>
    </row>
    <row r="306" spans="1:17" x14ac:dyDescent="0.25">
      <c r="A306" s="114">
        <f>A305+1</f>
        <v>44575</v>
      </c>
      <c r="B306">
        <f t="shared" si="79"/>
        <v>5.5</v>
      </c>
      <c r="C306" s="109">
        <f t="shared" si="80"/>
        <v>19.066666666666666</v>
      </c>
      <c r="D306" s="109">
        <f t="shared" si="81"/>
        <v>72.86666666666666</v>
      </c>
      <c r="E306" s="107">
        <f t="shared" si="82"/>
        <v>44575.15625</v>
      </c>
      <c r="F306" s="106">
        <f t="shared" si="78"/>
        <v>44575.301785097145</v>
      </c>
      <c r="G306" t="str">
        <f t="shared" si="83"/>
        <v>Friday</v>
      </c>
      <c r="H306" s="129">
        <v>0.38541666666666669</v>
      </c>
      <c r="I306" s="115">
        <f t="shared" si="84"/>
        <v>301.76735639113861</v>
      </c>
      <c r="J306" s="115">
        <f t="shared" si="85"/>
        <v>269.77751192848535</v>
      </c>
      <c r="K306" s="115">
        <f t="shared" si="86"/>
        <v>47.913342628628207</v>
      </c>
      <c r="L306" s="115">
        <f t="shared" si="87"/>
        <v>238.34320606111757</v>
      </c>
      <c r="M306" s="115">
        <f t="shared" si="88"/>
        <v>286.16591833244087</v>
      </c>
      <c r="N306" s="115">
        <f t="shared" si="89"/>
        <v>309.07942061895636</v>
      </c>
      <c r="O306" s="115">
        <f t="shared" si="90"/>
        <v>261.51412364546593</v>
      </c>
      <c r="P306" s="115">
        <f t="shared" si="91"/>
        <v>289.21599436394769</v>
      </c>
      <c r="Q306" s="115">
        <f t="shared" si="92"/>
        <v>34.673025008150965</v>
      </c>
    </row>
    <row r="307" spans="1:17" x14ac:dyDescent="0.25">
      <c r="A307" s="114">
        <f>A306</f>
        <v>44575</v>
      </c>
      <c r="B307">
        <f t="shared" si="79"/>
        <v>5.5</v>
      </c>
      <c r="C307" s="109">
        <f t="shared" si="80"/>
        <v>19.066666666666666</v>
      </c>
      <c r="D307" s="109">
        <f t="shared" si="81"/>
        <v>72.86666666666666</v>
      </c>
      <c r="E307" s="107">
        <f t="shared" si="82"/>
        <v>44575.159722222226</v>
      </c>
      <c r="F307" s="106">
        <f t="shared" si="78"/>
        <v>44575.301785097145</v>
      </c>
      <c r="G307" t="str">
        <f t="shared" si="83"/>
        <v>Friday</v>
      </c>
      <c r="H307" s="129">
        <v>0.3888888888888889</v>
      </c>
      <c r="I307" s="115">
        <f t="shared" si="84"/>
        <v>303.26037678525915</v>
      </c>
      <c r="J307" s="115">
        <f t="shared" si="85"/>
        <v>269.78104797929524</v>
      </c>
      <c r="K307" s="115">
        <f t="shared" si="86"/>
        <v>47.95421851414411</v>
      </c>
      <c r="L307" s="115">
        <f t="shared" si="87"/>
        <v>238.34570188024489</v>
      </c>
      <c r="M307" s="115">
        <f t="shared" si="88"/>
        <v>286.16613468823221</v>
      </c>
      <c r="N307" s="115">
        <f t="shared" si="89"/>
        <v>309.08016128619118</v>
      </c>
      <c r="O307" s="115">
        <f t="shared" si="90"/>
        <v>261.51218929169852</v>
      </c>
      <c r="P307" s="115">
        <f t="shared" si="91"/>
        <v>289.21639474872495</v>
      </c>
      <c r="Q307" s="115">
        <f t="shared" si="92"/>
        <v>34.672841008181571</v>
      </c>
    </row>
    <row r="308" spans="1:17" x14ac:dyDescent="0.25">
      <c r="A308" s="114">
        <f t="shared" ref="A308:A371" si="94">A307</f>
        <v>44575</v>
      </c>
      <c r="B308">
        <f t="shared" si="79"/>
        <v>5.5</v>
      </c>
      <c r="C308" s="109">
        <f t="shared" si="80"/>
        <v>19.066666666666666</v>
      </c>
      <c r="D308" s="109">
        <f t="shared" si="81"/>
        <v>72.86666666666666</v>
      </c>
      <c r="E308" s="107">
        <f t="shared" si="82"/>
        <v>44575.163194444445</v>
      </c>
      <c r="F308" s="106">
        <f t="shared" si="78"/>
        <v>44575.301785097145</v>
      </c>
      <c r="G308" t="str">
        <f t="shared" si="83"/>
        <v>Friday</v>
      </c>
      <c r="H308" s="129">
        <v>0.39236111111111099</v>
      </c>
      <c r="I308" s="115">
        <f t="shared" si="84"/>
        <v>304.76251691912853</v>
      </c>
      <c r="J308" s="115">
        <f t="shared" si="85"/>
        <v>269.7845840286688</v>
      </c>
      <c r="K308" s="115">
        <f t="shared" si="86"/>
        <v>47.995094662758163</v>
      </c>
      <c r="L308" s="115">
        <f t="shared" si="87"/>
        <v>238.34819770702575</v>
      </c>
      <c r="M308" s="115">
        <f t="shared" si="88"/>
        <v>286.16634877567526</v>
      </c>
      <c r="N308" s="115">
        <f t="shared" si="89"/>
        <v>309.08090196758968</v>
      </c>
      <c r="O308" s="115">
        <f t="shared" si="90"/>
        <v>261.51025519255194</v>
      </c>
      <c r="P308" s="115">
        <f t="shared" si="91"/>
        <v>289.21679513879241</v>
      </c>
      <c r="Q308" s="115">
        <f t="shared" si="92"/>
        <v>34.672657008228683</v>
      </c>
    </row>
    <row r="309" spans="1:17" x14ac:dyDescent="0.25">
      <c r="A309" s="114">
        <f t="shared" si="94"/>
        <v>44575</v>
      </c>
      <c r="B309">
        <f t="shared" si="79"/>
        <v>5.5</v>
      </c>
      <c r="C309" s="109">
        <f t="shared" si="80"/>
        <v>19.066666666666666</v>
      </c>
      <c r="D309" s="109">
        <f t="shared" si="81"/>
        <v>72.86666666666666</v>
      </c>
      <c r="E309" s="107">
        <f t="shared" si="82"/>
        <v>44575.166666666672</v>
      </c>
      <c r="F309" s="106">
        <f t="shared" si="78"/>
        <v>44575.301785097145</v>
      </c>
      <c r="G309" t="str">
        <f t="shared" si="83"/>
        <v>Friday</v>
      </c>
      <c r="H309" s="129">
        <v>0.39583333333333298</v>
      </c>
      <c r="I309" s="115">
        <f t="shared" si="84"/>
        <v>306.27356193863187</v>
      </c>
      <c r="J309" s="115">
        <f t="shared" si="85"/>
        <v>269.7881200756878</v>
      </c>
      <c r="K309" s="115">
        <f t="shared" si="86"/>
        <v>48.035971066098931</v>
      </c>
      <c r="L309" s="115">
        <f t="shared" si="87"/>
        <v>238.35069354081256</v>
      </c>
      <c r="M309" s="115">
        <f t="shared" si="88"/>
        <v>286.16656059442346</v>
      </c>
      <c r="N309" s="115">
        <f t="shared" si="89"/>
        <v>309.08164266290441</v>
      </c>
      <c r="O309" s="115">
        <f t="shared" si="90"/>
        <v>261.50832134839123</v>
      </c>
      <c r="P309" s="115">
        <f t="shared" si="91"/>
        <v>289.21719553371383</v>
      </c>
      <c r="Q309" s="115">
        <f t="shared" si="92"/>
        <v>34.672473008275865</v>
      </c>
    </row>
    <row r="310" spans="1:17" x14ac:dyDescent="0.25">
      <c r="A310" s="114">
        <f t="shared" si="94"/>
        <v>44575</v>
      </c>
      <c r="B310">
        <f t="shared" si="79"/>
        <v>5.5</v>
      </c>
      <c r="C310" s="109">
        <f t="shared" si="80"/>
        <v>19.066666666666666</v>
      </c>
      <c r="D310" s="109">
        <f t="shared" si="81"/>
        <v>72.86666666666666</v>
      </c>
      <c r="E310" s="107">
        <f t="shared" si="82"/>
        <v>44575.170138888891</v>
      </c>
      <c r="F310" s="106">
        <f t="shared" si="78"/>
        <v>44575.301785097145</v>
      </c>
      <c r="G310" t="str">
        <f t="shared" si="83"/>
        <v>Friday</v>
      </c>
      <c r="H310" s="129">
        <v>0.39930555555555503</v>
      </c>
      <c r="I310" s="115">
        <f t="shared" si="84"/>
        <v>307.79327137515565</v>
      </c>
      <c r="J310" s="115">
        <f t="shared" si="85"/>
        <v>269.79165612133784</v>
      </c>
      <c r="K310" s="115">
        <f t="shared" si="86"/>
        <v>48.076847737704156</v>
      </c>
      <c r="L310" s="115">
        <f t="shared" si="87"/>
        <v>238.35318938259493</v>
      </c>
      <c r="M310" s="115">
        <f t="shared" si="88"/>
        <v>286.16677014402609</v>
      </c>
      <c r="N310" s="115">
        <f t="shared" si="89"/>
        <v>309.08238337256307</v>
      </c>
      <c r="O310" s="115">
        <f t="shared" si="90"/>
        <v>261.5063877590573</v>
      </c>
      <c r="P310" s="115">
        <f t="shared" si="91"/>
        <v>289.21759593345644</v>
      </c>
      <c r="Q310" s="115">
        <f t="shared" si="92"/>
        <v>34.672289008273303</v>
      </c>
    </row>
    <row r="311" spans="1:17" x14ac:dyDescent="0.25">
      <c r="A311" s="114">
        <f t="shared" si="94"/>
        <v>44575</v>
      </c>
      <c r="B311">
        <f t="shared" si="79"/>
        <v>5.5</v>
      </c>
      <c r="C311" s="109">
        <f t="shared" si="80"/>
        <v>19.066666666666666</v>
      </c>
      <c r="D311" s="109">
        <f t="shared" si="81"/>
        <v>72.86666666666666</v>
      </c>
      <c r="E311" s="107">
        <f t="shared" si="82"/>
        <v>44575.173611111117</v>
      </c>
      <c r="F311" s="106">
        <f t="shared" si="78"/>
        <v>44575.301785097145</v>
      </c>
      <c r="G311" t="str">
        <f t="shared" si="83"/>
        <v>Friday</v>
      </c>
      <c r="H311" s="129">
        <v>0.40277777777777801</v>
      </c>
      <c r="I311" s="115">
        <f t="shared" si="84"/>
        <v>309.3213773909531</v>
      </c>
      <c r="J311" s="115">
        <f t="shared" si="85"/>
        <v>269.79519216448898</v>
      </c>
      <c r="K311" s="115">
        <f t="shared" si="86"/>
        <v>48.117724669138511</v>
      </c>
      <c r="L311" s="115">
        <f t="shared" si="87"/>
        <v>238.35568523109723</v>
      </c>
      <c r="M311" s="115">
        <f t="shared" si="88"/>
        <v>286.16697742418</v>
      </c>
      <c r="N311" s="115">
        <f t="shared" si="89"/>
        <v>309.08312409628422</v>
      </c>
      <c r="O311" s="115">
        <f t="shared" si="90"/>
        <v>261.50445442520356</v>
      </c>
      <c r="P311" s="115">
        <f t="shared" si="91"/>
        <v>289.21799633841249</v>
      </c>
      <c r="Q311" s="115">
        <f t="shared" si="92"/>
        <v>34.672105008337041</v>
      </c>
    </row>
    <row r="312" spans="1:17" x14ac:dyDescent="0.25">
      <c r="A312" s="114">
        <f t="shared" si="94"/>
        <v>44575</v>
      </c>
      <c r="B312">
        <f t="shared" si="79"/>
        <v>5.5</v>
      </c>
      <c r="C312" s="109">
        <f t="shared" si="80"/>
        <v>19.066666666666666</v>
      </c>
      <c r="D312" s="109">
        <f t="shared" si="81"/>
        <v>72.86666666666666</v>
      </c>
      <c r="E312" s="107">
        <f t="shared" si="82"/>
        <v>44575.177083333336</v>
      </c>
      <c r="F312" s="106">
        <f t="shared" si="78"/>
        <v>44575.301785097145</v>
      </c>
      <c r="G312" t="str">
        <f t="shared" si="83"/>
        <v>Friday</v>
      </c>
      <c r="H312" s="129">
        <v>0.40625</v>
      </c>
      <c r="I312" s="115">
        <f t="shared" si="84"/>
        <v>310.85758643104043</v>
      </c>
      <c r="J312" s="115">
        <f t="shared" si="85"/>
        <v>269.79872820628577</v>
      </c>
      <c r="K312" s="115">
        <f t="shared" si="86"/>
        <v>48.158601873907656</v>
      </c>
      <c r="L312" s="115">
        <f t="shared" si="87"/>
        <v>238.3581810875061</v>
      </c>
      <c r="M312" s="115">
        <f t="shared" si="88"/>
        <v>286.16718243458592</v>
      </c>
      <c r="N312" s="115">
        <f t="shared" si="89"/>
        <v>309.0838648340586</v>
      </c>
      <c r="O312" s="115">
        <f t="shared" si="90"/>
        <v>261.50252134640976</v>
      </c>
      <c r="P312" s="115">
        <f t="shared" si="91"/>
        <v>289.21839674800117</v>
      </c>
      <c r="Q312" s="115">
        <f t="shared" si="92"/>
        <v>34.671921008351099</v>
      </c>
    </row>
    <row r="313" spans="1:17" x14ac:dyDescent="0.25">
      <c r="A313" s="114">
        <f t="shared" si="94"/>
        <v>44575</v>
      </c>
      <c r="B313">
        <f t="shared" si="79"/>
        <v>5.5</v>
      </c>
      <c r="C313" s="109">
        <f t="shared" si="80"/>
        <v>19.066666666666666</v>
      </c>
      <c r="D313" s="109">
        <f t="shared" si="81"/>
        <v>72.86666666666666</v>
      </c>
      <c r="E313" s="107">
        <f t="shared" si="82"/>
        <v>44575.180555555555</v>
      </c>
      <c r="F313" s="106">
        <f t="shared" si="78"/>
        <v>44575.301785097145</v>
      </c>
      <c r="G313" t="str">
        <f t="shared" si="83"/>
        <v>Friday</v>
      </c>
      <c r="H313" s="129">
        <v>0.40972222222222199</v>
      </c>
      <c r="I313" s="115">
        <f t="shared" si="84"/>
        <v>312.4015777516193</v>
      </c>
      <c r="J313" s="115">
        <f t="shared" si="85"/>
        <v>269.80226424570441</v>
      </c>
      <c r="K313" s="115">
        <f t="shared" si="86"/>
        <v>48.199479343718359</v>
      </c>
      <c r="L313" s="115">
        <f t="shared" si="87"/>
        <v>238.36067695093411</v>
      </c>
      <c r="M313" s="115">
        <f t="shared" si="88"/>
        <v>286.16738517472743</v>
      </c>
      <c r="N313" s="115">
        <f t="shared" si="89"/>
        <v>309.08460558600268</v>
      </c>
      <c r="O313" s="115">
        <f t="shared" si="90"/>
        <v>261.50058852334951</v>
      </c>
      <c r="P313" s="115">
        <f t="shared" si="91"/>
        <v>289.21879716343818</v>
      </c>
      <c r="Q313" s="115">
        <f t="shared" si="92"/>
        <v>34.671737008398267</v>
      </c>
    </row>
    <row r="314" spans="1:17" x14ac:dyDescent="0.25">
      <c r="A314" s="114">
        <f t="shared" si="94"/>
        <v>44575</v>
      </c>
      <c r="B314">
        <f t="shared" si="79"/>
        <v>5.5</v>
      </c>
      <c r="C314" s="109">
        <f t="shared" si="80"/>
        <v>19.066666666666666</v>
      </c>
      <c r="D314" s="109">
        <f t="shared" si="81"/>
        <v>72.86666666666666</v>
      </c>
      <c r="E314" s="107">
        <f t="shared" si="82"/>
        <v>44575.184027777781</v>
      </c>
      <c r="F314" s="106">
        <f t="shared" si="78"/>
        <v>44575.301785097145</v>
      </c>
      <c r="G314" t="str">
        <f t="shared" si="83"/>
        <v>Friday</v>
      </c>
      <c r="H314" s="129">
        <v>0.41319444444444398</v>
      </c>
      <c r="I314" s="115">
        <f t="shared" si="84"/>
        <v>313.95300540832602</v>
      </c>
      <c r="J314" s="115">
        <f t="shared" si="85"/>
        <v>269.80580028370304</v>
      </c>
      <c r="K314" s="115">
        <f t="shared" si="86"/>
        <v>48.240357091980336</v>
      </c>
      <c r="L314" s="115">
        <f t="shared" si="87"/>
        <v>238.36317282206963</v>
      </c>
      <c r="M314" s="115">
        <f t="shared" si="88"/>
        <v>286.16758564433684</v>
      </c>
      <c r="N314" s="115">
        <f t="shared" si="89"/>
        <v>309.08534635237709</v>
      </c>
      <c r="O314" s="115">
        <f t="shared" si="90"/>
        <v>261.49865595575727</v>
      </c>
      <c r="P314" s="115">
        <f t="shared" si="91"/>
        <v>289.21919758323827</v>
      </c>
      <c r="Q314" s="115">
        <f t="shared" si="92"/>
        <v>34.671553008412282</v>
      </c>
    </row>
    <row r="315" spans="1:17" x14ac:dyDescent="0.25">
      <c r="A315" s="114">
        <f t="shared" si="94"/>
        <v>44575</v>
      </c>
      <c r="B315">
        <f t="shared" si="79"/>
        <v>5.5</v>
      </c>
      <c r="C315" s="109">
        <f t="shared" si="80"/>
        <v>19.066666666666666</v>
      </c>
      <c r="D315" s="109">
        <f t="shared" si="81"/>
        <v>72.86666666666666</v>
      </c>
      <c r="E315" s="107">
        <f t="shared" si="82"/>
        <v>44575.1875</v>
      </c>
      <c r="F315" s="106">
        <f t="shared" si="78"/>
        <v>44575.301785097145</v>
      </c>
      <c r="G315" t="str">
        <f t="shared" si="83"/>
        <v>Friday</v>
      </c>
      <c r="H315" s="129">
        <v>0.41666666666666702</v>
      </c>
      <c r="I315" s="115">
        <f t="shared" si="84"/>
        <v>315.51149710076606</v>
      </c>
      <c r="J315" s="115">
        <f t="shared" si="85"/>
        <v>269.80933631934283</v>
      </c>
      <c r="K315" s="115">
        <f t="shared" si="86"/>
        <v>48.28123511035929</v>
      </c>
      <c r="L315" s="115">
        <f t="shared" si="87"/>
        <v>238.36566870030802</v>
      </c>
      <c r="M315" s="115">
        <f t="shared" si="88"/>
        <v>286.16778384306815</v>
      </c>
      <c r="N315" s="115">
        <f t="shared" si="89"/>
        <v>309.08608713245485</v>
      </c>
      <c r="O315" s="115">
        <f t="shared" si="90"/>
        <v>261.4967236440649</v>
      </c>
      <c r="P315" s="115">
        <f t="shared" si="91"/>
        <v>289.21959800794082</v>
      </c>
      <c r="Q315" s="115">
        <f t="shared" si="92"/>
        <v>34.671369008459436</v>
      </c>
    </row>
    <row r="316" spans="1:17" x14ac:dyDescent="0.25">
      <c r="A316" s="114">
        <f t="shared" si="94"/>
        <v>44575</v>
      </c>
      <c r="B316">
        <f t="shared" si="79"/>
        <v>5.5</v>
      </c>
      <c r="C316" s="109">
        <f t="shared" si="80"/>
        <v>19.066666666666666</v>
      </c>
      <c r="D316" s="109">
        <f t="shared" si="81"/>
        <v>72.86666666666666</v>
      </c>
      <c r="E316" s="107">
        <f t="shared" si="82"/>
        <v>44575.190972222226</v>
      </c>
      <c r="F316" s="106">
        <f t="shared" si="78"/>
        <v>44575.301785097145</v>
      </c>
      <c r="G316" t="str">
        <f t="shared" si="83"/>
        <v>Friday</v>
      </c>
      <c r="H316" s="129">
        <v>0.42013888888888901</v>
      </c>
      <c r="I316" s="115">
        <f t="shared" si="84"/>
        <v>317.07665631070603</v>
      </c>
      <c r="J316" s="115">
        <f t="shared" si="85"/>
        <v>269.81287235319331</v>
      </c>
      <c r="K316" s="115">
        <f t="shared" si="86"/>
        <v>48.322113406871232</v>
      </c>
      <c r="L316" s="115">
        <f t="shared" si="87"/>
        <v>238.36816458613586</v>
      </c>
      <c r="M316" s="115">
        <f t="shared" si="88"/>
        <v>286.16797977050544</v>
      </c>
      <c r="N316" s="115">
        <f t="shared" si="89"/>
        <v>309.08682792695845</v>
      </c>
      <c r="O316" s="115">
        <f t="shared" si="90"/>
        <v>261.49479158840961</v>
      </c>
      <c r="P316" s="115">
        <f t="shared" si="91"/>
        <v>289.2199984378953</v>
      </c>
      <c r="Q316" s="115">
        <f t="shared" si="92"/>
        <v>34.671185008523175</v>
      </c>
    </row>
    <row r="317" spans="1:17" x14ac:dyDescent="0.25">
      <c r="A317" s="114">
        <f t="shared" si="94"/>
        <v>44575</v>
      </c>
      <c r="B317">
        <f t="shared" si="79"/>
        <v>5.5</v>
      </c>
      <c r="C317" s="109">
        <f t="shared" si="80"/>
        <v>19.066666666666666</v>
      </c>
      <c r="D317" s="109">
        <f t="shared" si="81"/>
        <v>72.86666666666666</v>
      </c>
      <c r="E317" s="107">
        <f t="shared" si="82"/>
        <v>44575.194444444445</v>
      </c>
      <c r="F317" s="106">
        <f t="shared" si="78"/>
        <v>44575.301785097145</v>
      </c>
      <c r="G317" t="str">
        <f t="shared" si="83"/>
        <v>Friday</v>
      </c>
      <c r="H317" s="129">
        <v>0.42361111111111099</v>
      </c>
      <c r="I317" s="115">
        <f t="shared" si="84"/>
        <v>318.64806253792375</v>
      </c>
      <c r="J317" s="115">
        <f t="shared" si="85"/>
        <v>269.81640838537044</v>
      </c>
      <c r="K317" s="115">
        <f t="shared" si="86"/>
        <v>48.362991989541236</v>
      </c>
      <c r="L317" s="115">
        <f t="shared" si="87"/>
        <v>238.37066047926476</v>
      </c>
      <c r="M317" s="115">
        <f t="shared" si="88"/>
        <v>286.16817342622335</v>
      </c>
      <c r="N317" s="115">
        <f t="shared" si="89"/>
        <v>309.08756873552039</v>
      </c>
      <c r="O317" s="115">
        <f t="shared" si="90"/>
        <v>261.49285978851839</v>
      </c>
      <c r="P317" s="115">
        <f t="shared" si="91"/>
        <v>289.22039887281744</v>
      </c>
      <c r="Q317" s="115">
        <f t="shared" si="92"/>
        <v>34.671001008520683</v>
      </c>
    </row>
    <row r="318" spans="1:17" x14ac:dyDescent="0.25">
      <c r="A318" s="114">
        <f t="shared" si="94"/>
        <v>44575</v>
      </c>
      <c r="B318">
        <f t="shared" si="79"/>
        <v>5.5</v>
      </c>
      <c r="C318" s="109">
        <f t="shared" si="80"/>
        <v>19.066666666666666</v>
      </c>
      <c r="D318" s="109">
        <f t="shared" si="81"/>
        <v>72.86666666666666</v>
      </c>
      <c r="E318" s="107">
        <f t="shared" si="82"/>
        <v>44575.197916666672</v>
      </c>
      <c r="F318" s="106">
        <f t="shared" si="78"/>
        <v>44575.301785097145</v>
      </c>
      <c r="G318" t="str">
        <f t="shared" si="83"/>
        <v>Friday</v>
      </c>
      <c r="H318" s="129">
        <v>0.42708333333333298</v>
      </c>
      <c r="I318" s="115">
        <f t="shared" si="84"/>
        <v>320.22527169834945</v>
      </c>
      <c r="J318" s="115">
        <f t="shared" si="85"/>
        <v>269.81994441578877</v>
      </c>
      <c r="K318" s="115">
        <f t="shared" si="86"/>
        <v>48.403870855450322</v>
      </c>
      <c r="L318" s="115">
        <f t="shared" si="87"/>
        <v>238.37315638002966</v>
      </c>
      <c r="M318" s="115">
        <f t="shared" si="88"/>
        <v>286.16836481004935</v>
      </c>
      <c r="N318" s="115">
        <f t="shared" si="89"/>
        <v>309.08830955831417</v>
      </c>
      <c r="O318" s="115">
        <f t="shared" si="90"/>
        <v>261.49092824491913</v>
      </c>
      <c r="P318" s="115">
        <f t="shared" si="91"/>
        <v>289.22079931237823</v>
      </c>
      <c r="Q318" s="115">
        <f t="shared" si="92"/>
        <v>34.670817008551296</v>
      </c>
    </row>
    <row r="319" spans="1:17" x14ac:dyDescent="0.25">
      <c r="A319" s="114">
        <f t="shared" si="94"/>
        <v>44575</v>
      </c>
      <c r="B319">
        <f t="shared" si="79"/>
        <v>5.5</v>
      </c>
      <c r="C319" s="109">
        <f t="shared" si="80"/>
        <v>19.066666666666666</v>
      </c>
      <c r="D319" s="109">
        <f t="shared" si="81"/>
        <v>72.86666666666666</v>
      </c>
      <c r="E319" s="107">
        <f t="shared" si="82"/>
        <v>44575.201388888891</v>
      </c>
      <c r="F319" s="106">
        <f t="shared" si="78"/>
        <v>44575.301785097145</v>
      </c>
      <c r="G319" t="str">
        <f t="shared" si="83"/>
        <v>Friday</v>
      </c>
      <c r="H319" s="129">
        <v>0.43055555555555503</v>
      </c>
      <c r="I319" s="115">
        <f t="shared" si="84"/>
        <v>321.80781881849344</v>
      </c>
      <c r="J319" s="115">
        <f t="shared" si="85"/>
        <v>269.82348044430864</v>
      </c>
      <c r="K319" s="115">
        <f t="shared" si="86"/>
        <v>48.444750007170335</v>
      </c>
      <c r="L319" s="115">
        <f t="shared" si="87"/>
        <v>238.37565228809805</v>
      </c>
      <c r="M319" s="115">
        <f t="shared" si="88"/>
        <v>286.16855392146169</v>
      </c>
      <c r="N319" s="115">
        <f t="shared" si="89"/>
        <v>309.08905039513996</v>
      </c>
      <c r="O319" s="115">
        <f t="shared" si="90"/>
        <v>261.4889969578058</v>
      </c>
      <c r="P319" s="115">
        <f t="shared" si="91"/>
        <v>289.22119975740395</v>
      </c>
      <c r="Q319" s="115">
        <f t="shared" si="92"/>
        <v>34.670633008565247</v>
      </c>
    </row>
    <row r="320" spans="1:17" x14ac:dyDescent="0.25">
      <c r="A320" s="114">
        <f t="shared" si="94"/>
        <v>44575</v>
      </c>
      <c r="B320">
        <f t="shared" si="79"/>
        <v>5.5</v>
      </c>
      <c r="C320" s="109">
        <f t="shared" si="80"/>
        <v>19.066666666666666</v>
      </c>
      <c r="D320" s="109">
        <f t="shared" si="81"/>
        <v>72.86666666666666</v>
      </c>
      <c r="E320" s="107">
        <f t="shared" si="82"/>
        <v>44575.204861111117</v>
      </c>
      <c r="F320" s="106">
        <f t="shared" si="78"/>
        <v>44575.301785097145</v>
      </c>
      <c r="G320" t="str">
        <f t="shared" si="83"/>
        <v>Friday</v>
      </c>
      <c r="H320" s="129">
        <v>0.43402777777777801</v>
      </c>
      <c r="I320" s="115">
        <f t="shared" si="84"/>
        <v>323.39521772519947</v>
      </c>
      <c r="J320" s="115">
        <f t="shared" si="85"/>
        <v>269.82701647045394</v>
      </c>
      <c r="K320" s="115">
        <f t="shared" si="86"/>
        <v>48.485629441756082</v>
      </c>
      <c r="L320" s="115">
        <f t="shared" si="87"/>
        <v>238.37814820330999</v>
      </c>
      <c r="M320" s="115">
        <f t="shared" si="88"/>
        <v>286.16874076012715</v>
      </c>
      <c r="N320" s="115">
        <f t="shared" si="89"/>
        <v>309.08979124611551</v>
      </c>
      <c r="O320" s="115">
        <f t="shared" si="90"/>
        <v>261.48706592732788</v>
      </c>
      <c r="P320" s="115">
        <f t="shared" si="91"/>
        <v>289.22160020723442</v>
      </c>
      <c r="Q320" s="115">
        <f t="shared" si="92"/>
        <v>34.670449008629028</v>
      </c>
    </row>
    <row r="321" spans="1:17" x14ac:dyDescent="0.25">
      <c r="A321" s="114">
        <f t="shared" si="94"/>
        <v>44575</v>
      </c>
      <c r="B321">
        <f t="shared" si="79"/>
        <v>5.5</v>
      </c>
      <c r="C321" s="109">
        <f t="shared" si="80"/>
        <v>19.066666666666666</v>
      </c>
      <c r="D321" s="109">
        <f t="shared" si="81"/>
        <v>72.86666666666666</v>
      </c>
      <c r="E321" s="107">
        <f t="shared" si="82"/>
        <v>44575.208333333336</v>
      </c>
      <c r="F321" s="106">
        <f t="shared" si="78"/>
        <v>44575.301785097145</v>
      </c>
      <c r="G321" t="str">
        <f t="shared" si="83"/>
        <v>Friday</v>
      </c>
      <c r="H321" s="129">
        <v>0.4375</v>
      </c>
      <c r="I321" s="115">
        <f t="shared" si="84"/>
        <v>324.98696430138847</v>
      </c>
      <c r="J321" s="115">
        <f t="shared" si="85"/>
        <v>269.8305524951686</v>
      </c>
      <c r="K321" s="115">
        <f t="shared" si="86"/>
        <v>48.526509172706191</v>
      </c>
      <c r="L321" s="115">
        <f t="shared" si="87"/>
        <v>238.38064412622674</v>
      </c>
      <c r="M321" s="115">
        <f t="shared" si="88"/>
        <v>286.16892532569875</v>
      </c>
      <c r="N321" s="115">
        <f t="shared" si="89"/>
        <v>309.09053211127878</v>
      </c>
      <c r="O321" s="115">
        <f t="shared" si="90"/>
        <v>261.48513515344723</v>
      </c>
      <c r="P321" s="115">
        <f t="shared" si="91"/>
        <v>289.22200066224838</v>
      </c>
      <c r="Q321" s="115">
        <f t="shared" si="92"/>
        <v>34.670265008659605</v>
      </c>
    </row>
    <row r="322" spans="1:17" x14ac:dyDescent="0.25">
      <c r="A322" s="114">
        <f t="shared" si="94"/>
        <v>44575</v>
      </c>
      <c r="B322">
        <f t="shared" si="79"/>
        <v>5.5</v>
      </c>
      <c r="C322" s="109">
        <f t="shared" si="80"/>
        <v>19.066666666666666</v>
      </c>
      <c r="D322" s="109">
        <f t="shared" si="81"/>
        <v>72.86666666666666</v>
      </c>
      <c r="E322" s="107">
        <f t="shared" si="82"/>
        <v>44575.211805555555</v>
      </c>
      <c r="F322" s="106">
        <f t="shared" si="78"/>
        <v>44575.301785097145</v>
      </c>
      <c r="G322" t="str">
        <f t="shared" si="83"/>
        <v>Friday</v>
      </c>
      <c r="H322" s="129">
        <v>0.44097222222222199</v>
      </c>
      <c r="I322" s="115">
        <f t="shared" si="84"/>
        <v>326.58253649026358</v>
      </c>
      <c r="J322" s="115">
        <f t="shared" si="85"/>
        <v>269.83408851764119</v>
      </c>
      <c r="K322" s="115">
        <f t="shared" si="86"/>
        <v>48.567389191601904</v>
      </c>
      <c r="L322" s="115">
        <f t="shared" si="87"/>
        <v>238.38314005637503</v>
      </c>
      <c r="M322" s="115">
        <f t="shared" si="88"/>
        <v>286.16910761785317</v>
      </c>
      <c r="N322" s="115">
        <f t="shared" si="89"/>
        <v>309.09127299060191</v>
      </c>
      <c r="O322" s="115">
        <f t="shared" si="90"/>
        <v>261.48320463654517</v>
      </c>
      <c r="P322" s="115">
        <f t="shared" si="91"/>
        <v>289.22240112233828</v>
      </c>
      <c r="Q322" s="115">
        <f t="shared" si="92"/>
        <v>34.670081008706767</v>
      </c>
    </row>
    <row r="323" spans="1:17" x14ac:dyDescent="0.25">
      <c r="A323" s="114">
        <f t="shared" si="94"/>
        <v>44575</v>
      </c>
      <c r="B323">
        <f t="shared" si="79"/>
        <v>5.5</v>
      </c>
      <c r="C323" s="109">
        <f t="shared" si="80"/>
        <v>19.066666666666666</v>
      </c>
      <c r="D323" s="109">
        <f t="shared" si="81"/>
        <v>72.86666666666666</v>
      </c>
      <c r="E323" s="107">
        <f t="shared" si="82"/>
        <v>44575.215277777781</v>
      </c>
      <c r="F323" s="106">
        <f t="shared" ref="F323:F386" si="95">sunrise(C323,D323,E323)+B323/24</f>
        <v>44575.301785097145</v>
      </c>
      <c r="G323" t="str">
        <f t="shared" si="83"/>
        <v>Friday</v>
      </c>
      <c r="H323" s="129">
        <v>0.44444444444444398</v>
      </c>
      <c r="I323" s="115">
        <f t="shared" si="84"/>
        <v>328.18139786664625</v>
      </c>
      <c r="J323" s="115">
        <f t="shared" si="85"/>
        <v>269.83762453845418</v>
      </c>
      <c r="K323" s="115">
        <f t="shared" si="86"/>
        <v>48.608269511908375</v>
      </c>
      <c r="L323" s="115">
        <f t="shared" si="87"/>
        <v>238.38563599391941</v>
      </c>
      <c r="M323" s="115">
        <f t="shared" si="88"/>
        <v>286.16928763619853</v>
      </c>
      <c r="N323" s="115">
        <f t="shared" si="89"/>
        <v>309.09201388404574</v>
      </c>
      <c r="O323" s="115">
        <f t="shared" si="90"/>
        <v>261.48127437642131</v>
      </c>
      <c r="P323" s="115">
        <f t="shared" si="91"/>
        <v>289.22280158727301</v>
      </c>
      <c r="Q323" s="115">
        <f t="shared" si="92"/>
        <v>34.669897008704261</v>
      </c>
    </row>
    <row r="324" spans="1:17" x14ac:dyDescent="0.25">
      <c r="A324" s="114">
        <f t="shared" si="94"/>
        <v>44575</v>
      </c>
      <c r="B324">
        <f t="shared" ref="B324:B382" si="96">B323</f>
        <v>5.5</v>
      </c>
      <c r="C324" s="109">
        <f t="shared" ref="C324:C382" si="97">C323</f>
        <v>19.066666666666666</v>
      </c>
      <c r="D324" s="109">
        <f t="shared" ref="D324:D382" si="98">D323</f>
        <v>72.86666666666666</v>
      </c>
      <c r="E324" s="107">
        <f t="shared" ref="E324:E382" si="99">A324+H324-B324/24</f>
        <v>44575.21875</v>
      </c>
      <c r="F324" s="106">
        <f t="shared" si="95"/>
        <v>44575.301785097145</v>
      </c>
      <c r="G324" t="str">
        <f t="shared" ref="G324:G382" si="100">CHOOSE(WEEKDAY(E324),"Sunday","Monday","Tuesday","Wednesday","Thursday","Friday","Saturday")</f>
        <v>Friday</v>
      </c>
      <c r="H324" s="129">
        <v>0.44791666666666602</v>
      </c>
      <c r="I324" s="115">
        <f t="shared" si="84"/>
        <v>329.78299791374224</v>
      </c>
      <c r="J324" s="115">
        <f t="shared" si="85"/>
        <v>269.84116055700775</v>
      </c>
      <c r="K324" s="115">
        <f t="shared" si="86"/>
        <v>48.649150125308516</v>
      </c>
      <c r="L324" s="115">
        <f t="shared" si="87"/>
        <v>238.3881319387053</v>
      </c>
      <c r="M324" s="115">
        <f t="shared" si="88"/>
        <v>286.16946538034068</v>
      </c>
      <c r="N324" s="115">
        <f t="shared" si="89"/>
        <v>309.09275479152166</v>
      </c>
      <c r="O324" s="115">
        <f t="shared" si="90"/>
        <v>261.47934437373004</v>
      </c>
      <c r="P324" s="115">
        <f t="shared" si="91"/>
        <v>289.22320205700458</v>
      </c>
      <c r="Q324" s="115">
        <f t="shared" si="92"/>
        <v>34.66971300875138</v>
      </c>
    </row>
    <row r="325" spans="1:17" x14ac:dyDescent="0.25">
      <c r="A325" s="114">
        <f t="shared" si="94"/>
        <v>44575</v>
      </c>
      <c r="B325">
        <f t="shared" si="96"/>
        <v>5.5</v>
      </c>
      <c r="C325" s="109">
        <f t="shared" si="97"/>
        <v>19.066666666666666</v>
      </c>
      <c r="D325" s="109">
        <f t="shared" si="98"/>
        <v>72.86666666666666</v>
      </c>
      <c r="E325" s="107">
        <f t="shared" si="99"/>
        <v>44575.222222222226</v>
      </c>
      <c r="F325" s="106">
        <f t="shared" si="95"/>
        <v>44575.301785097145</v>
      </c>
      <c r="G325" t="str">
        <f t="shared" si="100"/>
        <v>Friday</v>
      </c>
      <c r="H325" s="129">
        <v>0.45138888888888801</v>
      </c>
      <c r="I325" s="115">
        <f t="shared" si="84"/>
        <v>331.38677563880015</v>
      </c>
      <c r="J325" s="115">
        <f t="shared" si="85"/>
        <v>269.84469657366736</v>
      </c>
      <c r="K325" s="115">
        <f t="shared" si="86"/>
        <v>48.690031039778098</v>
      </c>
      <c r="L325" s="115">
        <f t="shared" si="87"/>
        <v>238.39062789090531</v>
      </c>
      <c r="M325" s="115">
        <f t="shared" si="88"/>
        <v>286.16964084992406</v>
      </c>
      <c r="N325" s="115">
        <f t="shared" si="89"/>
        <v>309.09349571304125</v>
      </c>
      <c r="O325" s="115">
        <f t="shared" si="90"/>
        <v>261.47741462834972</v>
      </c>
      <c r="P325" s="115">
        <f t="shared" si="91"/>
        <v>289.22360253150879</v>
      </c>
      <c r="Q325" s="115">
        <f t="shared" si="92"/>
        <v>34.669529008815104</v>
      </c>
    </row>
    <row r="326" spans="1:17" x14ac:dyDescent="0.25">
      <c r="A326" s="114">
        <f t="shared" si="94"/>
        <v>44575</v>
      </c>
      <c r="B326">
        <f t="shared" si="96"/>
        <v>5.5</v>
      </c>
      <c r="C326" s="109">
        <f t="shared" si="97"/>
        <v>19.066666666666666</v>
      </c>
      <c r="D326" s="109">
        <f t="shared" si="98"/>
        <v>72.86666666666666</v>
      </c>
      <c r="E326" s="107">
        <f t="shared" si="99"/>
        <v>44575.225694444445</v>
      </c>
      <c r="F326" s="106">
        <f t="shared" si="95"/>
        <v>44575.301785097145</v>
      </c>
      <c r="G326" t="str">
        <f t="shared" si="100"/>
        <v>Friday</v>
      </c>
      <c r="H326" s="129">
        <v>0.45486111111110999</v>
      </c>
      <c r="I326" s="115">
        <f t="shared" si="84"/>
        <v>332.99216114199055</v>
      </c>
      <c r="J326" s="115">
        <f t="shared" si="85"/>
        <v>269.84823258890174</v>
      </c>
      <c r="K326" s="115">
        <f t="shared" si="86"/>
        <v>48.730912263299224</v>
      </c>
      <c r="L326" s="115">
        <f t="shared" si="87"/>
        <v>238.39312385078813</v>
      </c>
      <c r="M326" s="115">
        <f t="shared" si="88"/>
        <v>286.16981404470766</v>
      </c>
      <c r="N326" s="115">
        <f t="shared" si="89"/>
        <v>309.09423664884724</v>
      </c>
      <c r="O326" s="115">
        <f t="shared" si="90"/>
        <v>261.47548514016279</v>
      </c>
      <c r="P326" s="115">
        <f t="shared" si="91"/>
        <v>289.22400301178021</v>
      </c>
      <c r="Q326" s="115">
        <f t="shared" si="92"/>
        <v>34.669345008845724</v>
      </c>
    </row>
    <row r="327" spans="1:17" x14ac:dyDescent="0.25">
      <c r="A327" s="114">
        <f t="shared" si="94"/>
        <v>44575</v>
      </c>
      <c r="B327">
        <f t="shared" si="96"/>
        <v>5.5</v>
      </c>
      <c r="C327" s="109">
        <f t="shared" si="97"/>
        <v>19.066666666666666</v>
      </c>
      <c r="D327" s="109">
        <f t="shared" si="98"/>
        <v>72.86666666666666</v>
      </c>
      <c r="E327" s="107">
        <f t="shared" si="99"/>
        <v>44575.229166666672</v>
      </c>
      <c r="F327" s="106">
        <f t="shared" si="95"/>
        <v>44575.301785097145</v>
      </c>
      <c r="G327" t="str">
        <f t="shared" si="100"/>
        <v>Friday</v>
      </c>
      <c r="H327" s="129">
        <v>0.45833333333333198</v>
      </c>
      <c r="I327" s="115">
        <f t="shared" si="84"/>
        <v>334.5985772619145</v>
      </c>
      <c r="J327" s="115">
        <f t="shared" si="85"/>
        <v>269.8517686018244</v>
      </c>
      <c r="K327" s="115">
        <f t="shared" si="86"/>
        <v>48.771793787445596</v>
      </c>
      <c r="L327" s="115">
        <f t="shared" si="87"/>
        <v>238.39561981790604</v>
      </c>
      <c r="M327" s="115">
        <f t="shared" si="88"/>
        <v>286.16998496416102</v>
      </c>
      <c r="N327" s="115">
        <f t="shared" si="89"/>
        <v>309.09497759871232</v>
      </c>
      <c r="O327" s="115">
        <f t="shared" si="90"/>
        <v>261.47355590981721</v>
      </c>
      <c r="P327" s="115">
        <f t="shared" si="91"/>
        <v>289.22440349685252</v>
      </c>
      <c r="Q327" s="115">
        <f t="shared" si="92"/>
        <v>34.669161008876344</v>
      </c>
    </row>
    <row r="328" spans="1:17" x14ac:dyDescent="0.25">
      <c r="A328" s="114">
        <f t="shared" si="94"/>
        <v>44575</v>
      </c>
      <c r="B328">
        <f t="shared" si="96"/>
        <v>5.5</v>
      </c>
      <c r="C328" s="109">
        <f t="shared" si="97"/>
        <v>19.066666666666666</v>
      </c>
      <c r="D328" s="109">
        <f t="shared" si="98"/>
        <v>72.86666666666666</v>
      </c>
      <c r="E328" s="107">
        <f t="shared" si="99"/>
        <v>44575.232638888891</v>
      </c>
      <c r="F328" s="106">
        <f t="shared" si="95"/>
        <v>44575.301785097145</v>
      </c>
      <c r="G328" t="str">
        <f t="shared" si="100"/>
        <v>Friday</v>
      </c>
      <c r="H328" s="129">
        <v>0.46180555555555403</v>
      </c>
      <c r="I328" s="115">
        <f t="shared" si="84"/>
        <v>336.20544344313333</v>
      </c>
      <c r="J328" s="115">
        <f t="shared" si="85"/>
        <v>269.85530461333673</v>
      </c>
      <c r="K328" s="115">
        <f t="shared" si="86"/>
        <v>48.812675625757436</v>
      </c>
      <c r="L328" s="115">
        <f t="shared" si="87"/>
        <v>238.39811579261249</v>
      </c>
      <c r="M328" s="115">
        <f t="shared" si="88"/>
        <v>286.170153608102</v>
      </c>
      <c r="N328" s="115">
        <f t="shared" si="89"/>
        <v>309.09571856288522</v>
      </c>
      <c r="O328" s="115">
        <f t="shared" si="90"/>
        <v>261.47162693707821</v>
      </c>
      <c r="P328" s="115">
        <f t="shared" si="91"/>
        <v>289.22480398654767</v>
      </c>
      <c r="Q328" s="115">
        <f t="shared" si="92"/>
        <v>34.668977008890344</v>
      </c>
    </row>
    <row r="329" spans="1:17" x14ac:dyDescent="0.25">
      <c r="A329" s="114">
        <f t="shared" si="94"/>
        <v>44575</v>
      </c>
      <c r="B329">
        <f t="shared" si="96"/>
        <v>5.5</v>
      </c>
      <c r="C329" s="109">
        <f t="shared" si="97"/>
        <v>19.066666666666666</v>
      </c>
      <c r="D329" s="109">
        <f t="shared" si="98"/>
        <v>72.86666666666666</v>
      </c>
      <c r="E329" s="107">
        <f t="shared" si="99"/>
        <v>44575.236111111117</v>
      </c>
      <c r="F329" s="106">
        <f t="shared" si="95"/>
        <v>44575.301785097145</v>
      </c>
      <c r="G329" t="str">
        <f t="shared" si="100"/>
        <v>Friday</v>
      </c>
      <c r="H329" s="129">
        <v>0.46527777777777601</v>
      </c>
      <c r="I329" s="115">
        <f t="shared" si="84"/>
        <v>337.81217640381391</v>
      </c>
      <c r="J329" s="115">
        <f t="shared" si="85"/>
        <v>269.85884062229479</v>
      </c>
      <c r="K329" s="115">
        <f t="shared" si="86"/>
        <v>48.853557769794335</v>
      </c>
      <c r="L329" s="115">
        <f t="shared" si="87"/>
        <v>238.40061177421339</v>
      </c>
      <c r="M329" s="115">
        <f t="shared" si="88"/>
        <v>286.17031997600486</v>
      </c>
      <c r="N329" s="115">
        <f t="shared" si="89"/>
        <v>309.0964595409589</v>
      </c>
      <c r="O329" s="115">
        <f t="shared" si="90"/>
        <v>261.46969822249059</v>
      </c>
      <c r="P329" s="115">
        <f t="shared" si="91"/>
        <v>289.22520448146486</v>
      </c>
      <c r="Q329" s="115">
        <f t="shared" si="92"/>
        <v>34.668793008937513</v>
      </c>
    </row>
    <row r="330" spans="1:17" x14ac:dyDescent="0.25">
      <c r="A330" s="114">
        <f t="shared" si="94"/>
        <v>44575</v>
      </c>
      <c r="B330">
        <f t="shared" si="96"/>
        <v>5.5</v>
      </c>
      <c r="C330" s="109">
        <f t="shared" si="97"/>
        <v>19.066666666666666</v>
      </c>
      <c r="D330" s="109">
        <f t="shared" si="98"/>
        <v>72.86666666666666</v>
      </c>
      <c r="E330" s="107">
        <f t="shared" si="99"/>
        <v>44575.239583333336</v>
      </c>
      <c r="F330" s="106">
        <f t="shared" si="95"/>
        <v>44575.301785097145</v>
      </c>
      <c r="G330" t="str">
        <f t="shared" si="100"/>
        <v>Friday</v>
      </c>
      <c r="H330" s="129">
        <v>0.468749999999998</v>
      </c>
      <c r="I330" s="115">
        <f t="shared" si="84"/>
        <v>339.4181942772509</v>
      </c>
      <c r="J330" s="115">
        <f t="shared" si="85"/>
        <v>269.86237662994301</v>
      </c>
      <c r="K330" s="115">
        <f t="shared" si="86"/>
        <v>48.894440233040385</v>
      </c>
      <c r="L330" s="115">
        <f t="shared" si="87"/>
        <v>238.40310776367787</v>
      </c>
      <c r="M330" s="115">
        <f t="shared" si="88"/>
        <v>286.17048406767191</v>
      </c>
      <c r="N330" s="115">
        <f t="shared" si="89"/>
        <v>309.09720053332717</v>
      </c>
      <c r="O330" s="115">
        <f t="shared" si="90"/>
        <v>261.46776976557885</v>
      </c>
      <c r="P330" s="115">
        <f t="shared" si="91"/>
        <v>289.2256049808766</v>
      </c>
      <c r="Q330" s="115">
        <f t="shared" si="92"/>
        <v>34.668609008951577</v>
      </c>
    </row>
    <row r="331" spans="1:17" x14ac:dyDescent="0.25">
      <c r="A331" s="114">
        <f t="shared" si="94"/>
        <v>44575</v>
      </c>
      <c r="B331">
        <f t="shared" si="96"/>
        <v>5.5</v>
      </c>
      <c r="C331" s="109">
        <f t="shared" si="97"/>
        <v>19.066666666666666</v>
      </c>
      <c r="D331" s="109">
        <f t="shared" si="98"/>
        <v>72.86666666666666</v>
      </c>
      <c r="E331" s="107">
        <f t="shared" si="99"/>
        <v>44575.243055555555</v>
      </c>
      <c r="F331" s="106">
        <f t="shared" si="95"/>
        <v>44575.301785097145</v>
      </c>
      <c r="G331" t="str">
        <f t="shared" si="100"/>
        <v>Friday</v>
      </c>
      <c r="H331" s="129">
        <v>0.47222222222221999</v>
      </c>
      <c r="I331" s="115">
        <f t="shared" si="84"/>
        <v>341.0229172914502</v>
      </c>
      <c r="J331" s="115">
        <f t="shared" si="85"/>
        <v>269.86591263521626</v>
      </c>
      <c r="K331" s="115">
        <f t="shared" si="86"/>
        <v>48.935323007090219</v>
      </c>
      <c r="L331" s="115">
        <f t="shared" si="87"/>
        <v>238.40560376026642</v>
      </c>
      <c r="M331" s="115">
        <f t="shared" si="88"/>
        <v>286.17064588257796</v>
      </c>
      <c r="N331" s="115">
        <f t="shared" si="89"/>
        <v>309.09794153961928</v>
      </c>
      <c r="O331" s="115">
        <f t="shared" si="90"/>
        <v>261.46584156728011</v>
      </c>
      <c r="P331" s="115">
        <f t="shared" si="91"/>
        <v>289.22600548659216</v>
      </c>
      <c r="Q331" s="115">
        <f t="shared" si="92"/>
        <v>34.668425008998753</v>
      </c>
    </row>
    <row r="332" spans="1:17" x14ac:dyDescent="0.25">
      <c r="A332" s="114">
        <f t="shared" si="94"/>
        <v>44575</v>
      </c>
      <c r="B332">
        <f t="shared" si="96"/>
        <v>5.5</v>
      </c>
      <c r="C332" s="109">
        <f t="shared" si="97"/>
        <v>19.066666666666666</v>
      </c>
      <c r="D332" s="109">
        <f t="shared" si="98"/>
        <v>72.86666666666666</v>
      </c>
      <c r="E332" s="107">
        <f t="shared" si="99"/>
        <v>44575.246527777781</v>
      </c>
      <c r="F332" s="106">
        <f t="shared" si="95"/>
        <v>44575.301785097145</v>
      </c>
      <c r="G332" t="str">
        <f t="shared" si="100"/>
        <v>Friday</v>
      </c>
      <c r="H332" s="129">
        <v>0.47569444444444198</v>
      </c>
      <c r="I332" s="115">
        <f t="shared" si="84"/>
        <v>342.62577187690067</v>
      </c>
      <c r="J332" s="115">
        <f t="shared" si="85"/>
        <v>269.86944863907115</v>
      </c>
      <c r="K332" s="115">
        <f t="shared" si="86"/>
        <v>48.976206105373159</v>
      </c>
      <c r="L332" s="115">
        <f t="shared" si="87"/>
        <v>238.40809976453127</v>
      </c>
      <c r="M332" s="115">
        <f t="shared" si="88"/>
        <v>286.17080542057056</v>
      </c>
      <c r="N332" s="115">
        <f t="shared" si="89"/>
        <v>309.09868256013289</v>
      </c>
      <c r="O332" s="115">
        <f t="shared" si="90"/>
        <v>261.46391362694209</v>
      </c>
      <c r="P332" s="115">
        <f t="shared" si="91"/>
        <v>289.22640599589892</v>
      </c>
      <c r="Q332" s="115">
        <f t="shared" si="92"/>
        <v>34.668241009045929</v>
      </c>
    </row>
    <row r="333" spans="1:17" x14ac:dyDescent="0.25">
      <c r="A333" s="114">
        <f t="shared" si="94"/>
        <v>44575</v>
      </c>
      <c r="B333">
        <f t="shared" si="96"/>
        <v>5.5</v>
      </c>
      <c r="C333" s="109">
        <f t="shared" si="97"/>
        <v>19.066666666666666</v>
      </c>
      <c r="D333" s="109">
        <f t="shared" si="98"/>
        <v>72.86666666666666</v>
      </c>
      <c r="E333" s="107">
        <f t="shared" si="99"/>
        <v>44575.25</v>
      </c>
      <c r="F333" s="106">
        <f t="shared" si="95"/>
        <v>44575.301785097145</v>
      </c>
      <c r="G333" t="str">
        <f t="shared" si="100"/>
        <v>Friday</v>
      </c>
      <c r="H333" s="129">
        <v>0.47916666666666402</v>
      </c>
      <c r="I333" s="115">
        <f t="shared" si="84"/>
        <v>344.22619127093333</v>
      </c>
      <c r="J333" s="115">
        <f t="shared" si="85"/>
        <v>269.87298464068527</v>
      </c>
      <c r="K333" s="115">
        <f t="shared" si="86"/>
        <v>49.017089519484252</v>
      </c>
      <c r="L333" s="115">
        <f t="shared" si="87"/>
        <v>238.41059577606615</v>
      </c>
      <c r="M333" s="115">
        <f t="shared" si="88"/>
        <v>286.1709626811284</v>
      </c>
      <c r="N333" s="115">
        <f t="shared" si="89"/>
        <v>309.09942359488502</v>
      </c>
      <c r="O333" s="115">
        <f t="shared" si="90"/>
        <v>261.46198594550634</v>
      </c>
      <c r="P333" s="115">
        <f t="shared" si="91"/>
        <v>289.22680651172146</v>
      </c>
      <c r="Q333" s="115">
        <f t="shared" si="92"/>
        <v>34.668057009093047</v>
      </c>
    </row>
    <row r="334" spans="1:17" x14ac:dyDescent="0.25">
      <c r="A334" s="114">
        <f t="shared" si="94"/>
        <v>44575</v>
      </c>
      <c r="B334">
        <f t="shared" si="96"/>
        <v>5.5</v>
      </c>
      <c r="C334" s="109">
        <f t="shared" si="97"/>
        <v>19.066666666666666</v>
      </c>
      <c r="D334" s="109">
        <f t="shared" si="98"/>
        <v>72.86666666666666</v>
      </c>
      <c r="E334" s="107">
        <f t="shared" si="99"/>
        <v>44575.253472222226</v>
      </c>
      <c r="F334" s="106">
        <f t="shared" si="95"/>
        <v>44575.301785097145</v>
      </c>
      <c r="G334" t="str">
        <f t="shared" si="100"/>
        <v>Friday</v>
      </c>
      <c r="H334" s="129">
        <v>0.48263888888888601</v>
      </c>
      <c r="I334" s="115">
        <f t="shared" si="84"/>
        <v>345.82361928691085</v>
      </c>
      <c r="J334" s="115">
        <f t="shared" si="85"/>
        <v>269.87652064020932</v>
      </c>
      <c r="K334" s="115">
        <f t="shared" si="86"/>
        <v>49.057973257410758</v>
      </c>
      <c r="L334" s="115">
        <f t="shared" si="87"/>
        <v>238.41309179466469</v>
      </c>
      <c r="M334" s="115">
        <f t="shared" si="88"/>
        <v>286.17111766387768</v>
      </c>
      <c r="N334" s="115">
        <f t="shared" si="89"/>
        <v>309.10016464366811</v>
      </c>
      <c r="O334" s="115">
        <f t="shared" si="90"/>
        <v>261.46005852262851</v>
      </c>
      <c r="P334" s="115">
        <f t="shared" si="91"/>
        <v>289.22720703063101</v>
      </c>
      <c r="Q334" s="115">
        <f t="shared" si="92"/>
        <v>34.66787300912366</v>
      </c>
    </row>
    <row r="335" spans="1:17" x14ac:dyDescent="0.25">
      <c r="A335" s="114">
        <f t="shared" si="94"/>
        <v>44575</v>
      </c>
      <c r="B335">
        <f t="shared" si="96"/>
        <v>5.5</v>
      </c>
      <c r="C335" s="109">
        <f t="shared" si="97"/>
        <v>19.066666666666666</v>
      </c>
      <c r="D335" s="109">
        <f t="shared" si="98"/>
        <v>72.86666666666666</v>
      </c>
      <c r="E335" s="107">
        <f t="shared" si="99"/>
        <v>44575.256944444445</v>
      </c>
      <c r="F335" s="106">
        <f t="shared" si="95"/>
        <v>44575.301785097145</v>
      </c>
      <c r="G335" t="str">
        <f t="shared" si="100"/>
        <v>Friday</v>
      </c>
      <c r="H335" s="129">
        <v>0.486111111111108</v>
      </c>
      <c r="I335" s="115">
        <f t="shared" si="84"/>
        <v>347.41751183454812</v>
      </c>
      <c r="J335" s="115">
        <f t="shared" si="85"/>
        <v>269.88005663831342</v>
      </c>
      <c r="K335" s="115">
        <f t="shared" si="86"/>
        <v>49.098857327209402</v>
      </c>
      <c r="L335" s="115">
        <f t="shared" si="87"/>
        <v>238.41558782107174</v>
      </c>
      <c r="M335" s="115">
        <f t="shared" si="88"/>
        <v>286.17127036863735</v>
      </c>
      <c r="N335" s="115">
        <f t="shared" si="89"/>
        <v>309.10090570647986</v>
      </c>
      <c r="O335" s="115">
        <f t="shared" si="90"/>
        <v>261.45813135848408</v>
      </c>
      <c r="P335" s="115">
        <f t="shared" si="91"/>
        <v>289.2276075555788</v>
      </c>
      <c r="Q335" s="115">
        <f t="shared" si="92"/>
        <v>34.66768900915428</v>
      </c>
    </row>
    <row r="336" spans="1:17" x14ac:dyDescent="0.25">
      <c r="A336" s="114">
        <f t="shared" si="94"/>
        <v>44575</v>
      </c>
      <c r="B336">
        <f t="shared" si="96"/>
        <v>5.5</v>
      </c>
      <c r="C336" s="109">
        <f t="shared" si="97"/>
        <v>19.066666666666666</v>
      </c>
      <c r="D336" s="109">
        <f t="shared" si="98"/>
        <v>72.86666666666666</v>
      </c>
      <c r="E336" s="107">
        <f t="shared" si="99"/>
        <v>44575.260416666672</v>
      </c>
      <c r="F336" s="106">
        <f t="shared" si="95"/>
        <v>44575.301785097145</v>
      </c>
      <c r="G336" t="str">
        <f t="shared" si="100"/>
        <v>Friday</v>
      </c>
      <c r="H336" s="129">
        <v>0.48958333333332998</v>
      </c>
      <c r="I336" s="115">
        <f t="shared" si="84"/>
        <v>349.00733833823273</v>
      </c>
      <c r="J336" s="115">
        <f t="shared" si="85"/>
        <v>269.88359263411058</v>
      </c>
      <c r="K336" s="115">
        <f t="shared" si="86"/>
        <v>49.139741720390852</v>
      </c>
      <c r="L336" s="115">
        <f t="shared" si="87"/>
        <v>238.41808385464066</v>
      </c>
      <c r="M336" s="115">
        <f t="shared" si="88"/>
        <v>286.17142079492686</v>
      </c>
      <c r="N336" s="115">
        <f t="shared" si="89"/>
        <v>309.10164678346456</v>
      </c>
      <c r="O336" s="115">
        <f t="shared" si="90"/>
        <v>261.45620445338045</v>
      </c>
      <c r="P336" s="115">
        <f t="shared" si="91"/>
        <v>289.22800808503445</v>
      </c>
      <c r="Q336" s="115">
        <f t="shared" si="92"/>
        <v>34.667505009201456</v>
      </c>
    </row>
    <row r="337" spans="1:17" x14ac:dyDescent="0.25">
      <c r="A337" s="114">
        <f t="shared" si="94"/>
        <v>44575</v>
      </c>
      <c r="B337">
        <f t="shared" si="96"/>
        <v>5.5</v>
      </c>
      <c r="C337" s="109">
        <f t="shared" si="97"/>
        <v>19.066666666666666</v>
      </c>
      <c r="D337" s="109">
        <f t="shared" si="98"/>
        <v>72.86666666666666</v>
      </c>
      <c r="E337" s="107">
        <f t="shared" si="99"/>
        <v>44575.263888888891</v>
      </c>
      <c r="F337" s="106">
        <f t="shared" si="95"/>
        <v>44575.301785097145</v>
      </c>
      <c r="G337" t="str">
        <f t="shared" si="100"/>
        <v>Friday</v>
      </c>
      <c r="H337" s="129">
        <v>0.49305555555555203</v>
      </c>
      <c r="I337" s="115">
        <f t="shared" si="84"/>
        <v>350.59258516990849</v>
      </c>
      <c r="J337" s="115">
        <f t="shared" si="85"/>
        <v>269.88712862848399</v>
      </c>
      <c r="K337" s="115">
        <f t="shared" si="86"/>
        <v>49.180626450451086</v>
      </c>
      <c r="L337" s="115">
        <f t="shared" si="87"/>
        <v>238.42057989592612</v>
      </c>
      <c r="M337" s="115">
        <f t="shared" si="88"/>
        <v>286.17156894242373</v>
      </c>
      <c r="N337" s="115">
        <f t="shared" si="89"/>
        <v>309.10238787466278</v>
      </c>
      <c r="O337" s="115">
        <f t="shared" si="90"/>
        <v>261.45427780731035</v>
      </c>
      <c r="P337" s="115">
        <f t="shared" si="91"/>
        <v>289.228408620013</v>
      </c>
      <c r="Q337" s="115">
        <f t="shared" si="92"/>
        <v>34.667321009215463</v>
      </c>
    </row>
    <row r="338" spans="1:17" x14ac:dyDescent="0.25">
      <c r="A338" s="114">
        <f t="shared" si="94"/>
        <v>44575</v>
      </c>
      <c r="B338">
        <f t="shared" si="96"/>
        <v>5.5</v>
      </c>
      <c r="C338" s="109">
        <f t="shared" si="97"/>
        <v>19.066666666666666</v>
      </c>
      <c r="D338" s="109">
        <f t="shared" si="98"/>
        <v>72.86666666666666</v>
      </c>
      <c r="E338" s="107">
        <f t="shared" si="99"/>
        <v>44575.267361111117</v>
      </c>
      <c r="F338" s="106">
        <f t="shared" si="95"/>
        <v>44575.301785097145</v>
      </c>
      <c r="G338" t="str">
        <f t="shared" si="100"/>
        <v>Friday</v>
      </c>
      <c r="H338" s="129">
        <v>0.49652777777777402</v>
      </c>
      <c r="I338" s="115">
        <f t="shared" si="84"/>
        <v>352.17275573230631</v>
      </c>
      <c r="J338" s="115">
        <f t="shared" si="85"/>
        <v>269.89066462048942</v>
      </c>
      <c r="K338" s="115">
        <f t="shared" si="86"/>
        <v>49.221511508922745</v>
      </c>
      <c r="L338" s="115">
        <f t="shared" si="87"/>
        <v>238.42307594420998</v>
      </c>
      <c r="M338" s="115">
        <f t="shared" si="88"/>
        <v>286.17171481078259</v>
      </c>
      <c r="N338" s="115">
        <f t="shared" si="89"/>
        <v>309.10312897986665</v>
      </c>
      <c r="O338" s="115">
        <f t="shared" si="90"/>
        <v>261.45235142059437</v>
      </c>
      <c r="P338" s="115">
        <f t="shared" si="91"/>
        <v>289.22880915976481</v>
      </c>
      <c r="Q338" s="115">
        <f t="shared" si="92"/>
        <v>34.667137009279202</v>
      </c>
    </row>
    <row r="339" spans="1:17" x14ac:dyDescent="0.25">
      <c r="A339" s="114">
        <f t="shared" si="94"/>
        <v>44575</v>
      </c>
      <c r="B339">
        <f t="shared" si="96"/>
        <v>5.5</v>
      </c>
      <c r="C339" s="109">
        <f t="shared" si="97"/>
        <v>19.066666666666666</v>
      </c>
      <c r="D339" s="109">
        <f t="shared" si="98"/>
        <v>72.86666666666666</v>
      </c>
      <c r="E339" s="107">
        <f t="shared" si="99"/>
        <v>44575.270833333336</v>
      </c>
      <c r="F339" s="106">
        <f t="shared" si="95"/>
        <v>44575.301785097145</v>
      </c>
      <c r="G339" t="str">
        <f t="shared" si="100"/>
        <v>Friday</v>
      </c>
      <c r="H339" s="129">
        <v>0.499999999999996</v>
      </c>
      <c r="I339" s="115">
        <f t="shared" si="84"/>
        <v>353.74737380492945</v>
      </c>
      <c r="J339" s="115">
        <f t="shared" si="85"/>
        <v>269.8942006111335</v>
      </c>
      <c r="K339" s="115">
        <f t="shared" si="86"/>
        <v>49.262396909228812</v>
      </c>
      <c r="L339" s="115">
        <f t="shared" si="87"/>
        <v>238.4255720004424</v>
      </c>
      <c r="M339" s="115">
        <f t="shared" si="88"/>
        <v>286.17185839965299</v>
      </c>
      <c r="N339" s="115">
        <f t="shared" si="89"/>
        <v>309.10387009930196</v>
      </c>
      <c r="O339" s="115">
        <f t="shared" si="90"/>
        <v>261.45042529319767</v>
      </c>
      <c r="P339" s="115">
        <f t="shared" si="91"/>
        <v>289.2292097045497</v>
      </c>
      <c r="Q339" s="115">
        <f t="shared" si="92"/>
        <v>34.666953009276625</v>
      </c>
    </row>
    <row r="340" spans="1:17" x14ac:dyDescent="0.25">
      <c r="A340" s="114">
        <f t="shared" si="94"/>
        <v>44575</v>
      </c>
      <c r="B340">
        <f t="shared" si="96"/>
        <v>5.5</v>
      </c>
      <c r="C340" s="109">
        <f t="shared" si="97"/>
        <v>19.066666666666666</v>
      </c>
      <c r="D340" s="109">
        <f t="shared" si="98"/>
        <v>72.86666666666666</v>
      </c>
      <c r="E340" s="107">
        <f t="shared" si="99"/>
        <v>44575.274305555555</v>
      </c>
      <c r="F340" s="106">
        <f t="shared" si="95"/>
        <v>44575.301785097145</v>
      </c>
      <c r="G340" t="str">
        <f t="shared" si="100"/>
        <v>Friday</v>
      </c>
      <c r="H340" s="129">
        <v>0.50347222222221799</v>
      </c>
      <c r="I340" s="115">
        <f t="shared" si="84"/>
        <v>355.31598332236285</v>
      </c>
      <c r="J340" s="115">
        <f t="shared" si="85"/>
        <v>269.89773659926885</v>
      </c>
      <c r="K340" s="115">
        <f t="shared" si="86"/>
        <v>49.303282643046053</v>
      </c>
      <c r="L340" s="115">
        <f t="shared" si="87"/>
        <v>238.42806806337373</v>
      </c>
      <c r="M340" s="115">
        <f t="shared" si="88"/>
        <v>286.17199970873128</v>
      </c>
      <c r="N340" s="115">
        <f t="shared" si="89"/>
        <v>309.1046112327204</v>
      </c>
      <c r="O340" s="115">
        <f t="shared" si="90"/>
        <v>261.44849942549439</v>
      </c>
      <c r="P340" s="115">
        <f t="shared" si="91"/>
        <v>289.2296102545759</v>
      </c>
      <c r="Q340" s="115">
        <f t="shared" si="92"/>
        <v>34.666769009323808</v>
      </c>
    </row>
    <row r="341" spans="1:17" x14ac:dyDescent="0.25">
      <c r="A341" s="114">
        <f t="shared" si="94"/>
        <v>44575</v>
      </c>
      <c r="B341">
        <f t="shared" si="96"/>
        <v>5.5</v>
      </c>
      <c r="C341" s="109">
        <f t="shared" si="97"/>
        <v>19.066666666666666</v>
      </c>
      <c r="D341" s="109">
        <f t="shared" si="98"/>
        <v>72.86666666666666</v>
      </c>
      <c r="E341" s="107">
        <f t="shared" si="99"/>
        <v>44575.277777777781</v>
      </c>
      <c r="F341" s="106">
        <f t="shared" si="95"/>
        <v>44575.301785097145</v>
      </c>
      <c r="G341" t="str">
        <f t="shared" si="100"/>
        <v>Friday</v>
      </c>
      <c r="H341" s="129">
        <v>0.50694444444443998</v>
      </c>
      <c r="I341" s="115">
        <f t="shared" si="84"/>
        <v>356.87815137608538</v>
      </c>
      <c r="J341" s="115">
        <f t="shared" si="85"/>
        <v>269.9012725860531</v>
      </c>
      <c r="K341" s="115">
        <f t="shared" si="86"/>
        <v>49.344168723803627</v>
      </c>
      <c r="L341" s="115">
        <f t="shared" si="87"/>
        <v>238.43056413431455</v>
      </c>
      <c r="M341" s="115">
        <f t="shared" si="88"/>
        <v>286.17213873752394</v>
      </c>
      <c r="N341" s="115">
        <f t="shared" si="89"/>
        <v>309.10535238024181</v>
      </c>
      <c r="O341" s="115">
        <f t="shared" si="90"/>
        <v>261.4465738174149</v>
      </c>
      <c r="P341" s="115">
        <f t="shared" si="91"/>
        <v>289.23001080898013</v>
      </c>
      <c r="Q341" s="115">
        <f t="shared" si="92"/>
        <v>34.666585009354421</v>
      </c>
    </row>
    <row r="342" spans="1:17" x14ac:dyDescent="0.25">
      <c r="A342" s="114">
        <f t="shared" si="94"/>
        <v>44575</v>
      </c>
      <c r="B342">
        <f t="shared" si="96"/>
        <v>5.5</v>
      </c>
      <c r="C342" s="109">
        <f t="shared" si="97"/>
        <v>19.066666666666666</v>
      </c>
      <c r="D342" s="109">
        <f t="shared" si="98"/>
        <v>72.86666666666666</v>
      </c>
      <c r="E342" s="107">
        <f t="shared" si="99"/>
        <v>44575.28125</v>
      </c>
      <c r="F342" s="106">
        <f t="shared" si="95"/>
        <v>44575.301785097145</v>
      </c>
      <c r="G342" t="str">
        <f t="shared" si="100"/>
        <v>Friday</v>
      </c>
      <c r="H342" s="129">
        <v>0.51041666666666197</v>
      </c>
      <c r="I342" s="115">
        <f t="shared" si="84"/>
        <v>358.4334676598117</v>
      </c>
      <c r="J342" s="115">
        <f t="shared" si="85"/>
        <v>269.90480857047567</v>
      </c>
      <c r="K342" s="115">
        <f t="shared" si="86"/>
        <v>49.385055143003953</v>
      </c>
      <c r="L342" s="115">
        <f t="shared" si="87"/>
        <v>238.4330602122015</v>
      </c>
      <c r="M342" s="115">
        <f t="shared" si="88"/>
        <v>286.17227548581758</v>
      </c>
      <c r="N342" s="115">
        <f t="shared" si="89"/>
        <v>309.10609354188682</v>
      </c>
      <c r="O342" s="115">
        <f t="shared" si="90"/>
        <v>261.44464846930583</v>
      </c>
      <c r="P342" s="115">
        <f t="shared" si="91"/>
        <v>289.23041136879181</v>
      </c>
      <c r="Q342" s="115">
        <f t="shared" si="92"/>
        <v>34.666401009401554</v>
      </c>
    </row>
    <row r="343" spans="1:17" x14ac:dyDescent="0.25">
      <c r="A343" s="114">
        <f t="shared" si="94"/>
        <v>44575</v>
      </c>
      <c r="B343">
        <f t="shared" si="96"/>
        <v>5.5</v>
      </c>
      <c r="C343" s="109">
        <f t="shared" si="97"/>
        <v>19.066666666666666</v>
      </c>
      <c r="D343" s="109">
        <f t="shared" si="98"/>
        <v>72.86666666666666</v>
      </c>
      <c r="E343" s="107">
        <f t="shared" si="99"/>
        <v>44575.284722222226</v>
      </c>
      <c r="F343" s="106">
        <f t="shared" si="95"/>
        <v>44575.301785097145</v>
      </c>
      <c r="G343" t="str">
        <f t="shared" si="100"/>
        <v>Friday</v>
      </c>
      <c r="H343" s="129">
        <v>0.51388888888888395</v>
      </c>
      <c r="I343" s="115">
        <f t="shared" si="84"/>
        <v>359.98154689708548</v>
      </c>
      <c r="J343" s="115">
        <f t="shared" si="85"/>
        <v>269.90834455299029</v>
      </c>
      <c r="K343" s="115">
        <f t="shared" si="86"/>
        <v>49.425941908653222</v>
      </c>
      <c r="L343" s="115">
        <f t="shared" si="87"/>
        <v>238.43555629755943</v>
      </c>
      <c r="M343" s="115">
        <f t="shared" si="88"/>
        <v>286.17240995324403</v>
      </c>
      <c r="N343" s="115">
        <f t="shared" si="89"/>
        <v>309.1068347176921</v>
      </c>
      <c r="O343" s="115">
        <f t="shared" si="90"/>
        <v>261.44272338130639</v>
      </c>
      <c r="P343" s="115">
        <f t="shared" si="91"/>
        <v>289.23081193347781</v>
      </c>
      <c r="Q343" s="115">
        <f t="shared" si="92"/>
        <v>34.666217009448708</v>
      </c>
    </row>
    <row r="344" spans="1:17" x14ac:dyDescent="0.25">
      <c r="A344" s="114">
        <f t="shared" si="94"/>
        <v>44575</v>
      </c>
      <c r="B344">
        <f t="shared" si="96"/>
        <v>5.5</v>
      </c>
      <c r="C344" s="109">
        <f t="shared" si="97"/>
        <v>19.066666666666666</v>
      </c>
      <c r="D344" s="109">
        <f t="shared" si="98"/>
        <v>72.86666666666666</v>
      </c>
      <c r="E344" s="107">
        <f t="shared" si="99"/>
        <v>44575.288194444445</v>
      </c>
      <c r="F344" s="106">
        <f t="shared" si="95"/>
        <v>44575.301785097145</v>
      </c>
      <c r="G344" t="str">
        <f t="shared" si="100"/>
        <v>Friday</v>
      </c>
      <c r="H344" s="129">
        <v>0.51736111111110605</v>
      </c>
      <c r="I344" s="115">
        <f t="shared" si="84"/>
        <v>1.5220289831297684</v>
      </c>
      <c r="J344" s="115">
        <f t="shared" si="85"/>
        <v>269.91188053407529</v>
      </c>
      <c r="K344" s="115">
        <f t="shared" si="86"/>
        <v>49.466829028739944</v>
      </c>
      <c r="L344" s="115">
        <f t="shared" si="87"/>
        <v>238.4380523905798</v>
      </c>
      <c r="M344" s="115">
        <f t="shared" si="88"/>
        <v>286.17254213937673</v>
      </c>
      <c r="N344" s="115">
        <f t="shared" si="89"/>
        <v>309.10757590764223</v>
      </c>
      <c r="O344" s="115">
        <f t="shared" si="90"/>
        <v>261.44079855321206</v>
      </c>
      <c r="P344" s="115">
        <f t="shared" si="91"/>
        <v>289.23121250326164</v>
      </c>
      <c r="Q344" s="115">
        <f t="shared" si="92"/>
        <v>34.666033009462772</v>
      </c>
    </row>
    <row r="345" spans="1:17" x14ac:dyDescent="0.25">
      <c r="A345" s="114">
        <f t="shared" si="94"/>
        <v>44575</v>
      </c>
      <c r="B345">
        <f t="shared" si="96"/>
        <v>5.5</v>
      </c>
      <c r="C345" s="109">
        <f t="shared" si="97"/>
        <v>19.066666666666666</v>
      </c>
      <c r="D345" s="109">
        <f t="shared" si="98"/>
        <v>72.86666666666666</v>
      </c>
      <c r="E345" s="107">
        <f t="shared" si="99"/>
        <v>44575.291666666672</v>
      </c>
      <c r="F345" s="106">
        <f t="shared" si="95"/>
        <v>44575.301785097145</v>
      </c>
      <c r="G345" t="str">
        <f t="shared" si="100"/>
        <v>Friday</v>
      </c>
      <c r="H345" s="129">
        <v>0.52083333333332804</v>
      </c>
      <c r="I345" s="115">
        <f t="shared" si="84"/>
        <v>3.0545789676883999</v>
      </c>
      <c r="J345" s="115">
        <f t="shared" si="85"/>
        <v>269.91541651286775</v>
      </c>
      <c r="K345" s="115">
        <f t="shared" si="86"/>
        <v>49.507716494806068</v>
      </c>
      <c r="L345" s="115">
        <f t="shared" si="87"/>
        <v>238.4405484908884</v>
      </c>
      <c r="M345" s="115">
        <f t="shared" si="88"/>
        <v>286.17267204390481</v>
      </c>
      <c r="N345" s="115">
        <f t="shared" si="89"/>
        <v>309.10831711165991</v>
      </c>
      <c r="O345" s="115">
        <f t="shared" si="90"/>
        <v>261.43887398569706</v>
      </c>
      <c r="P345" s="115">
        <f t="shared" si="91"/>
        <v>289.23161307810693</v>
      </c>
      <c r="Q345" s="115">
        <f t="shared" si="92"/>
        <v>34.665849009509962</v>
      </c>
    </row>
    <row r="346" spans="1:17" x14ac:dyDescent="0.25">
      <c r="A346" s="114">
        <f t="shared" si="94"/>
        <v>44575</v>
      </c>
      <c r="B346">
        <f t="shared" si="96"/>
        <v>5.5</v>
      </c>
      <c r="C346" s="109">
        <f t="shared" si="97"/>
        <v>19.066666666666666</v>
      </c>
      <c r="D346" s="109">
        <f t="shared" si="98"/>
        <v>72.86666666666666</v>
      </c>
      <c r="E346" s="107">
        <f t="shared" si="99"/>
        <v>44575.295138888891</v>
      </c>
      <c r="F346" s="106">
        <f t="shared" si="95"/>
        <v>44575.301785097145</v>
      </c>
      <c r="G346" t="str">
        <f t="shared" si="100"/>
        <v>Friday</v>
      </c>
      <c r="H346" s="129">
        <v>0.52430555555555003</v>
      </c>
      <c r="I346" s="115">
        <f t="shared" si="84"/>
        <v>4.5788889298712689</v>
      </c>
      <c r="J346" s="115">
        <f t="shared" si="85"/>
        <v>269.91895249010594</v>
      </c>
      <c r="K346" s="115">
        <f t="shared" si="86"/>
        <v>49.54860432031078</v>
      </c>
      <c r="L346" s="115">
        <f t="shared" si="87"/>
        <v>238.44304459859012</v>
      </c>
      <c r="M346" s="115">
        <f t="shared" si="88"/>
        <v>286.17279966663824</v>
      </c>
      <c r="N346" s="115">
        <f t="shared" si="89"/>
        <v>309.1090583296795</v>
      </c>
      <c r="O346" s="115">
        <f t="shared" si="90"/>
        <v>261.43694967843959</v>
      </c>
      <c r="P346" s="115">
        <f t="shared" si="91"/>
        <v>289.23201365730205</v>
      </c>
      <c r="Q346" s="115">
        <f t="shared" si="92"/>
        <v>34.665665009540575</v>
      </c>
    </row>
    <row r="347" spans="1:17" x14ac:dyDescent="0.25">
      <c r="A347" s="114">
        <f t="shared" si="94"/>
        <v>44575</v>
      </c>
      <c r="B347">
        <f t="shared" si="96"/>
        <v>5.5</v>
      </c>
      <c r="C347" s="109">
        <f t="shared" si="97"/>
        <v>19.066666666666666</v>
      </c>
      <c r="D347" s="109">
        <f t="shared" si="98"/>
        <v>72.86666666666666</v>
      </c>
      <c r="E347" s="107">
        <f t="shared" si="99"/>
        <v>44575.298611111117</v>
      </c>
      <c r="F347" s="106">
        <f t="shared" si="95"/>
        <v>44575.301785097145</v>
      </c>
      <c r="G347" t="str">
        <f t="shared" si="100"/>
        <v>Friday</v>
      </c>
      <c r="H347" s="129">
        <v>0.52777777777777202</v>
      </c>
      <c r="I347" s="115">
        <f t="shared" si="84"/>
        <v>6.0946765897034183</v>
      </c>
      <c r="J347" s="115">
        <f t="shared" si="85"/>
        <v>269.92248846503151</v>
      </c>
      <c r="K347" s="115">
        <f t="shared" si="86"/>
        <v>49.589492496823986</v>
      </c>
      <c r="L347" s="115">
        <f t="shared" si="87"/>
        <v>238.44554071351209</v>
      </c>
      <c r="M347" s="115">
        <f t="shared" si="88"/>
        <v>286.17292500699313</v>
      </c>
      <c r="N347" s="115">
        <f t="shared" si="89"/>
        <v>309.10979956187174</v>
      </c>
      <c r="O347" s="115">
        <f t="shared" si="90"/>
        <v>261.43502563211985</v>
      </c>
      <c r="P347" s="115">
        <f t="shared" si="91"/>
        <v>289.23241424220902</v>
      </c>
      <c r="Q347" s="115">
        <f t="shared" si="92"/>
        <v>34.665481009604243</v>
      </c>
    </row>
    <row r="348" spans="1:17" x14ac:dyDescent="0.25">
      <c r="A348" s="114">
        <f t="shared" si="94"/>
        <v>44575</v>
      </c>
      <c r="B348">
        <f t="shared" si="96"/>
        <v>5.5</v>
      </c>
      <c r="C348" s="109">
        <f t="shared" si="97"/>
        <v>19.066666666666666</v>
      </c>
      <c r="D348" s="109">
        <f t="shared" si="98"/>
        <v>72.86666666666666</v>
      </c>
      <c r="E348" s="107">
        <f t="shared" si="99"/>
        <v>44575.302083333336</v>
      </c>
      <c r="F348" s="106">
        <f t="shared" si="95"/>
        <v>44575.301785097145</v>
      </c>
      <c r="G348" t="str">
        <f t="shared" si="100"/>
        <v>Friday</v>
      </c>
      <c r="H348" s="129">
        <v>0.531249999999994</v>
      </c>
      <c r="I348" s="115">
        <f t="shared" si="84"/>
        <v>7.6016870483394428</v>
      </c>
      <c r="J348" s="115">
        <f t="shared" si="85"/>
        <v>269.92602443853758</v>
      </c>
      <c r="K348" s="115">
        <f t="shared" si="86"/>
        <v>49.630381037735638</v>
      </c>
      <c r="L348" s="115">
        <f t="shared" si="87"/>
        <v>238.44803683619281</v>
      </c>
      <c r="M348" s="115">
        <f t="shared" si="88"/>
        <v>286.17304806472737</v>
      </c>
      <c r="N348" s="115">
        <f t="shared" si="89"/>
        <v>309.11054080825534</v>
      </c>
      <c r="O348" s="115">
        <f t="shared" si="90"/>
        <v>261.4331018461645</v>
      </c>
      <c r="P348" s="115">
        <f t="shared" si="91"/>
        <v>289.23281483209831</v>
      </c>
      <c r="Q348" s="115">
        <f t="shared" si="92"/>
        <v>34.665297009601737</v>
      </c>
    </row>
    <row r="349" spans="1:17" x14ac:dyDescent="0.25">
      <c r="A349" s="114">
        <f t="shared" si="94"/>
        <v>44575</v>
      </c>
      <c r="B349">
        <f t="shared" si="96"/>
        <v>5.5</v>
      </c>
      <c r="C349" s="109">
        <f t="shared" si="97"/>
        <v>19.066666666666666</v>
      </c>
      <c r="D349" s="109">
        <f t="shared" si="98"/>
        <v>72.86666666666666</v>
      </c>
      <c r="E349" s="107">
        <f t="shared" si="99"/>
        <v>44575.305555555555</v>
      </c>
      <c r="F349" s="106">
        <f t="shared" si="95"/>
        <v>44575.301785097145</v>
      </c>
      <c r="G349" t="str">
        <f t="shared" si="100"/>
        <v>Friday</v>
      </c>
      <c r="H349" s="129">
        <v>0.53472222222221599</v>
      </c>
      <c r="I349" s="115">
        <f t="shared" ref="I349:I412" si="101">(Asdt(C349,D349,E349))</f>
        <v>9.0996911065428741</v>
      </c>
      <c r="J349" s="115">
        <f t="shared" ref="J349:J412" si="102">(Planet(E349,0))</f>
        <v>269.92956040968244</v>
      </c>
      <c r="K349" s="115">
        <f t="shared" ref="K349:K412" si="103">(Planet(E349,1))</f>
        <v>49.671269934616589</v>
      </c>
      <c r="L349" s="115">
        <f t="shared" ref="L349:L412" si="104">(Planet(E349,4))</f>
        <v>238.45053296594349</v>
      </c>
      <c r="M349" s="115">
        <f t="shared" ref="M349:M412" si="105">(Planet(E349,2))</f>
        <v>286.17316883952918</v>
      </c>
      <c r="N349" s="115">
        <f t="shared" ref="N349:N412" si="106">(Planet(E349,5))</f>
        <v>309.11128206882262</v>
      </c>
      <c r="O349" s="115">
        <f t="shared" ref="O349:O412" si="107">Planet(E349,3)</f>
        <v>261.43117832157913</v>
      </c>
      <c r="P349" s="115">
        <f t="shared" ref="P349:P412" si="108">Planet(E349,6)</f>
        <v>289.23321542660034</v>
      </c>
      <c r="Q349" s="115">
        <f t="shared" ref="Q349:Q412" si="109">Planet(E349,10)</f>
        <v>34.66511300964892</v>
      </c>
    </row>
    <row r="350" spans="1:17" x14ac:dyDescent="0.25">
      <c r="A350" s="114">
        <f t="shared" si="94"/>
        <v>44575</v>
      </c>
      <c r="B350">
        <f t="shared" si="96"/>
        <v>5.5</v>
      </c>
      <c r="C350" s="109">
        <f t="shared" si="97"/>
        <v>19.066666666666666</v>
      </c>
      <c r="D350" s="109">
        <f t="shared" si="98"/>
        <v>72.86666666666666</v>
      </c>
      <c r="E350" s="107">
        <f t="shared" si="99"/>
        <v>44575.309027777781</v>
      </c>
      <c r="F350" s="106">
        <f t="shared" si="95"/>
        <v>44575.301785097145</v>
      </c>
      <c r="G350" t="str">
        <f t="shared" si="100"/>
        <v>Friday</v>
      </c>
      <c r="H350" s="129">
        <v>0.53819444444443798</v>
      </c>
      <c r="I350" s="115">
        <f t="shared" si="101"/>
        <v>10.588486693588258</v>
      </c>
      <c r="J350" s="115">
        <f t="shared" si="102"/>
        <v>269.9330963795137</v>
      </c>
      <c r="K350" s="115">
        <f t="shared" si="103"/>
        <v>49.712159200920709</v>
      </c>
      <c r="L350" s="115">
        <f t="shared" si="104"/>
        <v>238.4530291035484</v>
      </c>
      <c r="M350" s="115">
        <f t="shared" si="105"/>
        <v>286.17328733096224</v>
      </c>
      <c r="N350" s="115">
        <f t="shared" si="106"/>
        <v>309.11202334337224</v>
      </c>
      <c r="O350" s="115">
        <f t="shared" si="107"/>
        <v>261.4292550576734</v>
      </c>
      <c r="P350" s="115">
        <f t="shared" si="108"/>
        <v>289.23361602637794</v>
      </c>
      <c r="Q350" s="115">
        <f t="shared" si="109"/>
        <v>34.664929009679533</v>
      </c>
    </row>
    <row r="351" spans="1:17" x14ac:dyDescent="0.25">
      <c r="A351" s="114">
        <f t="shared" si="94"/>
        <v>44575</v>
      </c>
      <c r="B351">
        <f t="shared" si="96"/>
        <v>5.5</v>
      </c>
      <c r="C351" s="109">
        <f t="shared" si="97"/>
        <v>19.066666666666666</v>
      </c>
      <c r="D351" s="109">
        <f t="shared" si="98"/>
        <v>72.86666666666666</v>
      </c>
      <c r="E351" s="107">
        <f t="shared" si="99"/>
        <v>44575.3125</v>
      </c>
      <c r="F351" s="106">
        <f t="shared" si="95"/>
        <v>44575.301785097145</v>
      </c>
      <c r="G351" t="str">
        <f t="shared" si="100"/>
        <v>Friday</v>
      </c>
      <c r="H351" s="129">
        <v>0.54166666666665997</v>
      </c>
      <c r="I351" s="115">
        <f t="shared" si="101"/>
        <v>12.067896932470731</v>
      </c>
      <c r="J351" s="115">
        <f t="shared" si="102"/>
        <v>269.93663234685931</v>
      </c>
      <c r="K351" s="115">
        <f t="shared" si="103"/>
        <v>49.753048828163102</v>
      </c>
      <c r="L351" s="115">
        <f t="shared" si="104"/>
        <v>238.4555252480904</v>
      </c>
      <c r="M351" s="115">
        <f t="shared" si="105"/>
        <v>286.17340353875176</v>
      </c>
      <c r="N351" s="115">
        <f t="shared" si="106"/>
        <v>309.11276463196543</v>
      </c>
      <c r="O351" s="115">
        <f t="shared" si="107"/>
        <v>261.42733205539469</v>
      </c>
      <c r="P351" s="115">
        <f t="shared" si="108"/>
        <v>289.23401663068631</v>
      </c>
      <c r="Q351" s="115">
        <f t="shared" si="109"/>
        <v>34.664745009710145</v>
      </c>
    </row>
    <row r="352" spans="1:17" x14ac:dyDescent="0.25">
      <c r="A352" s="114">
        <f t="shared" si="94"/>
        <v>44575</v>
      </c>
      <c r="B352">
        <f t="shared" si="96"/>
        <v>5.5</v>
      </c>
      <c r="C352" s="109">
        <f t="shared" si="97"/>
        <v>19.066666666666666</v>
      </c>
      <c r="D352" s="109">
        <f t="shared" si="98"/>
        <v>72.86666666666666</v>
      </c>
      <c r="E352" s="107">
        <f t="shared" si="99"/>
        <v>44575.315972222226</v>
      </c>
      <c r="F352" s="106">
        <f t="shared" si="95"/>
        <v>44575.301785097145</v>
      </c>
      <c r="G352" t="str">
        <f t="shared" si="100"/>
        <v>Friday</v>
      </c>
      <c r="H352" s="129">
        <v>0.54513888888888196</v>
      </c>
      <c r="I352" s="115">
        <f t="shared" si="101"/>
        <v>13.537771101752917</v>
      </c>
      <c r="J352" s="115">
        <f t="shared" si="102"/>
        <v>269.94016831217607</v>
      </c>
      <c r="K352" s="115">
        <f t="shared" si="103"/>
        <v>49.793938824353688</v>
      </c>
      <c r="L352" s="115">
        <f t="shared" si="104"/>
        <v>238.45802139987939</v>
      </c>
      <c r="M352" s="115">
        <f t="shared" si="105"/>
        <v>286.17351746249642</v>
      </c>
      <c r="N352" s="115">
        <f t="shared" si="106"/>
        <v>309.11350593452704</v>
      </c>
      <c r="O352" s="115">
        <f t="shared" si="107"/>
        <v>261.42540931427391</v>
      </c>
      <c r="P352" s="115">
        <f t="shared" si="108"/>
        <v>289.23441724047888</v>
      </c>
      <c r="Q352" s="115">
        <f t="shared" si="109"/>
        <v>34.664561009757293</v>
      </c>
    </row>
    <row r="353" spans="1:17" x14ac:dyDescent="0.25">
      <c r="A353" s="114">
        <f t="shared" si="94"/>
        <v>44575</v>
      </c>
      <c r="B353">
        <f t="shared" si="96"/>
        <v>5.5</v>
      </c>
      <c r="C353" s="109">
        <f t="shared" si="97"/>
        <v>19.066666666666666</v>
      </c>
      <c r="D353" s="109">
        <f t="shared" si="98"/>
        <v>72.86666666666666</v>
      </c>
      <c r="E353" s="107">
        <f t="shared" si="99"/>
        <v>44575.319444444445</v>
      </c>
      <c r="F353" s="106">
        <f t="shared" si="95"/>
        <v>44575.301785097145</v>
      </c>
      <c r="G353" t="str">
        <f t="shared" si="100"/>
        <v>Friday</v>
      </c>
      <c r="H353" s="129">
        <v>0.54861111111110406</v>
      </c>
      <c r="I353" s="115">
        <f t="shared" si="101"/>
        <v>14.997983478455666</v>
      </c>
      <c r="J353" s="115">
        <f t="shared" si="102"/>
        <v>269.94370427619509</v>
      </c>
      <c r="K353" s="115">
        <f t="shared" si="103"/>
        <v>49.834829197436157</v>
      </c>
      <c r="L353" s="115">
        <f t="shared" si="104"/>
        <v>238.46051755950569</v>
      </c>
      <c r="M353" s="115">
        <f t="shared" si="105"/>
        <v>286.1736291019435</v>
      </c>
      <c r="N353" s="115">
        <f t="shared" si="106"/>
        <v>309.11424725142979</v>
      </c>
      <c r="O353" s="115">
        <f t="shared" si="107"/>
        <v>261.4234868346478</v>
      </c>
      <c r="P353" s="115">
        <f t="shared" si="108"/>
        <v>289.23481785501508</v>
      </c>
      <c r="Q353" s="115">
        <f t="shared" si="109"/>
        <v>34.66437700980444</v>
      </c>
    </row>
    <row r="354" spans="1:17" x14ac:dyDescent="0.25">
      <c r="A354" s="114">
        <f t="shared" si="94"/>
        <v>44575</v>
      </c>
      <c r="B354">
        <f t="shared" si="96"/>
        <v>5.5</v>
      </c>
      <c r="C354" s="109">
        <f t="shared" si="97"/>
        <v>19.066666666666666</v>
      </c>
      <c r="D354" s="109">
        <f t="shared" si="98"/>
        <v>72.86666666666666</v>
      </c>
      <c r="E354" s="107">
        <f t="shared" si="99"/>
        <v>44575.322916666672</v>
      </c>
      <c r="F354" s="106">
        <f t="shared" si="95"/>
        <v>44575.301785097145</v>
      </c>
      <c r="G354" t="str">
        <f t="shared" si="100"/>
        <v>Friday</v>
      </c>
      <c r="H354" s="129">
        <v>0.55208333333332604</v>
      </c>
      <c r="I354" s="115">
        <f t="shared" si="101"/>
        <v>16.4484321080893</v>
      </c>
      <c r="J354" s="115">
        <f t="shared" si="102"/>
        <v>269.94724023785392</v>
      </c>
      <c r="K354" s="115">
        <f t="shared" si="103"/>
        <v>49.875719938920341</v>
      </c>
      <c r="L354" s="115">
        <f t="shared" si="104"/>
        <v>238.46301372627391</v>
      </c>
      <c r="M354" s="115">
        <f t="shared" si="105"/>
        <v>286.17373845671978</v>
      </c>
      <c r="N354" s="115">
        <f t="shared" si="106"/>
        <v>309.11498858241129</v>
      </c>
      <c r="O354" s="115">
        <f t="shared" si="107"/>
        <v>261.42156461679991</v>
      </c>
      <c r="P354" s="115">
        <f t="shared" si="108"/>
        <v>289.2352184743674</v>
      </c>
      <c r="Q354" s="115">
        <f t="shared" si="109"/>
        <v>34.66419300985163</v>
      </c>
    </row>
    <row r="355" spans="1:17" x14ac:dyDescent="0.25">
      <c r="A355" s="114">
        <f t="shared" si="94"/>
        <v>44575</v>
      </c>
      <c r="B355">
        <f t="shared" si="96"/>
        <v>5.5</v>
      </c>
      <c r="C355" s="109">
        <f t="shared" si="97"/>
        <v>19.066666666666666</v>
      </c>
      <c r="D355" s="109">
        <f t="shared" si="98"/>
        <v>72.86666666666666</v>
      </c>
      <c r="E355" s="107">
        <f t="shared" si="99"/>
        <v>44575.326388888891</v>
      </c>
      <c r="F355" s="106">
        <f t="shared" si="95"/>
        <v>44575.301785097145</v>
      </c>
      <c r="G355" t="str">
        <f t="shared" si="100"/>
        <v>Friday</v>
      </c>
      <c r="H355" s="129">
        <v>0.55555555555554803</v>
      </c>
      <c r="I355" s="115">
        <f t="shared" si="101"/>
        <v>17.889039445484666</v>
      </c>
      <c r="J355" s="115">
        <f t="shared" si="102"/>
        <v>269.95077619808529</v>
      </c>
      <c r="K355" s="115">
        <f t="shared" si="103"/>
        <v>49.916611062241998</v>
      </c>
      <c r="L355" s="115">
        <f t="shared" si="104"/>
        <v>238.4655099007511</v>
      </c>
      <c r="M355" s="115">
        <f t="shared" si="105"/>
        <v>286.17384552646496</v>
      </c>
      <c r="N355" s="115">
        <f t="shared" si="106"/>
        <v>309.11572992757317</v>
      </c>
      <c r="O355" s="115">
        <f t="shared" si="107"/>
        <v>261.41964266068686</v>
      </c>
      <c r="P355" s="115">
        <f t="shared" si="108"/>
        <v>289.23561909923461</v>
      </c>
      <c r="Q355" s="115">
        <f t="shared" si="109"/>
        <v>34.664009009849067</v>
      </c>
    </row>
    <row r="356" spans="1:17" x14ac:dyDescent="0.25">
      <c r="A356" s="114">
        <f t="shared" si="94"/>
        <v>44575</v>
      </c>
      <c r="B356">
        <f t="shared" si="96"/>
        <v>5.5</v>
      </c>
      <c r="C356" s="109">
        <f t="shared" si="97"/>
        <v>19.066666666666666</v>
      </c>
      <c r="D356" s="109">
        <f t="shared" si="98"/>
        <v>72.86666666666666</v>
      </c>
      <c r="E356" s="107">
        <f t="shared" si="99"/>
        <v>44575.329861111117</v>
      </c>
      <c r="F356" s="106">
        <f t="shared" si="95"/>
        <v>44575.301785097145</v>
      </c>
      <c r="G356" t="str">
        <f t="shared" si="100"/>
        <v>Friday</v>
      </c>
      <c r="H356" s="129">
        <v>0.55902777777777002</v>
      </c>
      <c r="I356" s="115">
        <f t="shared" si="101"/>
        <v>19.319749991633675</v>
      </c>
      <c r="J356" s="115">
        <f t="shared" si="102"/>
        <v>269.95431215606419</v>
      </c>
      <c r="K356" s="115">
        <f t="shared" si="103"/>
        <v>49.957502558931232</v>
      </c>
      <c r="L356" s="115">
        <f t="shared" si="104"/>
        <v>238.46800608243956</v>
      </c>
      <c r="M356" s="115">
        <f t="shared" si="105"/>
        <v>286.17395031083782</v>
      </c>
      <c r="N356" s="115">
        <f t="shared" si="106"/>
        <v>309.11647128673258</v>
      </c>
      <c r="O356" s="115">
        <f t="shared" si="107"/>
        <v>261.41772096669285</v>
      </c>
      <c r="P356" s="115">
        <f t="shared" si="108"/>
        <v>289.23601972840419</v>
      </c>
      <c r="Q356" s="115">
        <f t="shared" si="109"/>
        <v>34.663825009896243</v>
      </c>
    </row>
    <row r="357" spans="1:17" x14ac:dyDescent="0.25">
      <c r="A357" s="114">
        <f t="shared" si="94"/>
        <v>44575</v>
      </c>
      <c r="B357">
        <f t="shared" si="96"/>
        <v>5.5</v>
      </c>
      <c r="C357" s="109">
        <f t="shared" si="97"/>
        <v>19.066666666666666</v>
      </c>
      <c r="D357" s="109">
        <f t="shared" si="98"/>
        <v>72.86666666666666</v>
      </c>
      <c r="E357" s="107">
        <f t="shared" si="99"/>
        <v>44575.333333333336</v>
      </c>
      <c r="F357" s="106">
        <f t="shared" si="95"/>
        <v>44575.301785097145</v>
      </c>
      <c r="G357" t="str">
        <f t="shared" si="100"/>
        <v>Friday</v>
      </c>
      <c r="H357" s="129">
        <v>0.56249999999999201</v>
      </c>
      <c r="I357" s="115">
        <f t="shared" si="101"/>
        <v>20.740530980339663</v>
      </c>
      <c r="J357" s="115">
        <f t="shared" si="102"/>
        <v>269.95784811243658</v>
      </c>
      <c r="K357" s="115">
        <f t="shared" si="103"/>
        <v>49.99839444248375</v>
      </c>
      <c r="L357" s="115">
        <f t="shared" si="104"/>
        <v>238.47050227169791</v>
      </c>
      <c r="M357" s="115">
        <f t="shared" si="105"/>
        <v>286.17405280940199</v>
      </c>
      <c r="N357" s="115">
        <f t="shared" si="106"/>
        <v>309.11721265984585</v>
      </c>
      <c r="O357" s="115">
        <f t="shared" si="107"/>
        <v>261.4157995345472</v>
      </c>
      <c r="P357" s="115">
        <f t="shared" si="108"/>
        <v>289.23642036269513</v>
      </c>
      <c r="Q357" s="115">
        <f t="shared" si="109"/>
        <v>34.663641009926806</v>
      </c>
    </row>
    <row r="358" spans="1:17" x14ac:dyDescent="0.25">
      <c r="A358" s="114">
        <f t="shared" si="94"/>
        <v>44575</v>
      </c>
      <c r="B358">
        <f t="shared" si="96"/>
        <v>5.5</v>
      </c>
      <c r="C358" s="109">
        <f t="shared" si="97"/>
        <v>19.066666666666666</v>
      </c>
      <c r="D358" s="109">
        <f t="shared" si="98"/>
        <v>72.86666666666666</v>
      </c>
      <c r="E358" s="107">
        <f t="shared" si="99"/>
        <v>44575.336805555555</v>
      </c>
      <c r="F358" s="106">
        <f t="shared" si="95"/>
        <v>44575.301785097145</v>
      </c>
      <c r="G358" t="str">
        <f t="shared" si="100"/>
        <v>Friday</v>
      </c>
      <c r="H358" s="129">
        <v>0.56597222222221399</v>
      </c>
      <c r="I358" s="115">
        <f t="shared" si="101"/>
        <v>22.151369926197432</v>
      </c>
      <c r="J358" s="115">
        <f t="shared" si="102"/>
        <v>269.96138406644479</v>
      </c>
      <c r="K358" s="115">
        <f t="shared" si="103"/>
        <v>50.039286704356741</v>
      </c>
      <c r="L358" s="115">
        <f t="shared" si="104"/>
        <v>238.47299846791381</v>
      </c>
      <c r="M358" s="115">
        <f t="shared" si="105"/>
        <v>286.17415302200232</v>
      </c>
      <c r="N358" s="115">
        <f t="shared" si="106"/>
        <v>309.11795404726132</v>
      </c>
      <c r="O358" s="115">
        <f t="shared" si="107"/>
        <v>261.41387836503918</v>
      </c>
      <c r="P358" s="115">
        <f t="shared" si="108"/>
        <v>289.23682100207833</v>
      </c>
      <c r="Q358" s="115">
        <f t="shared" si="109"/>
        <v>34.663457009973975</v>
      </c>
    </row>
    <row r="359" spans="1:17" x14ac:dyDescent="0.25">
      <c r="A359" s="114">
        <f t="shared" si="94"/>
        <v>44575</v>
      </c>
      <c r="B359">
        <f t="shared" si="96"/>
        <v>5.5</v>
      </c>
      <c r="C359" s="109">
        <f t="shared" si="97"/>
        <v>19.066666666666666</v>
      </c>
      <c r="D359" s="109">
        <f t="shared" si="98"/>
        <v>72.86666666666666</v>
      </c>
      <c r="E359" s="107">
        <f t="shared" si="99"/>
        <v>44575.340277777781</v>
      </c>
      <c r="F359" s="106">
        <f t="shared" si="95"/>
        <v>44575.301785097145</v>
      </c>
      <c r="G359" t="str">
        <f t="shared" si="100"/>
        <v>Friday</v>
      </c>
      <c r="H359" s="129">
        <v>0.56944444444443598</v>
      </c>
      <c r="I359" s="115">
        <f t="shared" si="101"/>
        <v>23.552275201559475</v>
      </c>
      <c r="J359" s="115">
        <f t="shared" si="102"/>
        <v>269.96492001908769</v>
      </c>
      <c r="K359" s="115">
        <f t="shared" si="103"/>
        <v>50.080179358008529</v>
      </c>
      <c r="L359" s="115">
        <f t="shared" si="104"/>
        <v>238.4754946719554</v>
      </c>
      <c r="M359" s="115">
        <f t="shared" si="105"/>
        <v>286.174250948203</v>
      </c>
      <c r="N359" s="115">
        <f t="shared" si="106"/>
        <v>309.11869544858013</v>
      </c>
      <c r="O359" s="115">
        <f t="shared" si="107"/>
        <v>261.41195745776133</v>
      </c>
      <c r="P359" s="115">
        <f t="shared" si="108"/>
        <v>289.23722164631079</v>
      </c>
      <c r="Q359" s="115">
        <f t="shared" si="109"/>
        <v>34.663273010021165</v>
      </c>
    </row>
    <row r="360" spans="1:17" x14ac:dyDescent="0.25">
      <c r="A360" s="114">
        <f t="shared" si="94"/>
        <v>44575</v>
      </c>
      <c r="B360">
        <f t="shared" si="96"/>
        <v>5.5</v>
      </c>
      <c r="C360" s="109">
        <f t="shared" si="97"/>
        <v>19.066666666666666</v>
      </c>
      <c r="D360" s="109">
        <f t="shared" si="98"/>
        <v>72.86666666666666</v>
      </c>
      <c r="E360" s="107">
        <f t="shared" si="99"/>
        <v>44575.34375</v>
      </c>
      <c r="F360" s="106">
        <f t="shared" si="95"/>
        <v>44575.301785097145</v>
      </c>
      <c r="G360" t="str">
        <f t="shared" si="100"/>
        <v>Friday</v>
      </c>
      <c r="H360" s="129">
        <v>0.57291666666665797</v>
      </c>
      <c r="I360" s="115">
        <f t="shared" si="101"/>
        <v>24.94327353803023</v>
      </c>
      <c r="J360" s="115">
        <f t="shared" si="102"/>
        <v>269.96845596935805</v>
      </c>
      <c r="K360" s="115">
        <f t="shared" si="103"/>
        <v>50.121072394929655</v>
      </c>
      <c r="L360" s="115">
        <f t="shared" si="104"/>
        <v>238.47799088315278</v>
      </c>
      <c r="M360" s="115">
        <f t="shared" si="105"/>
        <v>286.17434658765831</v>
      </c>
      <c r="N360" s="115">
        <f t="shared" si="106"/>
        <v>309.1194368641078</v>
      </c>
      <c r="O360" s="115">
        <f t="shared" si="107"/>
        <v>261.41003681316073</v>
      </c>
      <c r="P360" s="115">
        <f t="shared" si="108"/>
        <v>289.23762229519537</v>
      </c>
      <c r="Q360" s="115">
        <f t="shared" si="109"/>
        <v>34.663089010068326</v>
      </c>
    </row>
    <row r="361" spans="1:17" x14ac:dyDescent="0.25">
      <c r="A361" s="114">
        <f t="shared" si="94"/>
        <v>44575</v>
      </c>
      <c r="B361">
        <f t="shared" si="96"/>
        <v>5.5</v>
      </c>
      <c r="C361" s="109">
        <f t="shared" si="97"/>
        <v>19.066666666666666</v>
      </c>
      <c r="D361" s="109">
        <f t="shared" si="98"/>
        <v>72.86666666666666</v>
      </c>
      <c r="E361" s="107">
        <f t="shared" si="99"/>
        <v>44575.347222222226</v>
      </c>
      <c r="F361" s="106">
        <f t="shared" si="95"/>
        <v>44575.301785097145</v>
      </c>
      <c r="G361" t="str">
        <f t="shared" si="100"/>
        <v>Friday</v>
      </c>
      <c r="H361" s="129">
        <v>0.57638888888887996</v>
      </c>
      <c r="I361" s="115">
        <f t="shared" si="101"/>
        <v>26.324410348388785</v>
      </c>
      <c r="J361" s="115">
        <f t="shared" si="102"/>
        <v>269.97199191773092</v>
      </c>
      <c r="K361" s="115">
        <f t="shared" si="103"/>
        <v>50.161965823057749</v>
      </c>
      <c r="L361" s="115">
        <f t="shared" si="104"/>
        <v>238.48048710167663</v>
      </c>
      <c r="M361" s="115">
        <f t="shared" si="105"/>
        <v>286.17443994004475</v>
      </c>
      <c r="N361" s="115">
        <f t="shared" si="106"/>
        <v>309.12017829358075</v>
      </c>
      <c r="O361" s="115">
        <f t="shared" si="107"/>
        <v>261.40811643138306</v>
      </c>
      <c r="P361" s="115">
        <f t="shared" si="108"/>
        <v>289.23802295003702</v>
      </c>
      <c r="Q361" s="115">
        <f t="shared" si="109"/>
        <v>34.662905010082326</v>
      </c>
    </row>
    <row r="362" spans="1:17" x14ac:dyDescent="0.25">
      <c r="A362" s="114">
        <f t="shared" si="94"/>
        <v>44575</v>
      </c>
      <c r="B362">
        <f t="shared" si="96"/>
        <v>5.5</v>
      </c>
      <c r="C362" s="109">
        <f t="shared" si="97"/>
        <v>19.066666666666666</v>
      </c>
      <c r="D362" s="109">
        <f t="shared" si="98"/>
        <v>72.86666666666666</v>
      </c>
      <c r="E362" s="107">
        <f t="shared" si="99"/>
        <v>44575.350694444445</v>
      </c>
      <c r="F362" s="106">
        <f t="shared" si="95"/>
        <v>44575.301785097145</v>
      </c>
      <c r="G362" t="str">
        <f t="shared" si="100"/>
        <v>Friday</v>
      </c>
      <c r="H362" s="129">
        <v>0.57986111111110095</v>
      </c>
      <c r="I362" s="115">
        <f t="shared" si="101"/>
        <v>27.695748144060712</v>
      </c>
      <c r="J362" s="115">
        <f t="shared" si="102"/>
        <v>269.97552786475052</v>
      </c>
      <c r="K362" s="115">
        <f t="shared" si="103"/>
        <v>50.202859650388163</v>
      </c>
      <c r="L362" s="115">
        <f t="shared" si="104"/>
        <v>238.48298332805822</v>
      </c>
      <c r="M362" s="115">
        <f t="shared" si="105"/>
        <v>286.17453100504599</v>
      </c>
      <c r="N362" s="115">
        <f t="shared" si="106"/>
        <v>309.12091973744015</v>
      </c>
      <c r="O362" s="115">
        <f t="shared" si="107"/>
        <v>261.40619631220784</v>
      </c>
      <c r="P362" s="115">
        <f t="shared" si="108"/>
        <v>289.23842360903649</v>
      </c>
      <c r="Q362" s="115">
        <f t="shared" si="109"/>
        <v>34.662721010112946</v>
      </c>
    </row>
    <row r="363" spans="1:17" x14ac:dyDescent="0.25">
      <c r="A363" s="114">
        <f t="shared" si="94"/>
        <v>44575</v>
      </c>
      <c r="B363">
        <f t="shared" si="96"/>
        <v>5.5</v>
      </c>
      <c r="C363" s="109">
        <f t="shared" si="97"/>
        <v>19.066666666666666</v>
      </c>
      <c r="D363" s="109">
        <f t="shared" si="98"/>
        <v>72.86666666666666</v>
      </c>
      <c r="E363" s="107">
        <f t="shared" si="99"/>
        <v>44575.354166666672</v>
      </c>
      <c r="F363" s="106">
        <f t="shared" si="95"/>
        <v>44575.301785097145</v>
      </c>
      <c r="G363" t="str">
        <f t="shared" si="100"/>
        <v>Friday</v>
      </c>
      <c r="H363" s="129">
        <v>0.58333333333332305</v>
      </c>
      <c r="I363" s="115">
        <f t="shared" si="101"/>
        <v>29.057364973134799</v>
      </c>
      <c r="J363" s="115">
        <f t="shared" si="102"/>
        <v>269.97906380926656</v>
      </c>
      <c r="K363" s="115">
        <f t="shared" si="103"/>
        <v>50.243753868403992</v>
      </c>
      <c r="L363" s="115">
        <f t="shared" si="104"/>
        <v>238.48547956130065</v>
      </c>
      <c r="M363" s="115">
        <f t="shared" si="105"/>
        <v>286.17461978230455</v>
      </c>
      <c r="N363" s="115">
        <f t="shared" si="106"/>
        <v>309.12166119515717</v>
      </c>
      <c r="O363" s="115">
        <f t="shared" si="107"/>
        <v>261.40427645643939</v>
      </c>
      <c r="P363" s="115">
        <f t="shared" si="108"/>
        <v>289.23882427270519</v>
      </c>
      <c r="Q363" s="115">
        <f t="shared" si="109"/>
        <v>34.662537010143573</v>
      </c>
    </row>
    <row r="364" spans="1:17" x14ac:dyDescent="0.25">
      <c r="A364" s="114">
        <f t="shared" si="94"/>
        <v>44575</v>
      </c>
      <c r="B364">
        <f t="shared" si="96"/>
        <v>5.5</v>
      </c>
      <c r="C364" s="109">
        <f t="shared" si="97"/>
        <v>19.066666666666666</v>
      </c>
      <c r="D364" s="109">
        <f t="shared" si="98"/>
        <v>72.86666666666666</v>
      </c>
      <c r="E364" s="107">
        <f t="shared" si="99"/>
        <v>44575.357638888891</v>
      </c>
      <c r="F364" s="106">
        <f t="shared" si="95"/>
        <v>44575.301785097145</v>
      </c>
      <c r="G364" t="str">
        <f t="shared" si="100"/>
        <v>Friday</v>
      </c>
      <c r="H364" s="129">
        <v>0.58680555555554503</v>
      </c>
      <c r="I364" s="115">
        <f t="shared" si="101"/>
        <v>30.409354697141271</v>
      </c>
      <c r="J364" s="115">
        <f t="shared" si="102"/>
        <v>269.9825997524278</v>
      </c>
      <c r="K364" s="115">
        <f t="shared" si="103"/>
        <v>50.284648490580842</v>
      </c>
      <c r="L364" s="115">
        <f t="shared" si="104"/>
        <v>238.4879758023809</v>
      </c>
      <c r="M364" s="115">
        <f t="shared" si="105"/>
        <v>286.17470627146088</v>
      </c>
      <c r="N364" s="115">
        <f t="shared" si="106"/>
        <v>309.12240266706903</v>
      </c>
      <c r="O364" s="115">
        <f t="shared" si="107"/>
        <v>261.40235686342203</v>
      </c>
      <c r="P364" s="115">
        <f t="shared" si="108"/>
        <v>289.23922494276786</v>
      </c>
      <c r="Q364" s="115">
        <f t="shared" si="109"/>
        <v>34.662353010174193</v>
      </c>
    </row>
    <row r="365" spans="1:17" x14ac:dyDescent="0.25">
      <c r="A365" s="114">
        <f t="shared" si="94"/>
        <v>44575</v>
      </c>
      <c r="B365">
        <f t="shared" si="96"/>
        <v>5.5</v>
      </c>
      <c r="C365" s="109">
        <f t="shared" si="97"/>
        <v>19.066666666666666</v>
      </c>
      <c r="D365" s="109">
        <f t="shared" si="98"/>
        <v>72.86666666666666</v>
      </c>
      <c r="E365" s="107">
        <f t="shared" si="99"/>
        <v>44575.361111111117</v>
      </c>
      <c r="F365" s="106">
        <f t="shared" si="95"/>
        <v>44575.301785097145</v>
      </c>
      <c r="G365" t="str">
        <f t="shared" si="100"/>
        <v>Friday</v>
      </c>
      <c r="H365" s="129">
        <v>0.59027777777776702</v>
      </c>
      <c r="I365" s="115">
        <f t="shared" si="101"/>
        <v>31.751824525045215</v>
      </c>
      <c r="J365" s="115">
        <f t="shared" si="102"/>
        <v>269.98613569321833</v>
      </c>
      <c r="K365" s="115">
        <f t="shared" si="103"/>
        <v>50.325543508348915</v>
      </c>
      <c r="L365" s="115">
        <f t="shared" si="104"/>
        <v>238.49047205056661</v>
      </c>
      <c r="M365" s="115">
        <f t="shared" si="105"/>
        <v>286.1747904722115</v>
      </c>
      <c r="N365" s="115">
        <f t="shared" si="106"/>
        <v>309.12314415286943</v>
      </c>
      <c r="O365" s="115">
        <f t="shared" si="107"/>
        <v>261.40043753408253</v>
      </c>
      <c r="P365" s="115">
        <f t="shared" si="108"/>
        <v>289.23962561664524</v>
      </c>
      <c r="Q365" s="115">
        <f t="shared" si="109"/>
        <v>34.662169010237911</v>
      </c>
    </row>
    <row r="366" spans="1:17" x14ac:dyDescent="0.25">
      <c r="A366" s="114">
        <f t="shared" si="94"/>
        <v>44575</v>
      </c>
      <c r="B366">
        <f t="shared" si="96"/>
        <v>5.5</v>
      </c>
      <c r="C366" s="109">
        <f t="shared" si="97"/>
        <v>19.066666666666666</v>
      </c>
      <c r="D366" s="109">
        <f t="shared" si="98"/>
        <v>72.86666666666666</v>
      </c>
      <c r="E366" s="107">
        <f t="shared" si="99"/>
        <v>44575.364583333336</v>
      </c>
      <c r="F366" s="106">
        <f t="shared" si="95"/>
        <v>44575.301785097145</v>
      </c>
      <c r="G366" t="str">
        <f t="shared" si="100"/>
        <v>Friday</v>
      </c>
      <c r="H366" s="129">
        <v>0.59374999999998901</v>
      </c>
      <c r="I366" s="115">
        <f t="shared" si="101"/>
        <v>33.084895482405784</v>
      </c>
      <c r="J366" s="115">
        <f t="shared" si="102"/>
        <v>269.98967163257981</v>
      </c>
      <c r="K366" s="115">
        <f t="shared" si="103"/>
        <v>50.3664389351651</v>
      </c>
      <c r="L366" s="115">
        <f t="shared" si="104"/>
        <v>238.49296830643311</v>
      </c>
      <c r="M366" s="115">
        <f t="shared" si="105"/>
        <v>286.17487238416794</v>
      </c>
      <c r="N366" s="115">
        <f t="shared" si="106"/>
        <v>309.12388565302166</v>
      </c>
      <c r="O366" s="115">
        <f t="shared" si="107"/>
        <v>261.39851846796637</v>
      </c>
      <c r="P366" s="115">
        <f t="shared" si="108"/>
        <v>289.24002629590706</v>
      </c>
      <c r="Q366" s="115">
        <f t="shared" si="109"/>
        <v>34.661985010251904</v>
      </c>
    </row>
    <row r="367" spans="1:17" x14ac:dyDescent="0.25">
      <c r="A367" s="114">
        <f t="shared" si="94"/>
        <v>44575</v>
      </c>
      <c r="B367">
        <f t="shared" si="96"/>
        <v>5.5</v>
      </c>
      <c r="C367" s="109">
        <f t="shared" si="97"/>
        <v>19.066666666666666</v>
      </c>
      <c r="D367" s="109">
        <f t="shared" si="98"/>
        <v>72.86666666666666</v>
      </c>
      <c r="E367" s="107">
        <f t="shared" si="99"/>
        <v>44575.368055555555</v>
      </c>
      <c r="F367" s="106">
        <f t="shared" si="95"/>
        <v>44575.301785097145</v>
      </c>
      <c r="G367" t="str">
        <f t="shared" si="100"/>
        <v>Friday</v>
      </c>
      <c r="H367" s="129">
        <v>0.597222222222211</v>
      </c>
      <c r="I367" s="115">
        <f t="shared" si="101"/>
        <v>34.408700001673566</v>
      </c>
      <c r="J367" s="115">
        <f t="shared" si="102"/>
        <v>269.99320756956479</v>
      </c>
      <c r="K367" s="115">
        <f t="shared" si="103"/>
        <v>50.407334762533992</v>
      </c>
      <c r="L367" s="115">
        <f t="shared" si="104"/>
        <v>238.49546456935252</v>
      </c>
      <c r="M367" s="115">
        <f t="shared" si="105"/>
        <v>286.17495200707572</v>
      </c>
      <c r="N367" s="115">
        <f t="shared" si="106"/>
        <v>309.12462716712406</v>
      </c>
      <c r="O367" s="115">
        <f t="shared" si="107"/>
        <v>261.39659966572697</v>
      </c>
      <c r="P367" s="115">
        <f t="shared" si="108"/>
        <v>289.24042697995731</v>
      </c>
      <c r="Q367" s="115">
        <f t="shared" si="109"/>
        <v>34.661801010299101</v>
      </c>
    </row>
    <row r="368" spans="1:17" x14ac:dyDescent="0.25">
      <c r="A368" s="114">
        <f t="shared" si="94"/>
        <v>44575</v>
      </c>
      <c r="B368">
        <f t="shared" si="96"/>
        <v>5.5</v>
      </c>
      <c r="C368" s="109">
        <f t="shared" si="97"/>
        <v>19.066666666666666</v>
      </c>
      <c r="D368" s="109">
        <f t="shared" si="98"/>
        <v>72.86666666666666</v>
      </c>
      <c r="E368" s="107">
        <f t="shared" si="99"/>
        <v>44575.371527777781</v>
      </c>
      <c r="F368" s="106">
        <f t="shared" si="95"/>
        <v>44575.301785097145</v>
      </c>
      <c r="G368" t="str">
        <f t="shared" si="100"/>
        <v>Friday</v>
      </c>
      <c r="H368" s="129">
        <v>0.60069444444443298</v>
      </c>
      <c r="I368" s="115">
        <f t="shared" si="101"/>
        <v>35.723382415575401</v>
      </c>
      <c r="J368" s="115">
        <f t="shared" si="102"/>
        <v>269.99674350527567</v>
      </c>
      <c r="K368" s="115">
        <f t="shared" si="103"/>
        <v>50.448231003861224</v>
      </c>
      <c r="L368" s="115">
        <f t="shared" si="104"/>
        <v>238.49796084025013</v>
      </c>
      <c r="M368" s="115">
        <f t="shared" si="105"/>
        <v>286.17502934061559</v>
      </c>
      <c r="N368" s="115">
        <f t="shared" si="106"/>
        <v>309.12536869552537</v>
      </c>
      <c r="O368" s="115">
        <f t="shared" si="107"/>
        <v>261.39468112707425</v>
      </c>
      <c r="P368" s="115">
        <f t="shared" si="108"/>
        <v>289.24082766957326</v>
      </c>
      <c r="Q368" s="115">
        <f t="shared" si="109"/>
        <v>34.661617010313151</v>
      </c>
    </row>
    <row r="369" spans="1:17" x14ac:dyDescent="0.25">
      <c r="A369" s="114">
        <f t="shared" si="94"/>
        <v>44575</v>
      </c>
      <c r="B369">
        <f t="shared" si="96"/>
        <v>5.5</v>
      </c>
      <c r="C369" s="109">
        <f t="shared" si="97"/>
        <v>19.066666666666666</v>
      </c>
      <c r="D369" s="109">
        <f t="shared" si="98"/>
        <v>72.86666666666666</v>
      </c>
      <c r="E369" s="107">
        <f t="shared" si="99"/>
        <v>44575.375</v>
      </c>
      <c r="F369" s="106">
        <f t="shared" si="95"/>
        <v>44575.301785097145</v>
      </c>
      <c r="G369" t="str">
        <f t="shared" si="100"/>
        <v>Friday</v>
      </c>
      <c r="H369" s="129">
        <v>0.60416666666665497</v>
      </c>
      <c r="I369" s="115">
        <f t="shared" si="101"/>
        <v>37.029096619526229</v>
      </c>
      <c r="J369" s="115">
        <f t="shared" si="102"/>
        <v>270.00027943835721</v>
      </c>
      <c r="K369" s="115">
        <f t="shared" si="103"/>
        <v>50.489127650654794</v>
      </c>
      <c r="L369" s="115">
        <f t="shared" si="104"/>
        <v>238.50045711790145</v>
      </c>
      <c r="M369" s="115">
        <f t="shared" si="105"/>
        <v>286.17510438432657</v>
      </c>
      <c r="N369" s="115">
        <f t="shared" si="106"/>
        <v>309.12611023748786</v>
      </c>
      <c r="O369" s="115">
        <f t="shared" si="107"/>
        <v>261.39276285261337</v>
      </c>
      <c r="P369" s="115">
        <f t="shared" si="108"/>
        <v>289.24122836274501</v>
      </c>
      <c r="Q369" s="115">
        <f t="shared" si="109"/>
        <v>34.661433010360341</v>
      </c>
    </row>
    <row r="370" spans="1:17" x14ac:dyDescent="0.25">
      <c r="A370" s="114">
        <f t="shared" si="94"/>
        <v>44575</v>
      </c>
      <c r="B370">
        <f t="shared" si="96"/>
        <v>5.5</v>
      </c>
      <c r="C370" s="109">
        <f t="shared" si="97"/>
        <v>19.066666666666666</v>
      </c>
      <c r="D370" s="109">
        <f t="shared" si="98"/>
        <v>72.86666666666666</v>
      </c>
      <c r="E370" s="107">
        <f t="shared" si="99"/>
        <v>44575.378472222226</v>
      </c>
      <c r="F370" s="106">
        <f t="shared" si="95"/>
        <v>44575.301785097145</v>
      </c>
      <c r="G370" t="str">
        <f t="shared" si="100"/>
        <v>Friday</v>
      </c>
      <c r="H370" s="129">
        <v>0.60763888888887696</v>
      </c>
      <c r="I370" s="115">
        <f t="shared" si="101"/>
        <v>38.326006429655934</v>
      </c>
      <c r="J370" s="115">
        <f t="shared" si="102"/>
        <v>270.00381536966313</v>
      </c>
      <c r="K370" s="115">
        <f t="shared" si="103"/>
        <v>50.530024710882039</v>
      </c>
      <c r="L370" s="115">
        <f t="shared" si="104"/>
        <v>238.50295340308679</v>
      </c>
      <c r="M370" s="115">
        <f t="shared" si="105"/>
        <v>286.17517713792216</v>
      </c>
      <c r="N370" s="115">
        <f t="shared" si="106"/>
        <v>309.12685179402223</v>
      </c>
      <c r="O370" s="115">
        <f t="shared" si="107"/>
        <v>261.39084484210861</v>
      </c>
      <c r="P370" s="115">
        <f t="shared" si="108"/>
        <v>289.24162906173029</v>
      </c>
      <c r="Q370" s="115">
        <f t="shared" si="109"/>
        <v>34.661249010407445</v>
      </c>
    </row>
    <row r="371" spans="1:17" x14ac:dyDescent="0.25">
      <c r="A371" s="114">
        <f t="shared" si="94"/>
        <v>44575</v>
      </c>
      <c r="B371">
        <f t="shared" si="96"/>
        <v>5.5</v>
      </c>
      <c r="C371" s="109">
        <f t="shared" si="97"/>
        <v>19.066666666666666</v>
      </c>
      <c r="D371" s="109">
        <f t="shared" si="98"/>
        <v>72.86666666666666</v>
      </c>
      <c r="E371" s="107">
        <f t="shared" si="99"/>
        <v>44575.381944444445</v>
      </c>
      <c r="F371" s="106">
        <f t="shared" si="95"/>
        <v>44575.301785097145</v>
      </c>
      <c r="G371" t="str">
        <f t="shared" si="100"/>
        <v>Friday</v>
      </c>
      <c r="H371" s="129">
        <v>0.61111111111109895</v>
      </c>
      <c r="I371" s="115">
        <f t="shared" si="101"/>
        <v>39.614284197084984</v>
      </c>
      <c r="J371" s="115">
        <f t="shared" si="102"/>
        <v>270.0073512995379</v>
      </c>
      <c r="K371" s="115">
        <f t="shared" si="103"/>
        <v>50.570922192389112</v>
      </c>
      <c r="L371" s="115">
        <f t="shared" si="104"/>
        <v>238.50544969596518</v>
      </c>
      <c r="M371" s="115">
        <f t="shared" si="105"/>
        <v>286.17524760114253</v>
      </c>
      <c r="N371" s="115">
        <f t="shared" si="106"/>
        <v>309.12759336444742</v>
      </c>
      <c r="O371" s="115">
        <f t="shared" si="107"/>
        <v>261.38892709573412</v>
      </c>
      <c r="P371" s="115">
        <f t="shared" si="108"/>
        <v>289.24202976583274</v>
      </c>
      <c r="Q371" s="115">
        <f t="shared" si="109"/>
        <v>34.661065010454614</v>
      </c>
    </row>
    <row r="372" spans="1:17" x14ac:dyDescent="0.25">
      <c r="A372" s="114">
        <f t="shared" ref="A372:A381" si="110">A371</f>
        <v>44575</v>
      </c>
      <c r="B372">
        <f t="shared" si="96"/>
        <v>5.5</v>
      </c>
      <c r="C372" s="109">
        <f t="shared" si="97"/>
        <v>19.066666666666666</v>
      </c>
      <c r="D372" s="109">
        <f t="shared" si="98"/>
        <v>72.86666666666666</v>
      </c>
      <c r="E372" s="107">
        <f t="shared" si="99"/>
        <v>44575.385416666672</v>
      </c>
      <c r="F372" s="106">
        <f t="shared" si="95"/>
        <v>44575.301785097145</v>
      </c>
      <c r="G372" t="str">
        <f t="shared" si="100"/>
        <v>Friday</v>
      </c>
      <c r="H372" s="129">
        <v>0.61458333333332105</v>
      </c>
      <c r="I372" s="115">
        <f t="shared" si="101"/>
        <v>40.894109477919088</v>
      </c>
      <c r="J372" s="115">
        <f t="shared" si="102"/>
        <v>270.01088722705657</v>
      </c>
      <c r="K372" s="115">
        <f t="shared" si="103"/>
        <v>50.611820086694102</v>
      </c>
      <c r="L372" s="115">
        <f t="shared" si="104"/>
        <v>238.50794599592751</v>
      </c>
      <c r="M372" s="115">
        <f t="shared" si="105"/>
        <v>286.17531577356743</v>
      </c>
      <c r="N372" s="115">
        <f t="shared" si="106"/>
        <v>309.12833494891049</v>
      </c>
      <c r="O372" s="115">
        <f t="shared" si="107"/>
        <v>261.38700961392954</v>
      </c>
      <c r="P372" s="115">
        <f t="shared" si="108"/>
        <v>289.24243047474113</v>
      </c>
      <c r="Q372" s="115">
        <f t="shared" si="109"/>
        <v>34.660881010485248</v>
      </c>
    </row>
    <row r="373" spans="1:17" x14ac:dyDescent="0.25">
      <c r="A373" s="114">
        <f t="shared" si="110"/>
        <v>44575</v>
      </c>
      <c r="B373">
        <f t="shared" si="96"/>
        <v>5.5</v>
      </c>
      <c r="C373" s="109">
        <f t="shared" si="97"/>
        <v>19.066666666666666</v>
      </c>
      <c r="D373" s="109">
        <f t="shared" si="98"/>
        <v>72.86666666666666</v>
      </c>
      <c r="E373" s="107">
        <f t="shared" si="99"/>
        <v>44575.388888888891</v>
      </c>
      <c r="F373" s="106">
        <f t="shared" si="95"/>
        <v>44575.301785097145</v>
      </c>
      <c r="G373" t="str">
        <f t="shared" si="100"/>
        <v>Friday</v>
      </c>
      <c r="H373" s="129">
        <v>0.61805555555554303</v>
      </c>
      <c r="I373" s="115">
        <f t="shared" si="101"/>
        <v>42.165669463267619</v>
      </c>
      <c r="J373" s="115">
        <f t="shared" si="102"/>
        <v>270.01442315314023</v>
      </c>
      <c r="K373" s="115">
        <f t="shared" si="103"/>
        <v>50.652718407282457</v>
      </c>
      <c r="L373" s="115">
        <f t="shared" si="104"/>
        <v>238.51044230370587</v>
      </c>
      <c r="M373" s="115">
        <f t="shared" si="105"/>
        <v>286.17538165493903</v>
      </c>
      <c r="N373" s="115">
        <f t="shared" si="106"/>
        <v>309.12907654750995</v>
      </c>
      <c r="O373" s="115">
        <f t="shared" si="107"/>
        <v>261.38509239639495</v>
      </c>
      <c r="P373" s="115">
        <f t="shared" si="108"/>
        <v>289.24283118853549</v>
      </c>
      <c r="Q373" s="115">
        <f t="shared" si="109"/>
        <v>34.660697010499277</v>
      </c>
    </row>
    <row r="374" spans="1:17" x14ac:dyDescent="0.25">
      <c r="A374" s="114">
        <f t="shared" si="110"/>
        <v>44575</v>
      </c>
      <c r="B374">
        <f t="shared" si="96"/>
        <v>5.5</v>
      </c>
      <c r="C374" s="109">
        <f t="shared" si="97"/>
        <v>19.066666666666666</v>
      </c>
      <c r="D374" s="109">
        <f t="shared" si="98"/>
        <v>72.86666666666666</v>
      </c>
      <c r="E374" s="107">
        <f t="shared" si="99"/>
        <v>44575.392361111117</v>
      </c>
      <c r="F374" s="106">
        <f t="shared" si="95"/>
        <v>44575.301785097145</v>
      </c>
      <c r="G374" t="str">
        <f t="shared" si="100"/>
        <v>Friday</v>
      </c>
      <c r="H374" s="129">
        <v>0.62152777777776502</v>
      </c>
      <c r="I374" s="115">
        <f t="shared" si="101"/>
        <v>43.429156858594368</v>
      </c>
      <c r="J374" s="115">
        <f t="shared" si="102"/>
        <v>270.01795907698437</v>
      </c>
      <c r="K374" s="115">
        <f t="shared" si="103"/>
        <v>50.693617145575814</v>
      </c>
      <c r="L374" s="115">
        <f t="shared" si="104"/>
        <v>238.51293861868265</v>
      </c>
      <c r="M374" s="115">
        <f t="shared" si="105"/>
        <v>286.17544524493314</v>
      </c>
      <c r="N374" s="115">
        <f t="shared" si="106"/>
        <v>309.12981816040769</v>
      </c>
      <c r="O374" s="115">
        <f t="shared" si="107"/>
        <v>261.38317544375923</v>
      </c>
      <c r="P374" s="115">
        <f t="shared" si="108"/>
        <v>289.24323190723834</v>
      </c>
      <c r="Q374" s="115">
        <f t="shared" si="109"/>
        <v>34.660513010562994</v>
      </c>
    </row>
    <row r="375" spans="1:17" x14ac:dyDescent="0.25">
      <c r="A375" s="114">
        <f t="shared" si="110"/>
        <v>44575</v>
      </c>
      <c r="B375">
        <f t="shared" si="96"/>
        <v>5.5</v>
      </c>
      <c r="C375" s="109">
        <f t="shared" si="97"/>
        <v>19.066666666666666</v>
      </c>
      <c r="D375" s="109">
        <f t="shared" si="98"/>
        <v>72.86666666666666</v>
      </c>
      <c r="E375" s="107">
        <f t="shared" si="99"/>
        <v>44575.395833333336</v>
      </c>
      <c r="F375" s="106">
        <f t="shared" si="95"/>
        <v>44575.301785097145</v>
      </c>
      <c r="G375" t="str">
        <f t="shared" si="100"/>
        <v>Friday</v>
      </c>
      <c r="H375" s="129">
        <v>0.62499999999998701</v>
      </c>
      <c r="I375" s="115">
        <f t="shared" si="101"/>
        <v>44.684770545094977</v>
      </c>
      <c r="J375" s="115">
        <f t="shared" si="102"/>
        <v>270.02149499916356</v>
      </c>
      <c r="K375" s="115">
        <f t="shared" si="103"/>
        <v>50.734516314947804</v>
      </c>
      <c r="L375" s="115">
        <f t="shared" si="104"/>
        <v>238.51543494102694</v>
      </c>
      <c r="M375" s="115">
        <f t="shared" si="105"/>
        <v>286.17550654310975</v>
      </c>
      <c r="N375" s="115">
        <f t="shared" si="106"/>
        <v>309.13055978691114</v>
      </c>
      <c r="O375" s="115">
        <f t="shared" si="107"/>
        <v>261.38125875578885</v>
      </c>
      <c r="P375" s="115">
        <f t="shared" si="108"/>
        <v>289.24363263110359</v>
      </c>
      <c r="Q375" s="115">
        <f t="shared" si="109"/>
        <v>34.660329010560432</v>
      </c>
    </row>
    <row r="376" spans="1:17" x14ac:dyDescent="0.25">
      <c r="A376" s="114">
        <f t="shared" si="110"/>
        <v>44575</v>
      </c>
      <c r="B376">
        <f t="shared" si="96"/>
        <v>5.5</v>
      </c>
      <c r="C376" s="109">
        <f t="shared" si="97"/>
        <v>19.066666666666666</v>
      </c>
      <c r="D376" s="109">
        <f t="shared" si="98"/>
        <v>72.86666666666666</v>
      </c>
      <c r="E376" s="107">
        <f t="shared" si="99"/>
        <v>44575.399305555555</v>
      </c>
      <c r="F376" s="106">
        <f t="shared" si="95"/>
        <v>44575.301785097145</v>
      </c>
      <c r="G376" t="str">
        <f t="shared" si="100"/>
        <v>Friday</v>
      </c>
      <c r="H376" s="129">
        <v>0.628472222222209</v>
      </c>
      <c r="I376" s="115">
        <f t="shared" si="101"/>
        <v>45.93271355017216</v>
      </c>
      <c r="J376" s="115">
        <f t="shared" si="102"/>
        <v>270.02503091908511</v>
      </c>
      <c r="K376" s="115">
        <f t="shared" si="103"/>
        <v>50.775415906987902</v>
      </c>
      <c r="L376" s="115">
        <f t="shared" si="104"/>
        <v>238.5179312706822</v>
      </c>
      <c r="M376" s="115">
        <f t="shared" si="105"/>
        <v>286.17556554923436</v>
      </c>
      <c r="N376" s="115">
        <f t="shared" si="106"/>
        <v>309.13130142760917</v>
      </c>
      <c r="O376" s="115">
        <f t="shared" si="107"/>
        <v>261.37934233292413</v>
      </c>
      <c r="P376" s="115">
        <f t="shared" si="108"/>
        <v>289.24403335969271</v>
      </c>
      <c r="Q376" s="115">
        <f t="shared" si="109"/>
        <v>34.660145010607614</v>
      </c>
    </row>
    <row r="377" spans="1:17" x14ac:dyDescent="0.25">
      <c r="A377" s="114">
        <f t="shared" si="110"/>
        <v>44575</v>
      </c>
      <c r="B377">
        <f t="shared" si="96"/>
        <v>5.5</v>
      </c>
      <c r="C377" s="109">
        <f t="shared" si="97"/>
        <v>19.066666666666666</v>
      </c>
      <c r="D377" s="109">
        <f t="shared" si="98"/>
        <v>72.86666666666666</v>
      </c>
      <c r="E377" s="107">
        <f t="shared" si="99"/>
        <v>44575.402777777781</v>
      </c>
      <c r="F377" s="106">
        <f t="shared" si="95"/>
        <v>44575.301785097145</v>
      </c>
      <c r="G377" t="str">
        <f t="shared" si="100"/>
        <v>Friday</v>
      </c>
      <c r="H377" s="129">
        <v>0.63194444444443099</v>
      </c>
      <c r="I377" s="115">
        <f t="shared" si="101"/>
        <v>47.173193764529799</v>
      </c>
      <c r="J377" s="115">
        <f t="shared" si="102"/>
        <v>270.02856683759018</v>
      </c>
      <c r="K377" s="115">
        <f t="shared" si="103"/>
        <v>50.816315934973922</v>
      </c>
      <c r="L377" s="115">
        <f t="shared" si="104"/>
        <v>238.52042760795445</v>
      </c>
      <c r="M377" s="115">
        <f t="shared" si="105"/>
        <v>286.17562226302249</v>
      </c>
      <c r="N377" s="115">
        <f t="shared" si="106"/>
        <v>309.13204308276187</v>
      </c>
      <c r="O377" s="115">
        <f t="shared" si="107"/>
        <v>261.37742617510401</v>
      </c>
      <c r="P377" s="115">
        <f t="shared" si="108"/>
        <v>289.24443409370565</v>
      </c>
      <c r="Q377" s="115">
        <f t="shared" si="109"/>
        <v>34.659961010638213</v>
      </c>
    </row>
    <row r="378" spans="1:17" x14ac:dyDescent="0.25">
      <c r="A378" s="114">
        <f t="shared" si="110"/>
        <v>44575</v>
      </c>
      <c r="B378">
        <f t="shared" si="96"/>
        <v>5.5</v>
      </c>
      <c r="C378" s="109">
        <f t="shared" si="97"/>
        <v>19.066666666666666</v>
      </c>
      <c r="D378" s="109">
        <f t="shared" si="98"/>
        <v>72.86666666666666</v>
      </c>
      <c r="E378" s="107">
        <f t="shared" si="99"/>
        <v>44575.40625</v>
      </c>
      <c r="F378" s="106">
        <f t="shared" si="95"/>
        <v>44575.301785097145</v>
      </c>
      <c r="G378" t="str">
        <f t="shared" si="100"/>
        <v>Friday</v>
      </c>
      <c r="H378" s="129">
        <v>0.63541666666665297</v>
      </c>
      <c r="I378" s="115">
        <f t="shared" si="101"/>
        <v>48.406422004205325</v>
      </c>
      <c r="J378" s="115">
        <f t="shared" si="102"/>
        <v>270.03210275371777</v>
      </c>
      <c r="K378" s="115">
        <f t="shared" si="103"/>
        <v>50.85721639046816</v>
      </c>
      <c r="L378" s="115">
        <f t="shared" si="104"/>
        <v>238.52292395238666</v>
      </c>
      <c r="M378" s="115">
        <f t="shared" si="105"/>
        <v>286.17567668397356</v>
      </c>
      <c r="N378" s="115">
        <f t="shared" si="106"/>
        <v>309.13278475174928</v>
      </c>
      <c r="O378" s="115">
        <f t="shared" si="107"/>
        <v>261.37551028264625</v>
      </c>
      <c r="P378" s="115">
        <f t="shared" si="108"/>
        <v>289.24483483231654</v>
      </c>
      <c r="Q378" s="115">
        <f t="shared" si="109"/>
        <v>34.659777010685403</v>
      </c>
    </row>
    <row r="379" spans="1:17" x14ac:dyDescent="0.25">
      <c r="A379" s="114">
        <f t="shared" si="110"/>
        <v>44575</v>
      </c>
      <c r="B379">
        <f t="shared" si="96"/>
        <v>5.5</v>
      </c>
      <c r="C379" s="109">
        <f t="shared" si="97"/>
        <v>19.066666666666666</v>
      </c>
      <c r="D379" s="109">
        <f t="shared" si="98"/>
        <v>72.86666666666666</v>
      </c>
      <c r="E379" s="107">
        <f t="shared" si="99"/>
        <v>44575.409722222226</v>
      </c>
      <c r="F379" s="106">
        <f t="shared" si="95"/>
        <v>44575.301785097145</v>
      </c>
      <c r="G379" t="str">
        <f t="shared" si="100"/>
        <v>Friday</v>
      </c>
      <c r="H379" s="129">
        <v>0.63888888888887496</v>
      </c>
      <c r="I379" s="115">
        <f t="shared" si="101"/>
        <v>49.632612614085993</v>
      </c>
      <c r="J379" s="115">
        <f t="shared" si="102"/>
        <v>270.03563866855063</v>
      </c>
      <c r="K379" s="115">
        <f t="shared" si="103"/>
        <v>50.898117286880861</v>
      </c>
      <c r="L379" s="115">
        <f t="shared" si="104"/>
        <v>238.52542030479066</v>
      </c>
      <c r="M379" s="115">
        <f t="shared" si="105"/>
        <v>286.17572881194991</v>
      </c>
      <c r="N379" s="115">
        <f t="shared" si="106"/>
        <v>309.13352643489162</v>
      </c>
      <c r="O379" s="115">
        <f t="shared" si="107"/>
        <v>261.37359465549008</v>
      </c>
      <c r="P379" s="115">
        <f t="shared" si="108"/>
        <v>289.24523557591471</v>
      </c>
      <c r="Q379" s="115">
        <f t="shared" si="109"/>
        <v>34.65959301069946</v>
      </c>
    </row>
    <row r="380" spans="1:17" x14ac:dyDescent="0.25">
      <c r="A380" s="114">
        <f t="shared" si="110"/>
        <v>44575</v>
      </c>
      <c r="B380">
        <f t="shared" si="96"/>
        <v>5.5</v>
      </c>
      <c r="C380" s="109">
        <f t="shared" si="97"/>
        <v>19.066666666666666</v>
      </c>
      <c r="D380" s="109">
        <f t="shared" si="98"/>
        <v>72.86666666666666</v>
      </c>
      <c r="E380" s="107">
        <f t="shared" si="99"/>
        <v>44575.413194444445</v>
      </c>
      <c r="F380" s="106">
        <f t="shared" si="95"/>
        <v>44575.301785097145</v>
      </c>
      <c r="G380" t="str">
        <f t="shared" si="100"/>
        <v>Friday</v>
      </c>
      <c r="H380" s="129">
        <v>0.64236111111109695</v>
      </c>
      <c r="I380" s="115">
        <f t="shared" si="101"/>
        <v>50.851982439890875</v>
      </c>
      <c r="J380" s="115">
        <f t="shared" si="102"/>
        <v>270.0391745813713</v>
      </c>
      <c r="K380" s="115">
        <f t="shared" si="103"/>
        <v>50.939018621091634</v>
      </c>
      <c r="L380" s="115">
        <f t="shared" si="104"/>
        <v>238.52791666428269</v>
      </c>
      <c r="M380" s="115">
        <f t="shared" si="105"/>
        <v>286.17577864648183</v>
      </c>
      <c r="N380" s="115">
        <f t="shared" si="106"/>
        <v>309.13426813211362</v>
      </c>
      <c r="O380" s="115">
        <f t="shared" si="107"/>
        <v>261.37167929387761</v>
      </c>
      <c r="P380" s="115">
        <f t="shared" si="108"/>
        <v>289.24563632515009</v>
      </c>
      <c r="Q380" s="115">
        <f t="shared" si="109"/>
        <v>34.65940901073003</v>
      </c>
    </row>
    <row r="381" spans="1:17" x14ac:dyDescent="0.25">
      <c r="A381" s="114">
        <f t="shared" si="110"/>
        <v>44575</v>
      </c>
      <c r="B381">
        <f t="shared" si="96"/>
        <v>5.5</v>
      </c>
      <c r="C381" s="109">
        <f t="shared" si="97"/>
        <v>19.066666666666666</v>
      </c>
      <c r="D381" s="109">
        <f t="shared" si="98"/>
        <v>72.86666666666666</v>
      </c>
      <c r="E381" s="107">
        <f t="shared" si="99"/>
        <v>44575.416666666672</v>
      </c>
      <c r="F381" s="106">
        <f t="shared" si="95"/>
        <v>44575.301785097145</v>
      </c>
      <c r="G381" t="str">
        <f t="shared" si="100"/>
        <v>Friday</v>
      </c>
      <c r="H381" s="129">
        <v>0.64583333333331905</v>
      </c>
      <c r="I381" s="115">
        <f t="shared" si="101"/>
        <v>52.064749843553201</v>
      </c>
      <c r="J381" s="115">
        <f t="shared" si="102"/>
        <v>270.04271049168267</v>
      </c>
      <c r="K381" s="115">
        <f t="shared" si="103"/>
        <v>50.979920390111026</v>
      </c>
      <c r="L381" s="115">
        <f t="shared" si="104"/>
        <v>238.53041303078925</v>
      </c>
      <c r="M381" s="115">
        <f t="shared" si="105"/>
        <v>286.17582618727607</v>
      </c>
      <c r="N381" s="115">
        <f t="shared" si="106"/>
        <v>309.13500984312537</v>
      </c>
      <c r="O381" s="115">
        <f t="shared" si="107"/>
        <v>261.36976419819513</v>
      </c>
      <c r="P381" s="115">
        <f t="shared" si="108"/>
        <v>289.24603707806892</v>
      </c>
      <c r="Q381" s="115">
        <f t="shared" si="109"/>
        <v>34.659225010777185</v>
      </c>
    </row>
    <row r="382" spans="1:17" x14ac:dyDescent="0.25">
      <c r="A382" s="114">
        <f>A381+3</f>
        <v>44578</v>
      </c>
      <c r="B382">
        <f t="shared" si="96"/>
        <v>5.5</v>
      </c>
      <c r="C382" s="109">
        <f t="shared" si="97"/>
        <v>19.066666666666666</v>
      </c>
      <c r="D382" s="109">
        <f t="shared" si="98"/>
        <v>72.86666666666666</v>
      </c>
      <c r="E382" s="107">
        <f t="shared" si="99"/>
        <v>44578.15625</v>
      </c>
      <c r="F382" s="106">
        <f t="shared" si="95"/>
        <v>44578.301901318751</v>
      </c>
      <c r="G382" t="str">
        <f t="shared" si="100"/>
        <v>Monday</v>
      </c>
      <c r="H382" s="129">
        <v>0.38541666666666669</v>
      </c>
      <c r="I382" s="115">
        <f t="shared" si="101"/>
        <v>305.30400307156867</v>
      </c>
      <c r="J382" s="115">
        <f t="shared" si="102"/>
        <v>272.83195741741406</v>
      </c>
      <c r="K382" s="115">
        <f t="shared" si="103"/>
        <v>83.556949179758604</v>
      </c>
      <c r="L382" s="115">
        <f t="shared" si="104"/>
        <v>240.5023701263662</v>
      </c>
      <c r="M382" s="115">
        <f t="shared" si="105"/>
        <v>285.48288464976099</v>
      </c>
      <c r="N382" s="115">
        <f t="shared" si="106"/>
        <v>309.724516160934</v>
      </c>
      <c r="O382" s="115">
        <f t="shared" si="107"/>
        <v>259.95316909981108</v>
      </c>
      <c r="P382" s="115">
        <f t="shared" si="108"/>
        <v>289.56371197860739</v>
      </c>
      <c r="Q382" s="115">
        <f t="shared" si="109"/>
        <v>34.514049038525584</v>
      </c>
    </row>
    <row r="383" spans="1:17" x14ac:dyDescent="0.25">
      <c r="A383" s="114">
        <f>A382</f>
        <v>44578</v>
      </c>
      <c r="B383">
        <f t="shared" ref="B383:B446" si="111">B382</f>
        <v>5.5</v>
      </c>
      <c r="C383" s="109">
        <f t="shared" ref="C383:C446" si="112">C382</f>
        <v>19.066666666666666</v>
      </c>
      <c r="D383" s="109">
        <f t="shared" ref="D383:D446" si="113">D382</f>
        <v>72.86666666666666</v>
      </c>
      <c r="E383" s="107">
        <f t="shared" ref="E383:E446" si="114">A383+H383-B383/24</f>
        <v>44578.159722222226</v>
      </c>
      <c r="F383" s="106">
        <f t="shared" si="95"/>
        <v>44578.301901318751</v>
      </c>
      <c r="G383" t="str">
        <f t="shared" ref="G383:G446" si="115">CHOOSE(WEEKDAY(E383),"Sunday","Monday","Tuesday","Wednesday","Thursday","Friday","Saturday")</f>
        <v>Monday</v>
      </c>
      <c r="H383" s="129">
        <v>0.3888888888888889</v>
      </c>
      <c r="I383" s="115">
        <f t="shared" si="101"/>
        <v>306.81818924883294</v>
      </c>
      <c r="J383" s="115">
        <f t="shared" si="102"/>
        <v>272.83549185075003</v>
      </c>
      <c r="K383" s="115">
        <f t="shared" si="103"/>
        <v>83.598798769476218</v>
      </c>
      <c r="L383" s="115">
        <f t="shared" si="104"/>
        <v>240.50487240313305</v>
      </c>
      <c r="M383" s="115">
        <f t="shared" si="105"/>
        <v>285.48107711068343</v>
      </c>
      <c r="N383" s="115">
        <f t="shared" si="106"/>
        <v>309.72526865218731</v>
      </c>
      <c r="O383" s="115">
        <f t="shared" si="107"/>
        <v>259.95150713748808</v>
      </c>
      <c r="P383" s="115">
        <f t="shared" si="108"/>
        <v>289.56411640495566</v>
      </c>
      <c r="Q383" s="115">
        <f t="shared" si="109"/>
        <v>34.513865038572789</v>
      </c>
    </row>
    <row r="384" spans="1:17" x14ac:dyDescent="0.25">
      <c r="A384" s="114">
        <f t="shared" ref="A384:A447" si="116">A383</f>
        <v>44578</v>
      </c>
      <c r="B384">
        <f t="shared" si="111"/>
        <v>5.5</v>
      </c>
      <c r="C384" s="109">
        <f t="shared" si="112"/>
        <v>19.066666666666666</v>
      </c>
      <c r="D384" s="109">
        <f t="shared" si="113"/>
        <v>72.86666666666666</v>
      </c>
      <c r="E384" s="107">
        <f t="shared" si="114"/>
        <v>44578.163194444445</v>
      </c>
      <c r="F384" s="106">
        <f t="shared" si="95"/>
        <v>44578.301901318751</v>
      </c>
      <c r="G384" t="str">
        <f t="shared" si="115"/>
        <v>Monday</v>
      </c>
      <c r="H384" s="129">
        <v>0.39236111111111099</v>
      </c>
      <c r="I384" s="115">
        <f t="shared" si="101"/>
        <v>308.34094686222295</v>
      </c>
      <c r="J384" s="115">
        <f t="shared" si="102"/>
        <v>272.83902628279543</v>
      </c>
      <c r="K384" s="115">
        <f t="shared" si="103"/>
        <v>83.640650124618318</v>
      </c>
      <c r="L384" s="115">
        <f t="shared" si="104"/>
        <v>240.50737468792587</v>
      </c>
      <c r="M384" s="115">
        <f t="shared" si="105"/>
        <v>285.47926725591111</v>
      </c>
      <c r="N384" s="115">
        <f t="shared" si="106"/>
        <v>309.72602115681701</v>
      </c>
      <c r="O384" s="115">
        <f t="shared" si="107"/>
        <v>259.94984554538479</v>
      </c>
      <c r="P384" s="115">
        <f t="shared" si="108"/>
        <v>289.56452083577642</v>
      </c>
      <c r="Q384" s="115">
        <f t="shared" si="109"/>
        <v>34.513681038603423</v>
      </c>
    </row>
    <row r="385" spans="1:17" x14ac:dyDescent="0.25">
      <c r="A385" s="114">
        <f t="shared" si="116"/>
        <v>44578</v>
      </c>
      <c r="B385">
        <f t="shared" si="111"/>
        <v>5.5</v>
      </c>
      <c r="C385" s="109">
        <f t="shared" si="112"/>
        <v>19.066666666666666</v>
      </c>
      <c r="D385" s="109">
        <f t="shared" si="113"/>
        <v>72.86666666666666</v>
      </c>
      <c r="E385" s="107">
        <f t="shared" si="114"/>
        <v>44578.166666666672</v>
      </c>
      <c r="F385" s="106">
        <f t="shared" si="95"/>
        <v>44578.301901318751</v>
      </c>
      <c r="G385" t="str">
        <f t="shared" si="115"/>
        <v>Monday</v>
      </c>
      <c r="H385" s="129">
        <v>0.39583333333333298</v>
      </c>
      <c r="I385" s="115">
        <f t="shared" si="101"/>
        <v>309.87199853374614</v>
      </c>
      <c r="J385" s="115">
        <f t="shared" si="102"/>
        <v>272.84256071254919</v>
      </c>
      <c r="K385" s="115">
        <f t="shared" si="103"/>
        <v>83.682503234858274</v>
      </c>
      <c r="L385" s="115">
        <f t="shared" si="104"/>
        <v>240.50987697986372</v>
      </c>
      <c r="M385" s="115">
        <f t="shared" si="105"/>
        <v>285.47745508641782</v>
      </c>
      <c r="N385" s="115">
        <f t="shared" si="106"/>
        <v>309.72677367452712</v>
      </c>
      <c r="O385" s="115">
        <f t="shared" si="107"/>
        <v>259.94818432416542</v>
      </c>
      <c r="P385" s="115">
        <f t="shared" si="108"/>
        <v>289.56492527087335</v>
      </c>
      <c r="Q385" s="115">
        <f t="shared" si="109"/>
        <v>34.513497038650641</v>
      </c>
    </row>
    <row r="386" spans="1:17" x14ac:dyDescent="0.25">
      <c r="A386" s="114">
        <f t="shared" si="116"/>
        <v>44578</v>
      </c>
      <c r="B386">
        <f t="shared" si="111"/>
        <v>5.5</v>
      </c>
      <c r="C386" s="109">
        <f t="shared" si="112"/>
        <v>19.066666666666666</v>
      </c>
      <c r="D386" s="109">
        <f t="shared" si="113"/>
        <v>72.86666666666666</v>
      </c>
      <c r="E386" s="107">
        <f t="shared" si="114"/>
        <v>44578.170138888891</v>
      </c>
      <c r="F386" s="106">
        <f t="shared" si="95"/>
        <v>44578.301901318751</v>
      </c>
      <c r="G386" t="str">
        <f t="shared" si="115"/>
        <v>Monday</v>
      </c>
      <c r="H386" s="129">
        <v>0.39930555555555503</v>
      </c>
      <c r="I386" s="115">
        <f t="shared" si="101"/>
        <v>311.41104120932846</v>
      </c>
      <c r="J386" s="115">
        <f t="shared" si="102"/>
        <v>272.84609514082342</v>
      </c>
      <c r="K386" s="115">
        <f t="shared" si="103"/>
        <v>83.724358112441578</v>
      </c>
      <c r="L386" s="115">
        <f t="shared" si="104"/>
        <v>240.51237927956203</v>
      </c>
      <c r="M386" s="115">
        <f t="shared" si="105"/>
        <v>285.47564060189006</v>
      </c>
      <c r="N386" s="115">
        <f t="shared" si="106"/>
        <v>309.72752620547533</v>
      </c>
      <c r="O386" s="115">
        <f t="shared" si="107"/>
        <v>259.94652347337041</v>
      </c>
      <c r="P386" s="115">
        <f t="shared" si="108"/>
        <v>289.56532970987115</v>
      </c>
      <c r="Q386" s="115">
        <f t="shared" si="109"/>
        <v>34.513313038664663</v>
      </c>
    </row>
    <row r="387" spans="1:17" x14ac:dyDescent="0.25">
      <c r="A387" s="114">
        <f t="shared" si="116"/>
        <v>44578</v>
      </c>
      <c r="B387">
        <f t="shared" si="111"/>
        <v>5.5</v>
      </c>
      <c r="C387" s="109">
        <f t="shared" si="112"/>
        <v>19.066666666666666</v>
      </c>
      <c r="D387" s="109">
        <f t="shared" si="113"/>
        <v>72.86666666666666</v>
      </c>
      <c r="E387" s="107">
        <f t="shared" si="114"/>
        <v>44578.173611111117</v>
      </c>
      <c r="F387" s="106">
        <f t="shared" ref="F387:F450" si="117">sunrise(C387,D387,E387)+B387/24</f>
        <v>44578.301901318751</v>
      </c>
      <c r="G387" t="str">
        <f t="shared" si="115"/>
        <v>Monday</v>
      </c>
      <c r="H387" s="129">
        <v>0.40277777777777801</v>
      </c>
      <c r="I387" s="115">
        <f t="shared" si="101"/>
        <v>312.95774475041986</v>
      </c>
      <c r="J387" s="115">
        <f t="shared" si="102"/>
        <v>272.84962956680994</v>
      </c>
      <c r="K387" s="115">
        <f t="shared" si="103"/>
        <v>83.76621474701868</v>
      </c>
      <c r="L387" s="115">
        <f t="shared" si="104"/>
        <v>240.51488158651472</v>
      </c>
      <c r="M387" s="115">
        <f t="shared" si="105"/>
        <v>285.4738238031324</v>
      </c>
      <c r="N387" s="115">
        <f t="shared" si="106"/>
        <v>309.72827874945574</v>
      </c>
      <c r="O387" s="115">
        <f t="shared" si="107"/>
        <v>259.94486299353628</v>
      </c>
      <c r="P387" s="115">
        <f t="shared" si="108"/>
        <v>289.56573415306912</v>
      </c>
      <c r="Q387" s="115">
        <f t="shared" si="109"/>
        <v>34.513129038711817</v>
      </c>
    </row>
    <row r="388" spans="1:17" x14ac:dyDescent="0.25">
      <c r="A388" s="114">
        <f t="shared" si="116"/>
        <v>44578</v>
      </c>
      <c r="B388">
        <f t="shared" si="111"/>
        <v>5.5</v>
      </c>
      <c r="C388" s="109">
        <f t="shared" si="112"/>
        <v>19.066666666666666</v>
      </c>
      <c r="D388" s="109">
        <f t="shared" si="113"/>
        <v>72.86666666666666</v>
      </c>
      <c r="E388" s="107">
        <f t="shared" si="114"/>
        <v>44578.177083333336</v>
      </c>
      <c r="F388" s="106">
        <f t="shared" si="117"/>
        <v>44578.301901318751</v>
      </c>
      <c r="G388" t="str">
        <f t="shared" si="115"/>
        <v>Monday</v>
      </c>
      <c r="H388" s="129">
        <v>0.40625</v>
      </c>
      <c r="I388" s="115">
        <f t="shared" si="101"/>
        <v>314.51175397647569</v>
      </c>
      <c r="J388" s="115">
        <f t="shared" si="102"/>
        <v>272.85316399150855</v>
      </c>
      <c r="K388" s="115">
        <f t="shared" si="103"/>
        <v>83.808073150754367</v>
      </c>
      <c r="L388" s="115">
        <f t="shared" si="104"/>
        <v>240.51738390137191</v>
      </c>
      <c r="M388" s="115">
        <f t="shared" si="105"/>
        <v>285.47200469012142</v>
      </c>
      <c r="N388" s="115">
        <f t="shared" si="106"/>
        <v>309.72903130697682</v>
      </c>
      <c r="O388" s="115">
        <f t="shared" si="107"/>
        <v>259.94320288445766</v>
      </c>
      <c r="P388" s="115">
        <f t="shared" si="108"/>
        <v>289.56613860146308</v>
      </c>
      <c r="Q388" s="115">
        <f t="shared" si="109"/>
        <v>34.512945038742458</v>
      </c>
    </row>
    <row r="389" spans="1:17" x14ac:dyDescent="0.25">
      <c r="A389" s="114">
        <f t="shared" si="116"/>
        <v>44578</v>
      </c>
      <c r="B389">
        <f t="shared" si="111"/>
        <v>5.5</v>
      </c>
      <c r="C389" s="109">
        <f t="shared" si="112"/>
        <v>19.066666666666666</v>
      </c>
      <c r="D389" s="109">
        <f t="shared" si="113"/>
        <v>72.86666666666666</v>
      </c>
      <c r="E389" s="107">
        <f t="shared" si="114"/>
        <v>44578.180555555555</v>
      </c>
      <c r="F389" s="106">
        <f t="shared" si="117"/>
        <v>44578.301901318751</v>
      </c>
      <c r="G389" t="str">
        <f t="shared" si="115"/>
        <v>Monday</v>
      </c>
      <c r="H389" s="129">
        <v>0.40972222222222199</v>
      </c>
      <c r="I389" s="115">
        <f t="shared" si="101"/>
        <v>316.07268757804667</v>
      </c>
      <c r="J389" s="115">
        <f t="shared" si="102"/>
        <v>272.85669841391905</v>
      </c>
      <c r="K389" s="115">
        <f t="shared" si="103"/>
        <v>83.84993331338903</v>
      </c>
      <c r="L389" s="115">
        <f t="shared" si="104"/>
        <v>240.5198862235778</v>
      </c>
      <c r="M389" s="115">
        <f t="shared" si="105"/>
        <v>285.4701832636282</v>
      </c>
      <c r="N389" s="115">
        <f t="shared" si="106"/>
        <v>309.72978387784605</v>
      </c>
      <c r="O389" s="115">
        <f t="shared" si="107"/>
        <v>259.94154314664394</v>
      </c>
      <c r="P389" s="115">
        <f t="shared" si="108"/>
        <v>289.56654305371211</v>
      </c>
      <c r="Q389" s="115">
        <f t="shared" si="109"/>
        <v>34.512761038789684</v>
      </c>
    </row>
    <row r="390" spans="1:17" x14ac:dyDescent="0.25">
      <c r="A390" s="114">
        <f t="shared" si="116"/>
        <v>44578</v>
      </c>
      <c r="B390">
        <f t="shared" si="111"/>
        <v>5.5</v>
      </c>
      <c r="C390" s="109">
        <f t="shared" si="112"/>
        <v>19.066666666666666</v>
      </c>
      <c r="D390" s="109">
        <f t="shared" si="113"/>
        <v>72.86666666666666</v>
      </c>
      <c r="E390" s="107">
        <f t="shared" si="114"/>
        <v>44578.184027777781</v>
      </c>
      <c r="F390" s="106">
        <f t="shared" si="117"/>
        <v>44578.301901318751</v>
      </c>
      <c r="G390" t="str">
        <f t="shared" si="115"/>
        <v>Monday</v>
      </c>
      <c r="H390" s="129">
        <v>0.41319444444444398</v>
      </c>
      <c r="I390" s="115">
        <f t="shared" si="101"/>
        <v>317.64014052298609</v>
      </c>
      <c r="J390" s="115">
        <f t="shared" si="102"/>
        <v>272.86023283508274</v>
      </c>
      <c r="K390" s="115">
        <f t="shared" si="103"/>
        <v>83.891795247049785</v>
      </c>
      <c r="L390" s="115">
        <f t="shared" si="104"/>
        <v>240.52238855373383</v>
      </c>
      <c r="M390" s="115">
        <f t="shared" si="105"/>
        <v>285.46835952350932</v>
      </c>
      <c r="N390" s="115">
        <f t="shared" si="106"/>
        <v>309.73053646164379</v>
      </c>
      <c r="O390" s="115">
        <f t="shared" si="107"/>
        <v>259.93988377977644</v>
      </c>
      <c r="P390" s="115">
        <f t="shared" si="108"/>
        <v>289.56694751106591</v>
      </c>
      <c r="Q390" s="115">
        <f t="shared" si="109"/>
        <v>34.512577038803762</v>
      </c>
    </row>
    <row r="391" spans="1:17" x14ac:dyDescent="0.25">
      <c r="A391" s="114">
        <f t="shared" si="116"/>
        <v>44578</v>
      </c>
      <c r="B391">
        <f t="shared" si="111"/>
        <v>5.5</v>
      </c>
      <c r="C391" s="109">
        <f t="shared" si="112"/>
        <v>19.066666666666666</v>
      </c>
      <c r="D391" s="109">
        <f t="shared" si="113"/>
        <v>72.86666666666666</v>
      </c>
      <c r="E391" s="107">
        <f t="shared" si="114"/>
        <v>44578.1875</v>
      </c>
      <c r="F391" s="106">
        <f t="shared" si="117"/>
        <v>44578.301901318751</v>
      </c>
      <c r="G391" t="str">
        <f t="shared" si="115"/>
        <v>Monday</v>
      </c>
      <c r="H391" s="129">
        <v>0.41666666666666702</v>
      </c>
      <c r="I391" s="115">
        <f t="shared" si="101"/>
        <v>319.21368330843512</v>
      </c>
      <c r="J391" s="115">
        <f t="shared" si="102"/>
        <v>272.86376725379262</v>
      </c>
      <c r="K391" s="115">
        <f t="shared" si="103"/>
        <v>83.93365894145424</v>
      </c>
      <c r="L391" s="115">
        <f t="shared" si="104"/>
        <v>240.52489089088959</v>
      </c>
      <c r="M391" s="115">
        <f t="shared" si="105"/>
        <v>285.46653347051006</v>
      </c>
      <c r="N391" s="115">
        <f t="shared" si="106"/>
        <v>309.73128905877337</v>
      </c>
      <c r="O391" s="115">
        <f t="shared" si="107"/>
        <v>259.93822478431611</v>
      </c>
      <c r="P391" s="115">
        <f t="shared" si="108"/>
        <v>289.56735197171633</v>
      </c>
      <c r="Q391" s="115">
        <f t="shared" si="109"/>
        <v>34.512393038850909</v>
      </c>
    </row>
    <row r="392" spans="1:17" x14ac:dyDescent="0.25">
      <c r="A392" s="114">
        <f t="shared" si="116"/>
        <v>44578</v>
      </c>
      <c r="B392">
        <f t="shared" si="111"/>
        <v>5.5</v>
      </c>
      <c r="C392" s="109">
        <f t="shared" si="112"/>
        <v>19.066666666666666</v>
      </c>
      <c r="D392" s="109">
        <f t="shared" si="113"/>
        <v>72.86666666666666</v>
      </c>
      <c r="E392" s="107">
        <f t="shared" si="114"/>
        <v>44578.190972222226</v>
      </c>
      <c r="F392" s="106">
        <f t="shared" si="117"/>
        <v>44578.301901318751</v>
      </c>
      <c r="G392" t="str">
        <f t="shared" si="115"/>
        <v>Monday</v>
      </c>
      <c r="H392" s="129">
        <v>0.42013888888888901</v>
      </c>
      <c r="I392" s="115">
        <f t="shared" si="101"/>
        <v>320.79286452553674</v>
      </c>
      <c r="J392" s="115">
        <f t="shared" si="102"/>
        <v>272.86730167066696</v>
      </c>
      <c r="K392" s="115">
        <f t="shared" si="103"/>
        <v>83.975524403172614</v>
      </c>
      <c r="L392" s="115">
        <f t="shared" si="104"/>
        <v>240.52739323561914</v>
      </c>
      <c r="M392" s="115">
        <f t="shared" si="105"/>
        <v>285.46470510485756</v>
      </c>
      <c r="N392" s="115">
        <f t="shared" si="106"/>
        <v>309.73204166893856</v>
      </c>
      <c r="O392" s="115">
        <f t="shared" si="107"/>
        <v>259.93656616030376</v>
      </c>
      <c r="P392" s="115">
        <f t="shared" si="108"/>
        <v>289.56775643707175</v>
      </c>
      <c r="Q392" s="115">
        <f t="shared" si="109"/>
        <v>34.512209038898121</v>
      </c>
    </row>
    <row r="393" spans="1:17" x14ac:dyDescent="0.25">
      <c r="A393" s="114">
        <f t="shared" si="116"/>
        <v>44578</v>
      </c>
      <c r="B393">
        <f t="shared" si="111"/>
        <v>5.5</v>
      </c>
      <c r="C393" s="109">
        <f t="shared" si="112"/>
        <v>19.066666666666666</v>
      </c>
      <c r="D393" s="109">
        <f t="shared" si="113"/>
        <v>72.86666666666666</v>
      </c>
      <c r="E393" s="107">
        <f t="shared" si="114"/>
        <v>44578.194444444445</v>
      </c>
      <c r="F393" s="106">
        <f t="shared" si="117"/>
        <v>44578.301901318751</v>
      </c>
      <c r="G393" t="str">
        <f t="shared" si="115"/>
        <v>Monday</v>
      </c>
      <c r="H393" s="129">
        <v>0.42361111111111099</v>
      </c>
      <c r="I393" s="115">
        <f t="shared" si="101"/>
        <v>322.37721151219699</v>
      </c>
      <c r="J393" s="115">
        <f t="shared" si="102"/>
        <v>272.87083608625852</v>
      </c>
      <c r="K393" s="115">
        <f t="shared" si="103"/>
        <v>84.017391638732221</v>
      </c>
      <c r="L393" s="115">
        <f t="shared" si="104"/>
        <v>240.5298955882939</v>
      </c>
      <c r="M393" s="115">
        <f t="shared" si="105"/>
        <v>285.46287442656586</v>
      </c>
      <c r="N393" s="115">
        <f t="shared" si="106"/>
        <v>309.73279429254211</v>
      </c>
      <c r="O393" s="115">
        <f t="shared" si="107"/>
        <v>259.93490790761945</v>
      </c>
      <c r="P393" s="115">
        <f t="shared" si="108"/>
        <v>289.56816090685561</v>
      </c>
      <c r="Q393" s="115">
        <f t="shared" si="109"/>
        <v>34.512025038912157</v>
      </c>
    </row>
    <row r="394" spans="1:17" x14ac:dyDescent="0.25">
      <c r="A394" s="114">
        <f t="shared" si="116"/>
        <v>44578</v>
      </c>
      <c r="B394">
        <f t="shared" si="111"/>
        <v>5.5</v>
      </c>
      <c r="C394" s="109">
        <f t="shared" si="112"/>
        <v>19.066666666666666</v>
      </c>
      <c r="D394" s="109">
        <f t="shared" si="113"/>
        <v>72.86666666666666</v>
      </c>
      <c r="E394" s="107">
        <f t="shared" si="114"/>
        <v>44578.197916666672</v>
      </c>
      <c r="F394" s="106">
        <f t="shared" si="117"/>
        <v>44578.301901318751</v>
      </c>
      <c r="G394" t="str">
        <f t="shared" si="115"/>
        <v>Monday</v>
      </c>
      <c r="H394" s="129">
        <v>0.42708333333333298</v>
      </c>
      <c r="I394" s="115">
        <f t="shared" si="101"/>
        <v>323.96623115768881</v>
      </c>
      <c r="J394" s="115">
        <f t="shared" si="102"/>
        <v>272.87437049955082</v>
      </c>
      <c r="K394" s="115">
        <f t="shared" si="103"/>
        <v>84.059260637811377</v>
      </c>
      <c r="L394" s="115">
        <f t="shared" si="104"/>
        <v>240.53239794818603</v>
      </c>
      <c r="M394" s="115">
        <f t="shared" si="105"/>
        <v>285.46104143653372</v>
      </c>
      <c r="N394" s="115">
        <f t="shared" si="106"/>
        <v>309.73354692930474</v>
      </c>
      <c r="O394" s="115">
        <f t="shared" si="107"/>
        <v>259.93325002667893</v>
      </c>
      <c r="P394" s="115">
        <f t="shared" si="108"/>
        <v>289.56856538065836</v>
      </c>
      <c r="Q394" s="115">
        <f t="shared" si="109"/>
        <v>34.511841038975916</v>
      </c>
    </row>
    <row r="395" spans="1:17" x14ac:dyDescent="0.25">
      <c r="A395" s="114">
        <f t="shared" si="116"/>
        <v>44578</v>
      </c>
      <c r="B395">
        <f t="shared" si="111"/>
        <v>5.5</v>
      </c>
      <c r="C395" s="109">
        <f t="shared" si="112"/>
        <v>19.066666666666666</v>
      </c>
      <c r="D395" s="109">
        <f t="shared" si="113"/>
        <v>72.86666666666666</v>
      </c>
      <c r="E395" s="107">
        <f t="shared" si="114"/>
        <v>44578.201388888891</v>
      </c>
      <c r="F395" s="106">
        <f t="shared" si="117"/>
        <v>44578.301901318751</v>
      </c>
      <c r="G395" t="str">
        <f t="shared" si="115"/>
        <v>Monday</v>
      </c>
      <c r="H395" s="129">
        <v>0.43055555555555503</v>
      </c>
      <c r="I395" s="115">
        <f t="shared" si="101"/>
        <v>325.5594130012089</v>
      </c>
      <c r="J395" s="115">
        <f t="shared" si="102"/>
        <v>272.87790491149639</v>
      </c>
      <c r="K395" s="115">
        <f t="shared" si="103"/>
        <v>84.101131412560235</v>
      </c>
      <c r="L395" s="115">
        <f t="shared" si="104"/>
        <v>240.53490031602632</v>
      </c>
      <c r="M395" s="115">
        <f t="shared" si="105"/>
        <v>285.45920613446015</v>
      </c>
      <c r="N395" s="115">
        <f t="shared" si="106"/>
        <v>309.73429957934644</v>
      </c>
      <c r="O395" s="115">
        <f t="shared" si="107"/>
        <v>259.93159251722517</v>
      </c>
      <c r="P395" s="115">
        <f t="shared" si="108"/>
        <v>289.56896985919866</v>
      </c>
      <c r="Q395" s="115">
        <f t="shared" si="109"/>
        <v>34.511657038990023</v>
      </c>
    </row>
    <row r="396" spans="1:17" x14ac:dyDescent="0.25">
      <c r="A396" s="114">
        <f t="shared" si="116"/>
        <v>44578</v>
      </c>
      <c r="B396">
        <f t="shared" si="111"/>
        <v>5.5</v>
      </c>
      <c r="C396" s="109">
        <f t="shared" si="112"/>
        <v>19.066666666666666</v>
      </c>
      <c r="D396" s="109">
        <f t="shared" si="113"/>
        <v>72.86666666666666</v>
      </c>
      <c r="E396" s="107">
        <f t="shared" si="114"/>
        <v>44578.204861111117</v>
      </c>
      <c r="F396" s="106">
        <f t="shared" si="117"/>
        <v>44578.301901318751</v>
      </c>
      <c r="G396" t="str">
        <f t="shared" si="115"/>
        <v>Monday</v>
      </c>
      <c r="H396" s="129">
        <v>0.43402777777777801</v>
      </c>
      <c r="I396" s="115">
        <f t="shared" si="101"/>
        <v>327.1562292975147</v>
      </c>
      <c r="J396" s="115">
        <f t="shared" si="102"/>
        <v>272.88143932128031</v>
      </c>
      <c r="K396" s="115">
        <f t="shared" si="103"/>
        <v>84.143003952701747</v>
      </c>
      <c r="L396" s="115">
        <f t="shared" si="104"/>
        <v>240.53740269124935</v>
      </c>
      <c r="M396" s="115">
        <f t="shared" si="105"/>
        <v>285.45736852133638</v>
      </c>
      <c r="N396" s="115">
        <f t="shared" si="106"/>
        <v>309.73505224256979</v>
      </c>
      <c r="O396" s="115">
        <f t="shared" si="107"/>
        <v>259.92993537980624</v>
      </c>
      <c r="P396" s="115">
        <f t="shared" si="108"/>
        <v>289.56937434244935</v>
      </c>
      <c r="Q396" s="115">
        <f t="shared" si="109"/>
        <v>34.511473039020593</v>
      </c>
    </row>
    <row r="397" spans="1:17" x14ac:dyDescent="0.25">
      <c r="A397" s="114">
        <f t="shared" si="116"/>
        <v>44578</v>
      </c>
      <c r="B397">
        <f t="shared" si="111"/>
        <v>5.5</v>
      </c>
      <c r="C397" s="109">
        <f t="shared" si="112"/>
        <v>19.066666666666666</v>
      </c>
      <c r="D397" s="109">
        <f t="shared" si="113"/>
        <v>72.86666666666666</v>
      </c>
      <c r="E397" s="107">
        <f t="shared" si="114"/>
        <v>44578.208333333336</v>
      </c>
      <c r="F397" s="106">
        <f t="shared" si="117"/>
        <v>44578.301901318751</v>
      </c>
      <c r="G397" t="str">
        <f t="shared" si="115"/>
        <v>Monday</v>
      </c>
      <c r="H397" s="129">
        <v>0.4375</v>
      </c>
      <c r="I397" s="115">
        <f t="shared" si="101"/>
        <v>328.75613863011586</v>
      </c>
      <c r="J397" s="115">
        <f t="shared" si="102"/>
        <v>272.88497372958182</v>
      </c>
      <c r="K397" s="115">
        <f t="shared" si="103"/>
        <v>84.18487827036445</v>
      </c>
      <c r="L397" s="115">
        <f t="shared" si="104"/>
        <v>240.53990507415506</v>
      </c>
      <c r="M397" s="115">
        <f t="shared" si="105"/>
        <v>285.45552859701485</v>
      </c>
      <c r="N397" s="115">
        <f t="shared" si="106"/>
        <v>309.73580491907768</v>
      </c>
      <c r="O397" s="115">
        <f t="shared" si="107"/>
        <v>259.92827861421245</v>
      </c>
      <c r="P397" s="115">
        <f t="shared" si="108"/>
        <v>289.56977882929135</v>
      </c>
      <c r="Q397" s="115">
        <f t="shared" si="109"/>
        <v>34.511289039067819</v>
      </c>
    </row>
    <row r="398" spans="1:17" x14ac:dyDescent="0.25">
      <c r="A398" s="114">
        <f t="shared" si="116"/>
        <v>44578</v>
      </c>
      <c r="B398">
        <f t="shared" si="111"/>
        <v>5.5</v>
      </c>
      <c r="C398" s="109">
        <f t="shared" si="112"/>
        <v>19.066666666666666</v>
      </c>
      <c r="D398" s="109">
        <f t="shared" si="113"/>
        <v>72.86666666666666</v>
      </c>
      <c r="E398" s="107">
        <f t="shared" si="114"/>
        <v>44578.211805555555</v>
      </c>
      <c r="F398" s="106">
        <f t="shared" si="117"/>
        <v>44578.301901318751</v>
      </c>
      <c r="G398" t="str">
        <f t="shared" si="115"/>
        <v>Monday</v>
      </c>
      <c r="H398" s="129">
        <v>0.44097222222222199</v>
      </c>
      <c r="I398" s="115">
        <f t="shared" si="101"/>
        <v>330.35858624064792</v>
      </c>
      <c r="J398" s="115">
        <f t="shared" si="102"/>
        <v>272.88850813547111</v>
      </c>
      <c r="K398" s="115">
        <f t="shared" si="103"/>
        <v>84.226754355262798</v>
      </c>
      <c r="L398" s="115">
        <f t="shared" si="104"/>
        <v>240.54240746415516</v>
      </c>
      <c r="M398" s="115">
        <f t="shared" si="105"/>
        <v>285.45368636222156</v>
      </c>
      <c r="N398" s="115">
        <f t="shared" si="106"/>
        <v>309.7365576087808</v>
      </c>
      <c r="O398" s="115">
        <f t="shared" si="107"/>
        <v>259.92662222070618</v>
      </c>
      <c r="P398" s="115">
        <f t="shared" si="108"/>
        <v>289.57018332021494</v>
      </c>
      <c r="Q398" s="115">
        <f t="shared" si="109"/>
        <v>34.511105039115002</v>
      </c>
    </row>
    <row r="399" spans="1:17" x14ac:dyDescent="0.25">
      <c r="A399" s="114">
        <f t="shared" si="116"/>
        <v>44578</v>
      </c>
      <c r="B399">
        <f t="shared" si="111"/>
        <v>5.5</v>
      </c>
      <c r="C399" s="109">
        <f t="shared" si="112"/>
        <v>19.066666666666666</v>
      </c>
      <c r="D399" s="109">
        <f t="shared" si="113"/>
        <v>72.86666666666666</v>
      </c>
      <c r="E399" s="107">
        <f t="shared" si="114"/>
        <v>44578.215277777781</v>
      </c>
      <c r="F399" s="106">
        <f t="shared" si="117"/>
        <v>44578.301901318751</v>
      </c>
      <c r="G399" t="str">
        <f t="shared" si="115"/>
        <v>Monday</v>
      </c>
      <c r="H399" s="129">
        <v>0.44444444444444398</v>
      </c>
      <c r="I399" s="115">
        <f t="shared" si="101"/>
        <v>331.96300789035553</v>
      </c>
      <c r="J399" s="115">
        <f t="shared" si="102"/>
        <v>272.89204254014624</v>
      </c>
      <c r="K399" s="115">
        <f t="shared" si="103"/>
        <v>84.268632219549787</v>
      </c>
      <c r="L399" s="115">
        <f t="shared" si="104"/>
        <v>240.54490986219417</v>
      </c>
      <c r="M399" s="115">
        <f t="shared" si="105"/>
        <v>285.45184181686807</v>
      </c>
      <c r="N399" s="115">
        <f t="shared" si="106"/>
        <v>309.73731031157462</v>
      </c>
      <c r="O399" s="115">
        <f t="shared" si="107"/>
        <v>259.92496619936657</v>
      </c>
      <c r="P399" s="115">
        <f t="shared" si="108"/>
        <v>289.57058781664921</v>
      </c>
      <c r="Q399" s="115">
        <f t="shared" si="109"/>
        <v>34.510921039112482</v>
      </c>
    </row>
    <row r="400" spans="1:17" x14ac:dyDescent="0.25">
      <c r="A400" s="114">
        <f t="shared" si="116"/>
        <v>44578</v>
      </c>
      <c r="B400">
        <f t="shared" si="111"/>
        <v>5.5</v>
      </c>
      <c r="C400" s="109">
        <f t="shared" si="112"/>
        <v>19.066666666666666</v>
      </c>
      <c r="D400" s="109">
        <f t="shared" si="113"/>
        <v>72.86666666666666</v>
      </c>
      <c r="E400" s="107">
        <f t="shared" si="114"/>
        <v>44578.21875</v>
      </c>
      <c r="F400" s="106">
        <f t="shared" si="117"/>
        <v>44578.301901318751</v>
      </c>
      <c r="G400" t="str">
        <f t="shared" si="115"/>
        <v>Monday</v>
      </c>
      <c r="H400" s="129">
        <v>0.44791666666666602</v>
      </c>
      <c r="I400" s="115">
        <f t="shared" si="101"/>
        <v>333.5688303902424</v>
      </c>
      <c r="J400" s="115">
        <f t="shared" si="102"/>
        <v>272.89557694251198</v>
      </c>
      <c r="K400" s="115">
        <f t="shared" si="103"/>
        <v>84.310511852878619</v>
      </c>
      <c r="L400" s="115">
        <f t="shared" si="104"/>
        <v>240.54741226746867</v>
      </c>
      <c r="M400" s="115">
        <f t="shared" si="105"/>
        <v>285.44999496186512</v>
      </c>
      <c r="N400" s="115">
        <f t="shared" si="106"/>
        <v>309.73806302754264</v>
      </c>
      <c r="O400" s="115">
        <f t="shared" si="107"/>
        <v>259.92331055034822</v>
      </c>
      <c r="P400" s="115">
        <f t="shared" si="108"/>
        <v>289.5709923167027</v>
      </c>
      <c r="Q400" s="115">
        <f t="shared" si="109"/>
        <v>34.510737039192819</v>
      </c>
    </row>
    <row r="401" spans="1:17" x14ac:dyDescent="0.25">
      <c r="A401" s="114">
        <f t="shared" si="116"/>
        <v>44578</v>
      </c>
      <c r="B401">
        <f t="shared" si="111"/>
        <v>5.5</v>
      </c>
      <c r="C401" s="109">
        <f t="shared" si="112"/>
        <v>19.066666666666666</v>
      </c>
      <c r="D401" s="109">
        <f t="shared" si="113"/>
        <v>72.86666666666666</v>
      </c>
      <c r="E401" s="107">
        <f t="shared" si="114"/>
        <v>44578.222222222226</v>
      </c>
      <c r="F401" s="106">
        <f t="shared" si="117"/>
        <v>44578.301901318751</v>
      </c>
      <c r="G401" t="str">
        <f t="shared" si="115"/>
        <v>Monday</v>
      </c>
      <c r="H401" s="129">
        <v>0.45138888888888801</v>
      </c>
      <c r="I401" s="115">
        <f t="shared" si="101"/>
        <v>335.17547542086953</v>
      </c>
      <c r="J401" s="115">
        <f t="shared" si="102"/>
        <v>272.89911134307357</v>
      </c>
      <c r="K401" s="115">
        <f t="shared" si="103"/>
        <v>84.352393261770004</v>
      </c>
      <c r="L401" s="115">
        <f t="shared" si="104"/>
        <v>240.54991468033262</v>
      </c>
      <c r="M401" s="115">
        <f t="shared" si="105"/>
        <v>285.44814579715808</v>
      </c>
      <c r="N401" s="115">
        <f t="shared" si="106"/>
        <v>309.73881575684192</v>
      </c>
      <c r="O401" s="115">
        <f t="shared" si="107"/>
        <v>259.92165527383236</v>
      </c>
      <c r="P401" s="115">
        <f t="shared" si="108"/>
        <v>289.57139682110898</v>
      </c>
      <c r="Q401" s="115">
        <f t="shared" si="109"/>
        <v>34.510553039223403</v>
      </c>
    </row>
    <row r="402" spans="1:17" x14ac:dyDescent="0.25">
      <c r="A402" s="114">
        <f t="shared" si="116"/>
        <v>44578</v>
      </c>
      <c r="B402">
        <f t="shared" si="111"/>
        <v>5.5</v>
      </c>
      <c r="C402" s="109">
        <f t="shared" si="112"/>
        <v>19.066666666666666</v>
      </c>
      <c r="D402" s="109">
        <f t="shared" si="113"/>
        <v>72.86666666666666</v>
      </c>
      <c r="E402" s="107">
        <f t="shared" si="114"/>
        <v>44578.225694444445</v>
      </c>
      <c r="F402" s="106">
        <f t="shared" si="117"/>
        <v>44578.301901318751</v>
      </c>
      <c r="G402" t="str">
        <f t="shared" si="115"/>
        <v>Monday</v>
      </c>
      <c r="H402" s="129">
        <v>0.45486111111110999</v>
      </c>
      <c r="I402" s="115">
        <f t="shared" si="101"/>
        <v>336.78236126418244</v>
      </c>
      <c r="J402" s="115">
        <f t="shared" si="102"/>
        <v>272.9026457423455</v>
      </c>
      <c r="K402" s="115">
        <f t="shared" si="103"/>
        <v>84.394276452816186</v>
      </c>
      <c r="L402" s="115">
        <f t="shared" si="104"/>
        <v>240.55241710117352</v>
      </c>
      <c r="M402" s="115">
        <f t="shared" si="105"/>
        <v>285.44629432294442</v>
      </c>
      <c r="N402" s="115">
        <f t="shared" si="106"/>
        <v>309.73956849952918</v>
      </c>
      <c r="O402" s="115">
        <f t="shared" si="107"/>
        <v>259.92000036957404</v>
      </c>
      <c r="P402" s="115">
        <f t="shared" si="108"/>
        <v>289.57180132987179</v>
      </c>
      <c r="Q402" s="115">
        <f t="shared" si="109"/>
        <v>34.510369039237503</v>
      </c>
    </row>
    <row r="403" spans="1:17" x14ac:dyDescent="0.25">
      <c r="A403" s="114">
        <f t="shared" si="116"/>
        <v>44578</v>
      </c>
      <c r="B403">
        <f t="shared" si="111"/>
        <v>5.5</v>
      </c>
      <c r="C403" s="109">
        <f t="shared" si="112"/>
        <v>19.066666666666666</v>
      </c>
      <c r="D403" s="109">
        <f t="shared" si="113"/>
        <v>72.86666666666666</v>
      </c>
      <c r="E403" s="107">
        <f t="shared" si="114"/>
        <v>44578.229166666672</v>
      </c>
      <c r="F403" s="106">
        <f t="shared" si="117"/>
        <v>44578.301901318751</v>
      </c>
      <c r="G403" t="str">
        <f t="shared" si="115"/>
        <v>Monday</v>
      </c>
      <c r="H403" s="129">
        <v>0.45833333333333198</v>
      </c>
      <c r="I403" s="115">
        <f t="shared" si="101"/>
        <v>338.38890455918101</v>
      </c>
      <c r="J403" s="115">
        <f t="shared" si="102"/>
        <v>272.90618013919698</v>
      </c>
      <c r="K403" s="115">
        <f t="shared" si="103"/>
        <v>84.436161415645302</v>
      </c>
      <c r="L403" s="115">
        <f t="shared" si="104"/>
        <v>240.55491952903105</v>
      </c>
      <c r="M403" s="115">
        <f t="shared" si="105"/>
        <v>285.44444054015617</v>
      </c>
      <c r="N403" s="115">
        <f t="shared" si="106"/>
        <v>309.74032125512457</v>
      </c>
      <c r="O403" s="115">
        <f t="shared" si="107"/>
        <v>259.9183458382077</v>
      </c>
      <c r="P403" s="115">
        <f t="shared" si="108"/>
        <v>289.57220584270544</v>
      </c>
      <c r="Q403" s="115">
        <f t="shared" si="109"/>
        <v>34.510185039268144</v>
      </c>
    </row>
    <row r="404" spans="1:17" x14ac:dyDescent="0.25">
      <c r="A404" s="114">
        <f t="shared" si="116"/>
        <v>44578</v>
      </c>
      <c r="B404">
        <f t="shared" si="111"/>
        <v>5.5</v>
      </c>
      <c r="C404" s="109">
        <f t="shared" si="112"/>
        <v>19.066666666666666</v>
      </c>
      <c r="D404" s="109">
        <f t="shared" si="113"/>
        <v>72.86666666666666</v>
      </c>
      <c r="E404" s="107">
        <f t="shared" si="114"/>
        <v>44578.232638888891</v>
      </c>
      <c r="F404" s="106">
        <f t="shared" si="117"/>
        <v>44578.301901318751</v>
      </c>
      <c r="G404" t="str">
        <f t="shared" si="115"/>
        <v>Monday</v>
      </c>
      <c r="H404" s="129">
        <v>0.46180555555555403</v>
      </c>
      <c r="I404" s="115">
        <f t="shared" si="101"/>
        <v>339.99452422236845</v>
      </c>
      <c r="J404" s="115">
        <f t="shared" si="102"/>
        <v>272.90971453476214</v>
      </c>
      <c r="K404" s="115">
        <f t="shared" si="103"/>
        <v>84.478048162405784</v>
      </c>
      <c r="L404" s="115">
        <f t="shared" si="104"/>
        <v>240.55742196489476</v>
      </c>
      <c r="M404" s="115">
        <f t="shared" si="105"/>
        <v>285.44258444851283</v>
      </c>
      <c r="N404" s="115">
        <f t="shared" si="106"/>
        <v>309.74107402411062</v>
      </c>
      <c r="O404" s="115">
        <f t="shared" si="107"/>
        <v>259.91669167932412</v>
      </c>
      <c r="P404" s="115">
        <f t="shared" si="108"/>
        <v>289.5726103602131</v>
      </c>
      <c r="Q404" s="115">
        <f t="shared" si="109"/>
        <v>34.510001039315355</v>
      </c>
    </row>
    <row r="405" spans="1:17" x14ac:dyDescent="0.25">
      <c r="A405" s="114">
        <f t="shared" si="116"/>
        <v>44578</v>
      </c>
      <c r="B405">
        <f t="shared" si="111"/>
        <v>5.5</v>
      </c>
      <c r="C405" s="109">
        <f t="shared" si="112"/>
        <v>19.066666666666666</v>
      </c>
      <c r="D405" s="109">
        <f t="shared" si="113"/>
        <v>72.86666666666666</v>
      </c>
      <c r="E405" s="107">
        <f t="shared" si="114"/>
        <v>44578.236111111117</v>
      </c>
      <c r="F405" s="106">
        <f t="shared" si="117"/>
        <v>44578.301901318751</v>
      </c>
      <c r="G405" t="str">
        <f t="shared" si="115"/>
        <v>Monday</v>
      </c>
      <c r="H405" s="129">
        <v>0.46527777777777601</v>
      </c>
      <c r="I405" s="115">
        <f t="shared" si="101"/>
        <v>341.598642129128</v>
      </c>
      <c r="J405" s="115">
        <f t="shared" si="102"/>
        <v>272.91324892803556</v>
      </c>
      <c r="K405" s="115">
        <f t="shared" si="103"/>
        <v>84.519936682810282</v>
      </c>
      <c r="L405" s="115">
        <f t="shared" si="104"/>
        <v>240.55992440795475</v>
      </c>
      <c r="M405" s="115">
        <f t="shared" si="105"/>
        <v>285.44072604891244</v>
      </c>
      <c r="N405" s="115">
        <f t="shared" si="106"/>
        <v>309.7418268062064</v>
      </c>
      <c r="O405" s="115">
        <f t="shared" si="107"/>
        <v>259.91503789352436</v>
      </c>
      <c r="P405" s="115">
        <f t="shared" si="108"/>
        <v>289.57301488241063</v>
      </c>
      <c r="Q405" s="115">
        <f t="shared" si="109"/>
        <v>34.509817039345982</v>
      </c>
    </row>
    <row r="406" spans="1:17" x14ac:dyDescent="0.25">
      <c r="A406" s="114">
        <f t="shared" si="116"/>
        <v>44578</v>
      </c>
      <c r="B406">
        <f t="shared" si="111"/>
        <v>5.5</v>
      </c>
      <c r="C406" s="109">
        <f t="shared" si="112"/>
        <v>19.066666666666666</v>
      </c>
      <c r="D406" s="109">
        <f t="shared" si="113"/>
        <v>72.86666666666666</v>
      </c>
      <c r="E406" s="107">
        <f t="shared" si="114"/>
        <v>44578.239583333336</v>
      </c>
      <c r="F406" s="106">
        <f t="shared" si="117"/>
        <v>44578.301901318751</v>
      </c>
      <c r="G406" t="str">
        <f t="shared" si="115"/>
        <v>Monday</v>
      </c>
      <c r="H406" s="129">
        <v>0.468749999999998</v>
      </c>
      <c r="I406" s="115">
        <f t="shared" si="101"/>
        <v>343.20068719617706</v>
      </c>
      <c r="J406" s="115">
        <f t="shared" si="102"/>
        <v>272.91678331997366</v>
      </c>
      <c r="K406" s="115">
        <f t="shared" si="103"/>
        <v>84.56182698895563</v>
      </c>
      <c r="L406" s="115">
        <f t="shared" si="104"/>
        <v>240.56242685885712</v>
      </c>
      <c r="M406" s="115">
        <f t="shared" si="105"/>
        <v>285.43886534130257</v>
      </c>
      <c r="N406" s="115">
        <f t="shared" si="106"/>
        <v>309.74257960163612</v>
      </c>
      <c r="O406" s="115">
        <f t="shared" si="107"/>
        <v>259.91338448047787</v>
      </c>
      <c r="P406" s="115">
        <f t="shared" si="108"/>
        <v>289.57341940807311</v>
      </c>
      <c r="Q406" s="115">
        <f t="shared" si="109"/>
        <v>34.50963303934342</v>
      </c>
    </row>
    <row r="407" spans="1:17" x14ac:dyDescent="0.25">
      <c r="A407" s="114">
        <f t="shared" si="116"/>
        <v>44578</v>
      </c>
      <c r="B407">
        <f t="shared" si="111"/>
        <v>5.5</v>
      </c>
      <c r="C407" s="109">
        <f t="shared" si="112"/>
        <v>19.066666666666666</v>
      </c>
      <c r="D407" s="109">
        <f t="shared" si="113"/>
        <v>72.86666666666666</v>
      </c>
      <c r="E407" s="107">
        <f t="shared" si="114"/>
        <v>44578.243055555555</v>
      </c>
      <c r="F407" s="106">
        <f t="shared" si="117"/>
        <v>44578.301901318751</v>
      </c>
      <c r="G407" t="str">
        <f t="shared" si="115"/>
        <v>Monday</v>
      </c>
      <c r="H407" s="129">
        <v>0.47222222222221999</v>
      </c>
      <c r="I407" s="115">
        <f t="shared" si="101"/>
        <v>344.80009597303939</v>
      </c>
      <c r="J407" s="115">
        <f t="shared" si="102"/>
        <v>272.92031770965986</v>
      </c>
      <c r="K407" s="115">
        <f t="shared" si="103"/>
        <v>84.603719070550042</v>
      </c>
      <c r="L407" s="115">
        <f t="shared" si="104"/>
        <v>240.56492931724594</v>
      </c>
      <c r="M407" s="115">
        <f t="shared" si="105"/>
        <v>285.43700232622155</v>
      </c>
      <c r="N407" s="115">
        <f t="shared" si="106"/>
        <v>309.74333241014523</v>
      </c>
      <c r="O407" s="115">
        <f t="shared" si="107"/>
        <v>259.91173144068597</v>
      </c>
      <c r="P407" s="115">
        <f t="shared" si="108"/>
        <v>289.57382393851066</v>
      </c>
      <c r="Q407" s="115">
        <f t="shared" si="109"/>
        <v>34.509449039407201</v>
      </c>
    </row>
    <row r="408" spans="1:17" x14ac:dyDescent="0.25">
      <c r="A408" s="114">
        <f t="shared" si="116"/>
        <v>44578</v>
      </c>
      <c r="B408">
        <f t="shared" si="111"/>
        <v>5.5</v>
      </c>
      <c r="C408" s="109">
        <f t="shared" si="112"/>
        <v>19.066666666666666</v>
      </c>
      <c r="D408" s="109">
        <f t="shared" si="113"/>
        <v>72.86666666666666</v>
      </c>
      <c r="E408" s="107">
        <f t="shared" si="114"/>
        <v>44578.246527777781</v>
      </c>
      <c r="F408" s="106">
        <f t="shared" si="117"/>
        <v>44578.301901318751</v>
      </c>
      <c r="G408" t="str">
        <f t="shared" si="115"/>
        <v>Monday</v>
      </c>
      <c r="H408" s="129">
        <v>0.47569444444444198</v>
      </c>
      <c r="I408" s="115">
        <f t="shared" si="101"/>
        <v>346.39631658505863</v>
      </c>
      <c r="J408" s="115">
        <f t="shared" si="102"/>
        <v>272.92385209802461</v>
      </c>
      <c r="K408" s="115">
        <f t="shared" si="103"/>
        <v>84.645612939738115</v>
      </c>
      <c r="L408" s="115">
        <f t="shared" si="104"/>
        <v>240.5674317833695</v>
      </c>
      <c r="M408" s="115">
        <f t="shared" si="105"/>
        <v>285.43513700398518</v>
      </c>
      <c r="N408" s="115">
        <f t="shared" si="106"/>
        <v>309.74408523211395</v>
      </c>
      <c r="O408" s="115">
        <f t="shared" si="107"/>
        <v>259.91007877397192</v>
      </c>
      <c r="P408" s="115">
        <f t="shared" si="108"/>
        <v>289.57422847338893</v>
      </c>
      <c r="Q408" s="115">
        <f t="shared" si="109"/>
        <v>34.509265039437835</v>
      </c>
    </row>
    <row r="409" spans="1:17" x14ac:dyDescent="0.25">
      <c r="A409" s="114">
        <f t="shared" si="116"/>
        <v>44578</v>
      </c>
      <c r="B409">
        <f t="shared" si="111"/>
        <v>5.5</v>
      </c>
      <c r="C409" s="109">
        <f t="shared" si="112"/>
        <v>19.066666666666666</v>
      </c>
      <c r="D409" s="109">
        <f t="shared" si="113"/>
        <v>72.86666666666666</v>
      </c>
      <c r="E409" s="107">
        <f t="shared" si="114"/>
        <v>44578.25</v>
      </c>
      <c r="F409" s="106">
        <f t="shared" si="117"/>
        <v>44578.301901318751</v>
      </c>
      <c r="G409" t="str">
        <f t="shared" si="115"/>
        <v>Monday</v>
      </c>
      <c r="H409" s="129">
        <v>0.47916666666666402</v>
      </c>
      <c r="I409" s="115">
        <f t="shared" si="101"/>
        <v>347.9888091534807</v>
      </c>
      <c r="J409" s="115">
        <f t="shared" si="102"/>
        <v>272.92738648389638</v>
      </c>
      <c r="K409" s="115">
        <f t="shared" si="103"/>
        <v>84.687508586145185</v>
      </c>
      <c r="L409" s="115">
        <f t="shared" si="104"/>
        <v>240.5699342565334</v>
      </c>
      <c r="M409" s="115">
        <f t="shared" si="105"/>
        <v>285.43326937507544</v>
      </c>
      <c r="N409" s="115">
        <f t="shared" si="106"/>
        <v>309.74483806699976</v>
      </c>
      <c r="O409" s="115">
        <f t="shared" si="107"/>
        <v>259.90842648074619</v>
      </c>
      <c r="P409" s="115">
        <f t="shared" si="108"/>
        <v>289.57463301316284</v>
      </c>
      <c r="Q409" s="115">
        <f t="shared" si="109"/>
        <v>34.509081039485039</v>
      </c>
    </row>
    <row r="410" spans="1:17" x14ac:dyDescent="0.25">
      <c r="A410" s="114">
        <f t="shared" si="116"/>
        <v>44578</v>
      </c>
      <c r="B410">
        <f t="shared" si="111"/>
        <v>5.5</v>
      </c>
      <c r="C410" s="109">
        <f t="shared" si="112"/>
        <v>19.066666666666666</v>
      </c>
      <c r="D410" s="109">
        <f t="shared" si="113"/>
        <v>72.86666666666666</v>
      </c>
      <c r="E410" s="107">
        <f t="shared" si="114"/>
        <v>44578.253472222226</v>
      </c>
      <c r="F410" s="106">
        <f t="shared" si="117"/>
        <v>44578.301901318751</v>
      </c>
      <c r="G410" t="str">
        <f t="shared" si="115"/>
        <v>Monday</v>
      </c>
      <c r="H410" s="129">
        <v>0.48263888888888601</v>
      </c>
      <c r="I410" s="115">
        <f t="shared" si="101"/>
        <v>349.57704930946034</v>
      </c>
      <c r="J410" s="115">
        <f t="shared" si="102"/>
        <v>272.93092086808053</v>
      </c>
      <c r="K410" s="115">
        <f t="shared" si="103"/>
        <v>84.729406016316261</v>
      </c>
      <c r="L410" s="115">
        <f t="shared" si="104"/>
        <v>240.57243673744057</v>
      </c>
      <c r="M410" s="115">
        <f t="shared" si="105"/>
        <v>285.43139943984511</v>
      </c>
      <c r="N410" s="115">
        <f t="shared" si="106"/>
        <v>309.74559091499162</v>
      </c>
      <c r="O410" s="115">
        <f t="shared" si="107"/>
        <v>259.90677456090862</v>
      </c>
      <c r="P410" s="115">
        <f t="shared" si="108"/>
        <v>289.57503755616716</v>
      </c>
      <c r="Q410" s="115">
        <f t="shared" si="109"/>
        <v>34.50889703954882</v>
      </c>
    </row>
    <row r="411" spans="1:17" x14ac:dyDescent="0.25">
      <c r="A411" s="114">
        <f t="shared" si="116"/>
        <v>44578</v>
      </c>
      <c r="B411">
        <f t="shared" si="111"/>
        <v>5.5</v>
      </c>
      <c r="C411" s="109">
        <f t="shared" si="112"/>
        <v>19.066666666666666</v>
      </c>
      <c r="D411" s="109">
        <f t="shared" si="113"/>
        <v>72.86666666666666</v>
      </c>
      <c r="E411" s="107">
        <f t="shared" si="114"/>
        <v>44578.256944444445</v>
      </c>
      <c r="F411" s="106">
        <f t="shared" si="117"/>
        <v>44578.301901318751</v>
      </c>
      <c r="G411" t="str">
        <f t="shared" si="115"/>
        <v>Monday</v>
      </c>
      <c r="H411" s="129">
        <v>0.486111111111108</v>
      </c>
      <c r="I411" s="115">
        <f t="shared" si="101"/>
        <v>351.16052943241289</v>
      </c>
      <c r="J411" s="115">
        <f t="shared" si="102"/>
        <v>272.93445525092716</v>
      </c>
      <c r="K411" s="115">
        <f t="shared" si="103"/>
        <v>84.771305236744595</v>
      </c>
      <c r="L411" s="115">
        <f t="shared" si="104"/>
        <v>240.57493922620813</v>
      </c>
      <c r="M411" s="115">
        <f t="shared" si="105"/>
        <v>285.42952719822756</v>
      </c>
      <c r="N411" s="115">
        <f t="shared" si="106"/>
        <v>309.74634377664734</v>
      </c>
      <c r="O411" s="115">
        <f t="shared" si="107"/>
        <v>259.90512301437781</v>
      </c>
      <c r="P411" s="115">
        <f t="shared" si="108"/>
        <v>289.57544210393837</v>
      </c>
      <c r="Q411" s="115">
        <f t="shared" si="109"/>
        <v>34.508713039579391</v>
      </c>
    </row>
    <row r="412" spans="1:17" x14ac:dyDescent="0.25">
      <c r="A412" s="114">
        <f t="shared" si="116"/>
        <v>44578</v>
      </c>
      <c r="B412">
        <f t="shared" si="111"/>
        <v>5.5</v>
      </c>
      <c r="C412" s="109">
        <f t="shared" si="112"/>
        <v>19.066666666666666</v>
      </c>
      <c r="D412" s="109">
        <f t="shared" si="113"/>
        <v>72.86666666666666</v>
      </c>
      <c r="E412" s="107">
        <f t="shared" si="114"/>
        <v>44578.260416666672</v>
      </c>
      <c r="F412" s="106">
        <f t="shared" si="117"/>
        <v>44578.301901318751</v>
      </c>
      <c r="G412" t="str">
        <f t="shared" si="115"/>
        <v>Monday</v>
      </c>
      <c r="H412" s="129">
        <v>0.48958333333332998</v>
      </c>
      <c r="I412" s="115">
        <f t="shared" si="101"/>
        <v>352.73875975946112</v>
      </c>
      <c r="J412" s="115">
        <f t="shared" si="102"/>
        <v>272.93798963146293</v>
      </c>
      <c r="K412" s="115">
        <f t="shared" si="103"/>
        <v>84.81320623713215</v>
      </c>
      <c r="L412" s="115">
        <f t="shared" si="104"/>
        <v>240.57744172223428</v>
      </c>
      <c r="M412" s="115">
        <f t="shared" si="105"/>
        <v>285.42765265116242</v>
      </c>
      <c r="N412" s="115">
        <f t="shared" si="106"/>
        <v>309.74709665108105</v>
      </c>
      <c r="O412" s="115">
        <f t="shared" si="107"/>
        <v>259.90347184170355</v>
      </c>
      <c r="P412" s="115">
        <f t="shared" si="108"/>
        <v>289.57584665567236</v>
      </c>
      <c r="Q412" s="115">
        <f t="shared" si="109"/>
        <v>34.508529039593476</v>
      </c>
    </row>
    <row r="413" spans="1:17" x14ac:dyDescent="0.25">
      <c r="A413" s="114">
        <f t="shared" si="116"/>
        <v>44578</v>
      </c>
      <c r="B413">
        <f t="shared" si="111"/>
        <v>5.5</v>
      </c>
      <c r="C413" s="109">
        <f t="shared" si="112"/>
        <v>19.066666666666666</v>
      </c>
      <c r="D413" s="109">
        <f t="shared" si="113"/>
        <v>72.86666666666666</v>
      </c>
      <c r="E413" s="107">
        <f t="shared" si="114"/>
        <v>44578.263888888891</v>
      </c>
      <c r="F413" s="106">
        <f t="shared" si="117"/>
        <v>44578.301901318751</v>
      </c>
      <c r="G413" t="str">
        <f t="shared" si="115"/>
        <v>Monday</v>
      </c>
      <c r="H413" s="129">
        <v>0.49305555555555203</v>
      </c>
      <c r="I413" s="115">
        <f t="shared" ref="I413:I476" si="118">(Asdt(C413,D413,E413))</f>
        <v>354.31127144888904</v>
      </c>
      <c r="J413" s="115">
        <f t="shared" ref="J413:J476" si="119">(Planet(E413,0))</f>
        <v>272.9415240107881</v>
      </c>
      <c r="K413" s="115">
        <f t="shared" ref="K413:K476" si="120">(Planet(E413,1))</f>
        <v>84.855109029579722</v>
      </c>
      <c r="L413" s="115">
        <f t="shared" ref="L413:L476" si="121">(Planet(E413,4))</f>
        <v>240.57994422627166</v>
      </c>
      <c r="M413" s="115">
        <f t="shared" ref="M413:M476" si="122">(Planet(E413,2))</f>
        <v>285.4257757985327</v>
      </c>
      <c r="N413" s="115">
        <f t="shared" ref="N413:N476" si="123">(Planet(E413,5))</f>
        <v>309.74784953910256</v>
      </c>
      <c r="O413" s="115">
        <f t="shared" ref="O413:O476" si="124">Planet(E413,3)</f>
        <v>259.90182104252506</v>
      </c>
      <c r="P413" s="115">
        <f t="shared" ref="P413:P476" si="125">Planet(E413,6)</f>
        <v>289.57625121263925</v>
      </c>
      <c r="Q413" s="115">
        <f t="shared" ref="Q413:Q476" si="126">Planet(E413,10)</f>
        <v>34.508345039624082</v>
      </c>
    </row>
    <row r="414" spans="1:17" x14ac:dyDescent="0.25">
      <c r="A414" s="114">
        <f t="shared" si="116"/>
        <v>44578</v>
      </c>
      <c r="B414">
        <f t="shared" si="111"/>
        <v>5.5</v>
      </c>
      <c r="C414" s="109">
        <f t="shared" si="112"/>
        <v>19.066666666666666</v>
      </c>
      <c r="D414" s="109">
        <f t="shared" si="113"/>
        <v>72.86666666666666</v>
      </c>
      <c r="E414" s="107">
        <f t="shared" si="114"/>
        <v>44578.267361111117</v>
      </c>
      <c r="F414" s="106">
        <f t="shared" si="117"/>
        <v>44578.301901318751</v>
      </c>
      <c r="G414" t="str">
        <f t="shared" si="115"/>
        <v>Monday</v>
      </c>
      <c r="H414" s="129">
        <v>0.49652777777777402</v>
      </c>
      <c r="I414" s="115">
        <f t="shared" si="118"/>
        <v>355.87761630954617</v>
      </c>
      <c r="J414" s="115">
        <f t="shared" si="119"/>
        <v>272.94505838763553</v>
      </c>
      <c r="K414" s="115">
        <f t="shared" si="120"/>
        <v>84.897013603775676</v>
      </c>
      <c r="L414" s="115">
        <f t="shared" si="121"/>
        <v>240.58244673737457</v>
      </c>
      <c r="M414" s="115">
        <f t="shared" si="122"/>
        <v>285.42389664109811</v>
      </c>
      <c r="N414" s="115">
        <f t="shared" si="123"/>
        <v>309.74860244012956</v>
      </c>
      <c r="O414" s="115">
        <f t="shared" si="124"/>
        <v>259.90017061742043</v>
      </c>
      <c r="P414" s="115">
        <f t="shared" si="125"/>
        <v>289.57665577317914</v>
      </c>
      <c r="Q414" s="115">
        <f t="shared" si="126"/>
        <v>34.508161039671286</v>
      </c>
    </row>
    <row r="415" spans="1:17" x14ac:dyDescent="0.25">
      <c r="A415" s="114">
        <f t="shared" si="116"/>
        <v>44578</v>
      </c>
      <c r="B415">
        <f t="shared" si="111"/>
        <v>5.5</v>
      </c>
      <c r="C415" s="109">
        <f t="shared" si="112"/>
        <v>19.066666666666666</v>
      </c>
      <c r="D415" s="109">
        <f t="shared" si="113"/>
        <v>72.86666666666666</v>
      </c>
      <c r="E415" s="107">
        <f t="shared" si="114"/>
        <v>44578.270833333336</v>
      </c>
      <c r="F415" s="106">
        <f t="shared" si="117"/>
        <v>44578.301901318751</v>
      </c>
      <c r="G415" t="str">
        <f t="shared" si="115"/>
        <v>Monday</v>
      </c>
      <c r="H415" s="129">
        <v>0.499999999999996</v>
      </c>
      <c r="I415" s="115">
        <f t="shared" si="118"/>
        <v>357.43736972857704</v>
      </c>
      <c r="J415" s="115">
        <f t="shared" si="119"/>
        <v>272.94859276314838</v>
      </c>
      <c r="K415" s="115">
        <f t="shared" si="120"/>
        <v>84.938919971831993</v>
      </c>
      <c r="L415" s="115">
        <f t="shared" si="121"/>
        <v>240.58494925626496</v>
      </c>
      <c r="M415" s="115">
        <f t="shared" si="122"/>
        <v>285.42201517888549</v>
      </c>
      <c r="N415" s="115">
        <f t="shared" si="123"/>
        <v>309.74935535417745</v>
      </c>
      <c r="O415" s="115">
        <f t="shared" si="124"/>
        <v>259.89852056624511</v>
      </c>
      <c r="P415" s="115">
        <f t="shared" si="125"/>
        <v>289.57706033813304</v>
      </c>
      <c r="Q415" s="115">
        <f t="shared" si="126"/>
        <v>34.507977039685393</v>
      </c>
    </row>
    <row r="416" spans="1:17" x14ac:dyDescent="0.25">
      <c r="A416" s="114">
        <f t="shared" si="116"/>
        <v>44578</v>
      </c>
      <c r="B416">
        <f t="shared" si="111"/>
        <v>5.5</v>
      </c>
      <c r="C416" s="109">
        <f t="shared" si="112"/>
        <v>19.066666666666666</v>
      </c>
      <c r="D416" s="109">
        <f t="shared" si="113"/>
        <v>72.86666666666666</v>
      </c>
      <c r="E416" s="107">
        <f t="shared" si="114"/>
        <v>44578.274305555555</v>
      </c>
      <c r="F416" s="106">
        <f t="shared" si="117"/>
        <v>44578.301901318751</v>
      </c>
      <c r="G416" t="str">
        <f t="shared" si="115"/>
        <v>Monday</v>
      </c>
      <c r="H416" s="129">
        <v>0.50347222222221799</v>
      </c>
      <c r="I416" s="115">
        <f t="shared" si="118"/>
        <v>358.9901300647885</v>
      </c>
      <c r="J416" s="115">
        <f t="shared" si="119"/>
        <v>272.9521271364232</v>
      </c>
      <c r="K416" s="115">
        <f t="shared" si="120"/>
        <v>84.980828123408145</v>
      </c>
      <c r="L416" s="115">
        <f t="shared" si="121"/>
        <v>240.58745178252431</v>
      </c>
      <c r="M416" s="115">
        <f t="shared" si="122"/>
        <v>285.42013141270036</v>
      </c>
      <c r="N416" s="115">
        <f t="shared" si="123"/>
        <v>309.75010828154063</v>
      </c>
      <c r="O416" s="115">
        <f t="shared" si="124"/>
        <v>259.89687088919447</v>
      </c>
      <c r="P416" s="115">
        <f t="shared" si="125"/>
        <v>289.57746490708774</v>
      </c>
      <c r="Q416" s="115">
        <f t="shared" si="126"/>
        <v>34.507793039749082</v>
      </c>
    </row>
    <row r="417" spans="1:17" x14ac:dyDescent="0.25">
      <c r="A417" s="114">
        <f t="shared" si="116"/>
        <v>44578</v>
      </c>
      <c r="B417">
        <f t="shared" si="111"/>
        <v>5.5</v>
      </c>
      <c r="C417" s="109">
        <f t="shared" si="112"/>
        <v>19.066666666666666</v>
      </c>
      <c r="D417" s="109">
        <f t="shared" si="113"/>
        <v>72.86666666666666</v>
      </c>
      <c r="E417" s="107">
        <f t="shared" si="114"/>
        <v>44578.277777777781</v>
      </c>
      <c r="F417" s="106">
        <f t="shared" si="117"/>
        <v>44578.301901318751</v>
      </c>
      <c r="G417" t="str">
        <f t="shared" si="115"/>
        <v>Monday</v>
      </c>
      <c r="H417" s="129">
        <v>0.50694444444443998</v>
      </c>
      <c r="I417" s="115">
        <f t="shared" si="118"/>
        <v>0.53552120796117464</v>
      </c>
      <c r="J417" s="115">
        <f t="shared" si="119"/>
        <v>272.95566150835714</v>
      </c>
      <c r="K417" s="115">
        <f t="shared" si="120"/>
        <v>85.022738070611581</v>
      </c>
      <c r="L417" s="115">
        <f t="shared" si="121"/>
        <v>240.58995431672531</v>
      </c>
      <c r="M417" s="115">
        <f t="shared" si="122"/>
        <v>285.41824534227703</v>
      </c>
      <c r="N417" s="115">
        <f t="shared" si="123"/>
        <v>309.75086122237889</v>
      </c>
      <c r="O417" s="115">
        <f t="shared" si="124"/>
        <v>259.89522158629018</v>
      </c>
      <c r="P417" s="115">
        <f t="shared" si="125"/>
        <v>289.57786948121645</v>
      </c>
      <c r="Q417" s="115">
        <f t="shared" si="126"/>
        <v>34.507609039763175</v>
      </c>
    </row>
    <row r="418" spans="1:17" x14ac:dyDescent="0.25">
      <c r="A418" s="114">
        <f t="shared" si="116"/>
        <v>44578</v>
      </c>
      <c r="B418">
        <f t="shared" si="111"/>
        <v>5.5</v>
      </c>
      <c r="C418" s="109">
        <f t="shared" si="112"/>
        <v>19.066666666666666</v>
      </c>
      <c r="D418" s="109">
        <f t="shared" si="113"/>
        <v>72.86666666666666</v>
      </c>
      <c r="E418" s="107">
        <f t="shared" si="114"/>
        <v>44578.28125</v>
      </c>
      <c r="F418" s="106">
        <f t="shared" si="117"/>
        <v>44578.301901318751</v>
      </c>
      <c r="G418" t="str">
        <f t="shared" si="115"/>
        <v>Monday</v>
      </c>
      <c r="H418" s="129">
        <v>0.51041666666666197</v>
      </c>
      <c r="I418" s="115">
        <f t="shared" si="118"/>
        <v>2.0731916299226576</v>
      </c>
      <c r="J418" s="115">
        <f t="shared" si="119"/>
        <v>272.95919587799443</v>
      </c>
      <c r="K418" s="115">
        <f t="shared" si="120"/>
        <v>85.064649803132085</v>
      </c>
      <c r="L418" s="115">
        <f t="shared" si="121"/>
        <v>240.59245685805811</v>
      </c>
      <c r="M418" s="115">
        <f t="shared" si="122"/>
        <v>285.41635696863773</v>
      </c>
      <c r="N418" s="115">
        <f t="shared" si="123"/>
        <v>309.75161417587395</v>
      </c>
      <c r="O418" s="115">
        <f t="shared" si="124"/>
        <v>259.89357265776226</v>
      </c>
      <c r="P418" s="115">
        <f t="shared" si="125"/>
        <v>289.5782740593005</v>
      </c>
      <c r="Q418" s="115">
        <f t="shared" si="126"/>
        <v>34.507425039793823</v>
      </c>
    </row>
    <row r="419" spans="1:17" x14ac:dyDescent="0.25">
      <c r="A419" s="114">
        <f t="shared" si="116"/>
        <v>44578</v>
      </c>
      <c r="B419">
        <f t="shared" si="111"/>
        <v>5.5</v>
      </c>
      <c r="C419" s="109">
        <f t="shared" si="112"/>
        <v>19.066666666666666</v>
      </c>
      <c r="D419" s="109">
        <f t="shared" si="113"/>
        <v>72.86666666666666</v>
      </c>
      <c r="E419" s="107">
        <f t="shared" si="114"/>
        <v>44578.284722222226</v>
      </c>
      <c r="F419" s="106">
        <f t="shared" si="117"/>
        <v>44578.301901318751</v>
      </c>
      <c r="G419" t="str">
        <f t="shared" si="115"/>
        <v>Monday</v>
      </c>
      <c r="H419" s="129">
        <v>0.51388888888888395</v>
      </c>
      <c r="I419" s="115">
        <f t="shared" si="118"/>
        <v>3.6028163735087517</v>
      </c>
      <c r="J419" s="115">
        <f t="shared" si="119"/>
        <v>272.96273024594745</v>
      </c>
      <c r="K419" s="115">
        <f t="shared" si="120"/>
        <v>85.106563327457621</v>
      </c>
      <c r="L419" s="115">
        <f t="shared" si="121"/>
        <v>240.5949594072095</v>
      </c>
      <c r="M419" s="115">
        <f t="shared" si="122"/>
        <v>285.4144662918963</v>
      </c>
      <c r="N419" s="115">
        <f t="shared" si="123"/>
        <v>309.75236714293476</v>
      </c>
      <c r="O419" s="115">
        <f t="shared" si="124"/>
        <v>259.89192410379474</v>
      </c>
      <c r="P419" s="115">
        <f t="shared" si="125"/>
        <v>289.57867864225301</v>
      </c>
      <c r="Q419" s="115">
        <f t="shared" si="126"/>
        <v>34.507241039857597</v>
      </c>
    </row>
    <row r="420" spans="1:17" x14ac:dyDescent="0.25">
      <c r="A420" s="114">
        <f t="shared" si="116"/>
        <v>44578</v>
      </c>
      <c r="B420">
        <f t="shared" si="111"/>
        <v>5.5</v>
      </c>
      <c r="C420" s="109">
        <f t="shared" si="112"/>
        <v>19.066666666666666</v>
      </c>
      <c r="D420" s="109">
        <f t="shared" si="113"/>
        <v>72.86666666666666</v>
      </c>
      <c r="E420" s="107">
        <f t="shared" si="114"/>
        <v>44578.288194444445</v>
      </c>
      <c r="F420" s="106">
        <f t="shared" si="117"/>
        <v>44578.301901318751</v>
      </c>
      <c r="G420" t="str">
        <f t="shared" si="115"/>
        <v>Monday</v>
      </c>
      <c r="H420" s="129">
        <v>0.51736111111110605</v>
      </c>
      <c r="I420" s="115">
        <f t="shared" si="118"/>
        <v>5.1240967907882613</v>
      </c>
      <c r="J420" s="115">
        <f t="shared" si="119"/>
        <v>272.96626461237463</v>
      </c>
      <c r="K420" s="115">
        <f t="shared" si="120"/>
        <v>85.148478650071155</v>
      </c>
      <c r="L420" s="115">
        <f t="shared" si="121"/>
        <v>240.59746196404998</v>
      </c>
      <c r="M420" s="115">
        <f t="shared" si="122"/>
        <v>285.41257331194316</v>
      </c>
      <c r="N420" s="115">
        <f t="shared" si="123"/>
        <v>309.75312012330357</v>
      </c>
      <c r="O420" s="115">
        <f t="shared" si="124"/>
        <v>259.89027592405245</v>
      </c>
      <c r="P420" s="115">
        <f t="shared" si="125"/>
        <v>289.57908322832839</v>
      </c>
      <c r="Q420" s="115">
        <f t="shared" si="126"/>
        <v>34.507057039871647</v>
      </c>
    </row>
    <row r="421" spans="1:17" x14ac:dyDescent="0.25">
      <c r="A421" s="114">
        <f t="shared" si="116"/>
        <v>44578</v>
      </c>
      <c r="B421">
        <f t="shared" si="111"/>
        <v>5.5</v>
      </c>
      <c r="C421" s="109">
        <f t="shared" si="112"/>
        <v>19.066666666666666</v>
      </c>
      <c r="D421" s="109">
        <f t="shared" si="113"/>
        <v>72.86666666666666</v>
      </c>
      <c r="E421" s="107">
        <f t="shared" si="114"/>
        <v>44578.291666666672</v>
      </c>
      <c r="F421" s="106">
        <f t="shared" si="117"/>
        <v>44578.301901318751</v>
      </c>
      <c r="G421" t="str">
        <f t="shared" si="115"/>
        <v>Monday</v>
      </c>
      <c r="H421" s="129">
        <v>0.52083333333332804</v>
      </c>
      <c r="I421" s="115">
        <f t="shared" si="118"/>
        <v>6.6367601417084323</v>
      </c>
      <c r="J421" s="115">
        <f t="shared" si="119"/>
        <v>272.96979897650073</v>
      </c>
      <c r="K421" s="115">
        <f t="shared" si="120"/>
        <v>85.190395760658006</v>
      </c>
      <c r="L421" s="115">
        <f t="shared" si="121"/>
        <v>240.59996452788715</v>
      </c>
      <c r="M421" s="115">
        <f t="shared" si="122"/>
        <v>285.41067803006047</v>
      </c>
      <c r="N421" s="115">
        <f t="shared" si="123"/>
        <v>309.75387311654009</v>
      </c>
      <c r="O421" s="115">
        <f t="shared" si="124"/>
        <v>259.88862811925668</v>
      </c>
      <c r="P421" s="115">
        <f t="shared" si="125"/>
        <v>289.57948781902667</v>
      </c>
      <c r="Q421" s="115">
        <f t="shared" si="126"/>
        <v>34.506873039918787</v>
      </c>
    </row>
    <row r="422" spans="1:17" x14ac:dyDescent="0.25">
      <c r="A422" s="114">
        <f t="shared" si="116"/>
        <v>44578</v>
      </c>
      <c r="B422">
        <f t="shared" si="111"/>
        <v>5.5</v>
      </c>
      <c r="C422" s="109">
        <f t="shared" si="112"/>
        <v>19.066666666666666</v>
      </c>
      <c r="D422" s="109">
        <f t="shared" si="113"/>
        <v>72.86666666666666</v>
      </c>
      <c r="E422" s="107">
        <f t="shared" si="114"/>
        <v>44578.295138888891</v>
      </c>
      <c r="F422" s="106">
        <f t="shared" si="117"/>
        <v>44578.301901318751</v>
      </c>
      <c r="G422" t="str">
        <f t="shared" si="115"/>
        <v>Monday</v>
      </c>
      <c r="H422" s="129">
        <v>0.52430555555555003</v>
      </c>
      <c r="I422" s="115">
        <f t="shared" si="118"/>
        <v>8.1405610598904232</v>
      </c>
      <c r="J422" s="115">
        <f t="shared" si="119"/>
        <v>272.97333333935569</v>
      </c>
      <c r="K422" s="115">
        <f t="shared" si="120"/>
        <v>85.232314671332688</v>
      </c>
      <c r="L422" s="115">
        <f t="shared" si="121"/>
        <v>240.60246709996045</v>
      </c>
      <c r="M422" s="115">
        <f t="shared" si="122"/>
        <v>285.40878044585253</v>
      </c>
      <c r="N422" s="115">
        <f t="shared" si="123"/>
        <v>309.75462612302829</v>
      </c>
      <c r="O422" s="115">
        <f t="shared" si="124"/>
        <v>259.88698068900169</v>
      </c>
      <c r="P422" s="115">
        <f t="shared" si="125"/>
        <v>289.5798924152536</v>
      </c>
      <c r="Q422" s="115">
        <f t="shared" si="126"/>
        <v>34.506689039965991</v>
      </c>
    </row>
    <row r="423" spans="1:17" x14ac:dyDescent="0.25">
      <c r="A423" s="114">
        <f t="shared" si="116"/>
        <v>44578</v>
      </c>
      <c r="B423">
        <f t="shared" si="111"/>
        <v>5.5</v>
      </c>
      <c r="C423" s="109">
        <f t="shared" si="112"/>
        <v>19.066666666666666</v>
      </c>
      <c r="D423" s="109">
        <f t="shared" si="113"/>
        <v>72.86666666666666</v>
      </c>
      <c r="E423" s="107">
        <f t="shared" si="114"/>
        <v>44578.298611111117</v>
      </c>
      <c r="F423" s="106">
        <f t="shared" si="117"/>
        <v>44578.301901318751</v>
      </c>
      <c r="G423" t="str">
        <f t="shared" si="115"/>
        <v>Monday</v>
      </c>
      <c r="H423" s="129">
        <v>0.52777777777777202</v>
      </c>
      <c r="I423" s="115">
        <f t="shared" si="118"/>
        <v>9.6352798314605081</v>
      </c>
      <c r="J423" s="115">
        <f t="shared" si="119"/>
        <v>272.97686769991117</v>
      </c>
      <c r="K423" s="115">
        <f t="shared" si="120"/>
        <v>85.274235371690679</v>
      </c>
      <c r="L423" s="115">
        <f t="shared" si="121"/>
        <v>240.60496967914753</v>
      </c>
      <c r="M423" s="115">
        <f t="shared" si="122"/>
        <v>285.40688056011334</v>
      </c>
      <c r="N423" s="115">
        <f t="shared" si="123"/>
        <v>309.75537914272752</v>
      </c>
      <c r="O423" s="115">
        <f t="shared" si="124"/>
        <v>259.88533363383516</v>
      </c>
      <c r="P423" s="115">
        <f t="shared" si="125"/>
        <v>289.58029701424761</v>
      </c>
      <c r="Q423" s="115">
        <f t="shared" si="126"/>
        <v>34.506505039996632</v>
      </c>
    </row>
    <row r="424" spans="1:17" x14ac:dyDescent="0.25">
      <c r="A424" s="114">
        <f t="shared" si="116"/>
        <v>44578</v>
      </c>
      <c r="B424">
        <f t="shared" si="111"/>
        <v>5.5</v>
      </c>
      <c r="C424" s="109">
        <f t="shared" si="112"/>
        <v>19.066666666666666</v>
      </c>
      <c r="D424" s="109">
        <f t="shared" si="113"/>
        <v>72.86666666666666</v>
      </c>
      <c r="E424" s="107">
        <f t="shared" si="114"/>
        <v>44578.302083333336</v>
      </c>
      <c r="F424" s="106">
        <f t="shared" si="117"/>
        <v>44578.301901318751</v>
      </c>
      <c r="G424" t="str">
        <f t="shared" si="115"/>
        <v>Monday</v>
      </c>
      <c r="H424" s="129">
        <v>0.531249999999994</v>
      </c>
      <c r="I424" s="115">
        <f t="shared" si="118"/>
        <v>11.120723763298631</v>
      </c>
      <c r="J424" s="115">
        <f t="shared" si="119"/>
        <v>272.98040205912804</v>
      </c>
      <c r="K424" s="115">
        <f t="shared" si="120"/>
        <v>85.316157873925334</v>
      </c>
      <c r="L424" s="115">
        <f t="shared" si="121"/>
        <v>240.60747226624014</v>
      </c>
      <c r="M424" s="115">
        <f t="shared" si="122"/>
        <v>285.40497837296618</v>
      </c>
      <c r="N424" s="115">
        <f t="shared" si="123"/>
        <v>309.75613217595748</v>
      </c>
      <c r="O424" s="115">
        <f t="shared" si="124"/>
        <v>259.88368695344275</v>
      </c>
      <c r="P424" s="115">
        <f t="shared" si="125"/>
        <v>289.58070161781853</v>
      </c>
      <c r="Q424" s="115">
        <f t="shared" si="126"/>
        <v>34.506321040027288</v>
      </c>
    </row>
    <row r="425" spans="1:17" x14ac:dyDescent="0.25">
      <c r="A425" s="114">
        <f t="shared" si="116"/>
        <v>44578</v>
      </c>
      <c r="B425">
        <f t="shared" si="111"/>
        <v>5.5</v>
      </c>
      <c r="C425" s="109">
        <f t="shared" si="112"/>
        <v>19.066666666666666</v>
      </c>
      <c r="D425" s="109">
        <f t="shared" si="113"/>
        <v>72.86666666666666</v>
      </c>
      <c r="E425" s="107">
        <f t="shared" si="114"/>
        <v>44578.305555555555</v>
      </c>
      <c r="F425" s="106">
        <f t="shared" si="117"/>
        <v>44578.301901318751</v>
      </c>
      <c r="G425" t="str">
        <f t="shared" si="115"/>
        <v>Monday</v>
      </c>
      <c r="H425" s="129">
        <v>0.53472222222221599</v>
      </c>
      <c r="I425" s="115">
        <f t="shared" si="118"/>
        <v>12.596725216383021</v>
      </c>
      <c r="J425" s="115">
        <f t="shared" si="119"/>
        <v>272.98393641665979</v>
      </c>
      <c r="K425" s="115">
        <f t="shared" si="120"/>
        <v>85.358082173230272</v>
      </c>
      <c r="L425" s="115">
        <f t="shared" si="121"/>
        <v>240.60997486107109</v>
      </c>
      <c r="M425" s="115">
        <f t="shared" si="122"/>
        <v>285.40307388478402</v>
      </c>
      <c r="N425" s="115">
        <f t="shared" si="123"/>
        <v>309.75688522211772</v>
      </c>
      <c r="O425" s="115">
        <f t="shared" si="124"/>
        <v>259.88204064820872</v>
      </c>
      <c r="P425" s="115">
        <f t="shared" si="125"/>
        <v>289.58110622673547</v>
      </c>
      <c r="Q425" s="115">
        <f t="shared" si="126"/>
        <v>34.506137040041324</v>
      </c>
    </row>
    <row r="426" spans="1:17" x14ac:dyDescent="0.25">
      <c r="A426" s="114">
        <f t="shared" si="116"/>
        <v>44578</v>
      </c>
      <c r="B426">
        <f t="shared" si="111"/>
        <v>5.5</v>
      </c>
      <c r="C426" s="109">
        <f t="shared" si="112"/>
        <v>19.066666666666666</v>
      </c>
      <c r="D426" s="109">
        <f t="shared" si="113"/>
        <v>72.86666666666666</v>
      </c>
      <c r="E426" s="107">
        <f t="shared" si="114"/>
        <v>44578.309027777781</v>
      </c>
      <c r="F426" s="106">
        <f t="shared" si="117"/>
        <v>44578.301901318751</v>
      </c>
      <c r="G426" t="str">
        <f t="shared" si="115"/>
        <v>Monday</v>
      </c>
      <c r="H426" s="129">
        <v>0.53819444444443798</v>
      </c>
      <c r="I426" s="115">
        <f t="shared" si="118"/>
        <v>14.063142712131054</v>
      </c>
      <c r="J426" s="115">
        <f t="shared" si="119"/>
        <v>272.98747077218854</v>
      </c>
      <c r="K426" s="115">
        <f t="shared" si="120"/>
        <v>85.400008270531018</v>
      </c>
      <c r="L426" s="115">
        <f t="shared" si="121"/>
        <v>240.61247746323292</v>
      </c>
      <c r="M426" s="115">
        <f t="shared" si="122"/>
        <v>285.40116709600949</v>
      </c>
      <c r="N426" s="115">
        <f t="shared" si="123"/>
        <v>309.75763828171074</v>
      </c>
      <c r="O426" s="115">
        <f t="shared" si="124"/>
        <v>259.88039471808759</v>
      </c>
      <c r="P426" s="115">
        <f t="shared" si="125"/>
        <v>289.58151083926606</v>
      </c>
      <c r="Q426" s="115">
        <f t="shared" si="126"/>
        <v>34.505953040055374</v>
      </c>
    </row>
    <row r="427" spans="1:17" x14ac:dyDescent="0.25">
      <c r="A427" s="114">
        <f t="shared" si="116"/>
        <v>44578</v>
      </c>
      <c r="B427">
        <f t="shared" si="111"/>
        <v>5.5</v>
      </c>
      <c r="C427" s="109">
        <f t="shared" si="112"/>
        <v>19.066666666666666</v>
      </c>
      <c r="D427" s="109">
        <f t="shared" si="113"/>
        <v>72.86666666666666</v>
      </c>
      <c r="E427" s="107">
        <f t="shared" si="114"/>
        <v>44578.3125</v>
      </c>
      <c r="F427" s="106">
        <f t="shared" si="117"/>
        <v>44578.301901318751</v>
      </c>
      <c r="G427" t="str">
        <f t="shared" si="115"/>
        <v>Monday</v>
      </c>
      <c r="H427" s="129">
        <v>0.54166666666665997</v>
      </c>
      <c r="I427" s="115">
        <f t="shared" si="118"/>
        <v>15.51985876618912</v>
      </c>
      <c r="J427" s="115">
        <f t="shared" si="119"/>
        <v>272.99100512541702</v>
      </c>
      <c r="K427" s="115">
        <f t="shared" si="120"/>
        <v>85.441936161029147</v>
      </c>
      <c r="L427" s="115">
        <f t="shared" si="121"/>
        <v>240.6149800726121</v>
      </c>
      <c r="M427" s="115">
        <f t="shared" si="122"/>
        <v>285.39925800749563</v>
      </c>
      <c r="N427" s="115">
        <f t="shared" si="123"/>
        <v>309.75839135394403</v>
      </c>
      <c r="O427" s="115">
        <f t="shared" si="124"/>
        <v>259.8787491635839</v>
      </c>
      <c r="P427" s="115">
        <f t="shared" si="125"/>
        <v>289.58191545607474</v>
      </c>
      <c r="Q427" s="115">
        <f t="shared" si="126"/>
        <v>34.505769040102557</v>
      </c>
    </row>
    <row r="428" spans="1:17" x14ac:dyDescent="0.25">
      <c r="A428" s="114">
        <f t="shared" si="116"/>
        <v>44578</v>
      </c>
      <c r="B428">
        <f t="shared" si="111"/>
        <v>5.5</v>
      </c>
      <c r="C428" s="109">
        <f t="shared" si="112"/>
        <v>19.066666666666666</v>
      </c>
      <c r="D428" s="109">
        <f t="shared" si="113"/>
        <v>72.86666666666666</v>
      </c>
      <c r="E428" s="107">
        <f t="shared" si="114"/>
        <v>44578.315972222226</v>
      </c>
      <c r="F428" s="106">
        <f t="shared" si="117"/>
        <v>44578.301901318751</v>
      </c>
      <c r="G428" t="str">
        <f t="shared" si="115"/>
        <v>Monday</v>
      </c>
      <c r="H428" s="129">
        <v>0.54513888888888196</v>
      </c>
      <c r="I428" s="115">
        <f t="shared" si="118"/>
        <v>16.966780588536764</v>
      </c>
      <c r="J428" s="115">
        <f t="shared" si="119"/>
        <v>272.99453947690296</v>
      </c>
      <c r="K428" s="115">
        <f t="shared" si="120"/>
        <v>85.483865851242399</v>
      </c>
      <c r="L428" s="115">
        <f t="shared" si="121"/>
        <v>240.61748268961878</v>
      </c>
      <c r="M428" s="115">
        <f t="shared" si="122"/>
        <v>285.39734661910876</v>
      </c>
      <c r="N428" s="115">
        <f t="shared" si="123"/>
        <v>309.75914443962921</v>
      </c>
      <c r="O428" s="115">
        <f t="shared" si="124"/>
        <v>259.87710398451685</v>
      </c>
      <c r="P428" s="115">
        <f t="shared" si="125"/>
        <v>289.58232007689168</v>
      </c>
      <c r="Q428" s="115">
        <f t="shared" si="126"/>
        <v>34.505585040149775</v>
      </c>
    </row>
    <row r="429" spans="1:17" x14ac:dyDescent="0.25">
      <c r="A429" s="114">
        <f t="shared" si="116"/>
        <v>44578</v>
      </c>
      <c r="B429">
        <f t="shared" si="111"/>
        <v>5.5</v>
      </c>
      <c r="C429" s="109">
        <f t="shared" si="112"/>
        <v>19.066666666666666</v>
      </c>
      <c r="D429" s="109">
        <f t="shared" si="113"/>
        <v>72.86666666666666</v>
      </c>
      <c r="E429" s="107">
        <f t="shared" si="114"/>
        <v>44578.319444444445</v>
      </c>
      <c r="F429" s="106">
        <f t="shared" si="117"/>
        <v>44578.301901318751</v>
      </c>
      <c r="G429" t="str">
        <f t="shared" si="115"/>
        <v>Monday</v>
      </c>
      <c r="H429" s="129">
        <v>0.54861111111110406</v>
      </c>
      <c r="I429" s="115">
        <f t="shared" si="118"/>
        <v>18.403838728169465</v>
      </c>
      <c r="J429" s="115">
        <f t="shared" si="119"/>
        <v>272.99807382704643</v>
      </c>
      <c r="K429" s="115">
        <f t="shared" si="120"/>
        <v>85.525797347681817</v>
      </c>
      <c r="L429" s="115">
        <f t="shared" si="121"/>
        <v>240.61998531454807</v>
      </c>
      <c r="M429" s="115">
        <f t="shared" si="122"/>
        <v>285.39543293099763</v>
      </c>
      <c r="N429" s="115">
        <f t="shared" si="123"/>
        <v>309.75989753887603</v>
      </c>
      <c r="O429" s="115">
        <f t="shared" si="124"/>
        <v>259.87545918078331</v>
      </c>
      <c r="P429" s="115">
        <f t="shared" si="125"/>
        <v>289.58272470260414</v>
      </c>
      <c r="Q429" s="115">
        <f t="shared" si="126"/>
        <v>34.505401040163861</v>
      </c>
    </row>
    <row r="430" spans="1:17" x14ac:dyDescent="0.25">
      <c r="A430" s="114">
        <f t="shared" si="116"/>
        <v>44578</v>
      </c>
      <c r="B430">
        <f t="shared" si="111"/>
        <v>5.5</v>
      </c>
      <c r="C430" s="109">
        <f t="shared" si="112"/>
        <v>19.066666666666666</v>
      </c>
      <c r="D430" s="109">
        <f t="shared" si="113"/>
        <v>72.86666666666666</v>
      </c>
      <c r="E430" s="107">
        <f t="shared" si="114"/>
        <v>44578.322916666672</v>
      </c>
      <c r="F430" s="106">
        <f t="shared" si="117"/>
        <v>44578.301901318751</v>
      </c>
      <c r="G430" t="str">
        <f t="shared" si="115"/>
        <v>Monday</v>
      </c>
      <c r="H430" s="129">
        <v>0.55208333333332604</v>
      </c>
      <c r="I430" s="115">
        <f t="shared" si="118"/>
        <v>19.830985678818351</v>
      </c>
      <c r="J430" s="115">
        <f t="shared" si="119"/>
        <v>273.00160817489382</v>
      </c>
      <c r="K430" s="115">
        <f t="shared" si="120"/>
        <v>85.567730640008705</v>
      </c>
      <c r="L430" s="115">
        <f t="shared" si="121"/>
        <v>240.62248794670577</v>
      </c>
      <c r="M430" s="115">
        <f t="shared" si="122"/>
        <v>285.39351694420793</v>
      </c>
      <c r="N430" s="115">
        <f t="shared" si="123"/>
        <v>309.76065065063625</v>
      </c>
      <c r="O430" s="115">
        <f t="shared" si="124"/>
        <v>259.8738147529312</v>
      </c>
      <c r="P430" s="115">
        <f t="shared" si="125"/>
        <v>289.5831293324465</v>
      </c>
      <c r="Q430" s="115">
        <f t="shared" si="126"/>
        <v>34.505217040211022</v>
      </c>
    </row>
    <row r="431" spans="1:17" x14ac:dyDescent="0.25">
      <c r="A431" s="114">
        <f t="shared" si="116"/>
        <v>44578</v>
      </c>
      <c r="B431">
        <f t="shared" si="111"/>
        <v>5.5</v>
      </c>
      <c r="C431" s="109">
        <f t="shared" si="112"/>
        <v>19.066666666666666</v>
      </c>
      <c r="D431" s="109">
        <f t="shared" si="113"/>
        <v>72.86666666666666</v>
      </c>
      <c r="E431" s="107">
        <f t="shared" si="114"/>
        <v>44578.326388888891</v>
      </c>
      <c r="F431" s="106">
        <f t="shared" si="117"/>
        <v>44578.301901318751</v>
      </c>
      <c r="G431" t="str">
        <f t="shared" si="115"/>
        <v>Monday</v>
      </c>
      <c r="H431" s="129">
        <v>0.55555555555554803</v>
      </c>
      <c r="I431" s="115">
        <f t="shared" si="118"/>
        <v>21.248196338196912</v>
      </c>
      <c r="J431" s="115">
        <f t="shared" si="119"/>
        <v>273.00514252146098</v>
      </c>
      <c r="K431" s="115">
        <f t="shared" si="120"/>
        <v>85.609665740252638</v>
      </c>
      <c r="L431" s="115">
        <f t="shared" si="121"/>
        <v>240.62499058691435</v>
      </c>
      <c r="M431" s="115">
        <f t="shared" si="122"/>
        <v>285.39159865838707</v>
      </c>
      <c r="N431" s="115">
        <f t="shared" si="123"/>
        <v>309.76140377609192</v>
      </c>
      <c r="O431" s="115">
        <f t="shared" si="124"/>
        <v>259.87217070060439</v>
      </c>
      <c r="P431" s="115">
        <f t="shared" si="125"/>
        <v>289.58353396673954</v>
      </c>
      <c r="Q431" s="115">
        <f t="shared" si="126"/>
        <v>34.505033040241621</v>
      </c>
    </row>
    <row r="432" spans="1:17" x14ac:dyDescent="0.25">
      <c r="A432" s="114">
        <f t="shared" si="116"/>
        <v>44578</v>
      </c>
      <c r="B432">
        <f t="shared" si="111"/>
        <v>5.5</v>
      </c>
      <c r="C432" s="109">
        <f t="shared" si="112"/>
        <v>19.066666666666666</v>
      </c>
      <c r="D432" s="109">
        <f t="shared" si="113"/>
        <v>72.86666666666666</v>
      </c>
      <c r="E432" s="107">
        <f t="shared" si="114"/>
        <v>44578.329861111117</v>
      </c>
      <c r="F432" s="106">
        <f t="shared" si="117"/>
        <v>44578.301901318751</v>
      </c>
      <c r="G432" t="str">
        <f t="shared" si="115"/>
        <v>Monday</v>
      </c>
      <c r="H432" s="129">
        <v>0.55902777777777002</v>
      </c>
      <c r="I432" s="115">
        <f t="shared" si="118"/>
        <v>22.655465553132274</v>
      </c>
      <c r="J432" s="115">
        <f t="shared" si="119"/>
        <v>273.00867686563328</v>
      </c>
      <c r="K432" s="115">
        <f t="shared" si="120"/>
        <v>85.651602638073712</v>
      </c>
      <c r="L432" s="115">
        <f t="shared" si="121"/>
        <v>240.62749323404259</v>
      </c>
      <c r="M432" s="115">
        <f t="shared" si="122"/>
        <v>285.38967807465951</v>
      </c>
      <c r="N432" s="115">
        <f t="shared" si="123"/>
        <v>309.76215691448596</v>
      </c>
      <c r="O432" s="115">
        <f t="shared" si="124"/>
        <v>259.87052702445999</v>
      </c>
      <c r="P432" s="115">
        <f t="shared" si="125"/>
        <v>289.5839386054239</v>
      </c>
      <c r="Q432" s="115">
        <f t="shared" si="126"/>
        <v>34.504849040288811</v>
      </c>
    </row>
    <row r="433" spans="1:17" x14ac:dyDescent="0.25">
      <c r="A433" s="114">
        <f t="shared" si="116"/>
        <v>44578</v>
      </c>
      <c r="B433">
        <f t="shared" si="111"/>
        <v>5.5</v>
      </c>
      <c r="C433" s="109">
        <f t="shared" si="112"/>
        <v>19.066666666666666</v>
      </c>
      <c r="D433" s="109">
        <f t="shared" si="113"/>
        <v>72.86666666666666</v>
      </c>
      <c r="E433" s="107">
        <f t="shared" si="114"/>
        <v>44578.333333333336</v>
      </c>
      <c r="F433" s="106">
        <f t="shared" si="117"/>
        <v>44578.301901318751</v>
      </c>
      <c r="G433" t="str">
        <f t="shared" si="115"/>
        <v>Monday</v>
      </c>
      <c r="H433" s="129">
        <v>0.56249999999999201</v>
      </c>
      <c r="I433" s="115">
        <f t="shared" si="118"/>
        <v>24.052808672762332</v>
      </c>
      <c r="J433" s="115">
        <f t="shared" si="119"/>
        <v>273.01221120851289</v>
      </c>
      <c r="K433" s="115">
        <f t="shared" si="120"/>
        <v>85.693541345583284</v>
      </c>
      <c r="L433" s="115">
        <f t="shared" si="121"/>
        <v>240.62999588923796</v>
      </c>
      <c r="M433" s="115">
        <f t="shared" si="122"/>
        <v>285.38775519283564</v>
      </c>
      <c r="N433" s="115">
        <f t="shared" si="123"/>
        <v>309.76291006618686</v>
      </c>
      <c r="O433" s="115">
        <f t="shared" si="124"/>
        <v>259.86888372405315</v>
      </c>
      <c r="P433" s="115">
        <f t="shared" si="125"/>
        <v>289.58434324790846</v>
      </c>
      <c r="Q433" s="115">
        <f t="shared" si="126"/>
        <v>34.504665040286355</v>
      </c>
    </row>
    <row r="434" spans="1:17" x14ac:dyDescent="0.25">
      <c r="A434" s="114">
        <f t="shared" si="116"/>
        <v>44578</v>
      </c>
      <c r="B434">
        <f t="shared" si="111"/>
        <v>5.5</v>
      </c>
      <c r="C434" s="109">
        <f t="shared" si="112"/>
        <v>19.066666666666666</v>
      </c>
      <c r="D434" s="109">
        <f t="shared" si="113"/>
        <v>72.86666666666666</v>
      </c>
      <c r="E434" s="107">
        <f t="shared" si="114"/>
        <v>44578.336805555555</v>
      </c>
      <c r="F434" s="106">
        <f t="shared" si="117"/>
        <v>44578.301901318751</v>
      </c>
      <c r="G434" t="str">
        <f t="shared" si="115"/>
        <v>Monday</v>
      </c>
      <c r="H434" s="129">
        <v>0.56597222222221399</v>
      </c>
      <c r="I434" s="115">
        <f t="shared" si="118"/>
        <v>25.440259053623326</v>
      </c>
      <c r="J434" s="115">
        <f t="shared" si="119"/>
        <v>273.01574554910422</v>
      </c>
      <c r="K434" s="115">
        <f t="shared" si="120"/>
        <v>85.735481852409237</v>
      </c>
      <c r="L434" s="115">
        <f t="shared" si="121"/>
        <v>240.63249855165745</v>
      </c>
      <c r="M434" s="115">
        <f t="shared" si="122"/>
        <v>285.38583001360638</v>
      </c>
      <c r="N434" s="115">
        <f t="shared" si="123"/>
        <v>309.76366323099893</v>
      </c>
      <c r="O434" s="115">
        <f t="shared" si="124"/>
        <v>259.86724079998675</v>
      </c>
      <c r="P434" s="115">
        <f t="shared" si="125"/>
        <v>289.58474789522955</v>
      </c>
      <c r="Q434" s="115">
        <f t="shared" si="126"/>
        <v>34.504481040350122</v>
      </c>
    </row>
    <row r="435" spans="1:17" x14ac:dyDescent="0.25">
      <c r="A435" s="114">
        <f t="shared" si="116"/>
        <v>44578</v>
      </c>
      <c r="B435">
        <f t="shared" si="111"/>
        <v>5.5</v>
      </c>
      <c r="C435" s="109">
        <f t="shared" si="112"/>
        <v>19.066666666666666</v>
      </c>
      <c r="D435" s="109">
        <f t="shared" si="113"/>
        <v>72.86666666666666</v>
      </c>
      <c r="E435" s="107">
        <f t="shared" si="114"/>
        <v>44578.340277777781</v>
      </c>
      <c r="F435" s="106">
        <f t="shared" si="117"/>
        <v>44578.301901318751</v>
      </c>
      <c r="G435" t="str">
        <f t="shared" si="115"/>
        <v>Monday</v>
      </c>
      <c r="H435" s="129">
        <v>0.56944444444443598</v>
      </c>
      <c r="I435" s="115">
        <f t="shared" si="118"/>
        <v>26.817868552153087</v>
      </c>
      <c r="J435" s="115">
        <f t="shared" si="119"/>
        <v>273.01927988836007</v>
      </c>
      <c r="K435" s="115">
        <f t="shared" si="120"/>
        <v>85.777424170644153</v>
      </c>
      <c r="L435" s="115">
        <f t="shared" si="121"/>
        <v>240.63500122200296</v>
      </c>
      <c r="M435" s="115">
        <f t="shared" si="122"/>
        <v>285.38390253708752</v>
      </c>
      <c r="N435" s="115">
        <f t="shared" si="123"/>
        <v>309.76441640878909</v>
      </c>
      <c r="O435" s="115">
        <f t="shared" si="124"/>
        <v>259.86559825192603</v>
      </c>
      <c r="P435" s="115">
        <f t="shared" si="125"/>
        <v>289.58515254674711</v>
      </c>
      <c r="Q435" s="115">
        <f t="shared" si="126"/>
        <v>34.504297040380699</v>
      </c>
    </row>
    <row r="436" spans="1:17" x14ac:dyDescent="0.25">
      <c r="A436" s="114">
        <f t="shared" si="116"/>
        <v>44578</v>
      </c>
      <c r="B436">
        <f t="shared" si="111"/>
        <v>5.5</v>
      </c>
      <c r="C436" s="109">
        <f t="shared" si="112"/>
        <v>19.066666666666666</v>
      </c>
      <c r="D436" s="109">
        <f t="shared" si="113"/>
        <v>72.86666666666666</v>
      </c>
      <c r="E436" s="107">
        <f t="shared" si="114"/>
        <v>44578.34375</v>
      </c>
      <c r="F436" s="106">
        <f t="shared" si="117"/>
        <v>44578.301901318751</v>
      </c>
      <c r="G436" t="str">
        <f t="shared" si="115"/>
        <v>Monday</v>
      </c>
      <c r="H436" s="129">
        <v>0.57291666666665797</v>
      </c>
      <c r="I436" s="115">
        <f t="shared" si="118"/>
        <v>28.185705021106894</v>
      </c>
      <c r="J436" s="115">
        <f t="shared" si="119"/>
        <v>273.02281422531985</v>
      </c>
      <c r="K436" s="115">
        <f t="shared" si="120"/>
        <v>85.819368289920462</v>
      </c>
      <c r="L436" s="115">
        <f t="shared" si="121"/>
        <v>240.63750389948999</v>
      </c>
      <c r="M436" s="115">
        <f t="shared" si="122"/>
        <v>285.38197276416429</v>
      </c>
      <c r="N436" s="115">
        <f t="shared" si="123"/>
        <v>309.76516960030818</v>
      </c>
      <c r="O436" s="115">
        <f t="shared" si="124"/>
        <v>259.86395608041488</v>
      </c>
      <c r="P436" s="115">
        <f t="shared" si="125"/>
        <v>289.58555720187195</v>
      </c>
      <c r="Q436" s="115">
        <f t="shared" si="126"/>
        <v>34.504113040427917</v>
      </c>
    </row>
    <row r="437" spans="1:17" x14ac:dyDescent="0.25">
      <c r="A437" s="114">
        <f t="shared" si="116"/>
        <v>44578</v>
      </c>
      <c r="B437">
        <f t="shared" si="111"/>
        <v>5.5</v>
      </c>
      <c r="C437" s="109">
        <f t="shared" si="112"/>
        <v>19.066666666666666</v>
      </c>
      <c r="D437" s="109">
        <f t="shared" si="113"/>
        <v>72.86666666666666</v>
      </c>
      <c r="E437" s="107">
        <f t="shared" si="114"/>
        <v>44578.347222222226</v>
      </c>
      <c r="F437" s="106">
        <f t="shared" si="117"/>
        <v>44578.301901318751</v>
      </c>
      <c r="G437" t="str">
        <f t="shared" si="115"/>
        <v>Monday</v>
      </c>
      <c r="H437" s="129">
        <v>0.57638888888887996</v>
      </c>
      <c r="I437" s="115">
        <f t="shared" si="118"/>
        <v>29.543852595639901</v>
      </c>
      <c r="J437" s="115">
        <f t="shared" si="119"/>
        <v>273.02634856053157</v>
      </c>
      <c r="K437" s="115">
        <f t="shared" si="120"/>
        <v>85.861314216736432</v>
      </c>
      <c r="L437" s="115">
        <f t="shared" si="121"/>
        <v>240.64000658475089</v>
      </c>
      <c r="M437" s="115">
        <f t="shared" si="122"/>
        <v>285.38004069471822</v>
      </c>
      <c r="N437" s="115">
        <f t="shared" si="123"/>
        <v>309.76592280448739</v>
      </c>
      <c r="O437" s="115">
        <f t="shared" si="124"/>
        <v>259.86231428533256</v>
      </c>
      <c r="P437" s="115">
        <f t="shared" si="125"/>
        <v>289.58596186203562</v>
      </c>
      <c r="Q437" s="115">
        <f t="shared" si="126"/>
        <v>34.503929040475114</v>
      </c>
    </row>
    <row r="438" spans="1:17" x14ac:dyDescent="0.25">
      <c r="A438" s="114">
        <f t="shared" si="116"/>
        <v>44578</v>
      </c>
      <c r="B438">
        <f t="shared" si="111"/>
        <v>5.5</v>
      </c>
      <c r="C438" s="109">
        <f t="shared" si="112"/>
        <v>19.066666666666666</v>
      </c>
      <c r="D438" s="109">
        <f t="shared" si="113"/>
        <v>72.86666666666666</v>
      </c>
      <c r="E438" s="107">
        <f t="shared" si="114"/>
        <v>44578.350694444445</v>
      </c>
      <c r="F438" s="106">
        <f t="shared" si="117"/>
        <v>44578.301901318751</v>
      </c>
      <c r="G438" t="str">
        <f t="shared" si="115"/>
        <v>Monday</v>
      </c>
      <c r="H438" s="129">
        <v>0.57986111111110095</v>
      </c>
      <c r="I438" s="115">
        <f t="shared" si="118"/>
        <v>30.892410121062255</v>
      </c>
      <c r="J438" s="115">
        <f t="shared" si="119"/>
        <v>273.02988289428458</v>
      </c>
      <c r="K438" s="115">
        <f t="shared" si="120"/>
        <v>85.903261957507283</v>
      </c>
      <c r="L438" s="115">
        <f t="shared" si="121"/>
        <v>240.64250927771261</v>
      </c>
      <c r="M438" s="115">
        <f t="shared" si="122"/>
        <v>285.37810632920667</v>
      </c>
      <c r="N438" s="115">
        <f t="shared" si="123"/>
        <v>309.76667602207038</v>
      </c>
      <c r="O438" s="115">
        <f t="shared" si="124"/>
        <v>259.86067286671363</v>
      </c>
      <c r="P438" s="115">
        <f t="shared" si="125"/>
        <v>289.58636652652928</v>
      </c>
      <c r="Q438" s="115">
        <f t="shared" si="126"/>
        <v>34.503745040505727</v>
      </c>
    </row>
    <row r="439" spans="1:17" x14ac:dyDescent="0.25">
      <c r="A439" s="114">
        <f t="shared" si="116"/>
        <v>44578</v>
      </c>
      <c r="B439">
        <f t="shared" si="111"/>
        <v>5.5</v>
      </c>
      <c r="C439" s="109">
        <f t="shared" si="112"/>
        <v>19.066666666666666</v>
      </c>
      <c r="D439" s="109">
        <f t="shared" si="113"/>
        <v>72.86666666666666</v>
      </c>
      <c r="E439" s="107">
        <f t="shared" si="114"/>
        <v>44578.354166666672</v>
      </c>
      <c r="F439" s="106">
        <f t="shared" si="117"/>
        <v>44578.301901318751</v>
      </c>
      <c r="G439" t="str">
        <f t="shared" si="115"/>
        <v>Monday</v>
      </c>
      <c r="H439" s="129">
        <v>0.58333333333332305</v>
      </c>
      <c r="I439" s="115">
        <f t="shared" si="118"/>
        <v>32.23148962410734</v>
      </c>
      <c r="J439" s="115">
        <f t="shared" si="119"/>
        <v>273.03341722581592</v>
      </c>
      <c r="K439" s="115">
        <f t="shared" si="120"/>
        <v>85.945211501881957</v>
      </c>
      <c r="L439" s="115">
        <f t="shared" si="121"/>
        <v>240.6450119779002</v>
      </c>
      <c r="M439" s="115">
        <f t="shared" si="122"/>
        <v>285.37616966834389</v>
      </c>
      <c r="N439" s="115">
        <f t="shared" si="123"/>
        <v>309.76742925261885</v>
      </c>
      <c r="O439" s="115">
        <f t="shared" si="124"/>
        <v>259.85903182489591</v>
      </c>
      <c r="P439" s="115">
        <f t="shared" si="125"/>
        <v>289.58677119496895</v>
      </c>
      <c r="Q439" s="115">
        <f t="shared" si="126"/>
        <v>34.503561040536354</v>
      </c>
    </row>
    <row r="440" spans="1:17" x14ac:dyDescent="0.25">
      <c r="A440" s="114">
        <f t="shared" si="116"/>
        <v>44578</v>
      </c>
      <c r="B440">
        <f t="shared" si="111"/>
        <v>5.5</v>
      </c>
      <c r="C440" s="109">
        <f t="shared" si="112"/>
        <v>19.066666666666666</v>
      </c>
      <c r="D440" s="109">
        <f t="shared" si="113"/>
        <v>72.86666666666666</v>
      </c>
      <c r="E440" s="107">
        <f t="shared" si="114"/>
        <v>44578.357638888891</v>
      </c>
      <c r="F440" s="106">
        <f t="shared" si="117"/>
        <v>44578.301901318751</v>
      </c>
      <c r="G440" t="str">
        <f t="shared" si="115"/>
        <v>Monday</v>
      </c>
      <c r="H440" s="129">
        <v>0.58680555555554503</v>
      </c>
      <c r="I440" s="115">
        <f t="shared" si="118"/>
        <v>33.5612165930402</v>
      </c>
      <c r="J440" s="115">
        <f t="shared" si="119"/>
        <v>273.03695155600673</v>
      </c>
      <c r="K440" s="115">
        <f t="shared" si="120"/>
        <v>85.987162861977893</v>
      </c>
      <c r="L440" s="115">
        <f t="shared" si="121"/>
        <v>240.64751468612715</v>
      </c>
      <c r="M440" s="115">
        <f t="shared" si="122"/>
        <v>285.37423071201408</v>
      </c>
      <c r="N440" s="115">
        <f t="shared" si="123"/>
        <v>309.76818249659061</v>
      </c>
      <c r="O440" s="115">
        <f t="shared" si="124"/>
        <v>259.85739115964111</v>
      </c>
      <c r="P440" s="115">
        <f t="shared" si="125"/>
        <v>289.58717586834263</v>
      </c>
      <c r="Q440" s="115">
        <f t="shared" si="126"/>
        <v>34.503377040550411</v>
      </c>
    </row>
    <row r="441" spans="1:17" x14ac:dyDescent="0.25">
      <c r="A441" s="114">
        <f t="shared" si="116"/>
        <v>44578</v>
      </c>
      <c r="B441">
        <f t="shared" si="111"/>
        <v>5.5</v>
      </c>
      <c r="C441" s="109">
        <f t="shared" si="112"/>
        <v>19.066666666666666</v>
      </c>
      <c r="D441" s="109">
        <f t="shared" si="113"/>
        <v>72.86666666666666</v>
      </c>
      <c r="E441" s="107">
        <f t="shared" si="114"/>
        <v>44578.361111111117</v>
      </c>
      <c r="F441" s="106">
        <f t="shared" si="117"/>
        <v>44578.301901318751</v>
      </c>
      <c r="G441" t="str">
        <f t="shared" si="115"/>
        <v>Monday</v>
      </c>
      <c r="H441" s="129">
        <v>0.59027777777776702</v>
      </c>
      <c r="I441" s="115">
        <f t="shared" si="118"/>
        <v>34.881727587858791</v>
      </c>
      <c r="J441" s="115">
        <f t="shared" si="119"/>
        <v>273.04048588389691</v>
      </c>
      <c r="K441" s="115">
        <f t="shared" si="120"/>
        <v>86.029116027398899</v>
      </c>
      <c r="L441" s="115">
        <f t="shared" si="121"/>
        <v>240.65001740148776</v>
      </c>
      <c r="M441" s="115">
        <f t="shared" si="122"/>
        <v>285.37228946117591</v>
      </c>
      <c r="N441" s="115">
        <f t="shared" si="123"/>
        <v>309.76893575381297</v>
      </c>
      <c r="O441" s="115">
        <f t="shared" si="124"/>
        <v>259.85575087148305</v>
      </c>
      <c r="P441" s="115">
        <f t="shared" si="125"/>
        <v>289.58758054493381</v>
      </c>
      <c r="Q441" s="115">
        <f t="shared" si="126"/>
        <v>34.503193040597608</v>
      </c>
    </row>
    <row r="442" spans="1:17" x14ac:dyDescent="0.25">
      <c r="A442" s="114">
        <f t="shared" si="116"/>
        <v>44578</v>
      </c>
      <c r="B442">
        <f t="shared" si="111"/>
        <v>5.5</v>
      </c>
      <c r="C442" s="109">
        <f t="shared" si="112"/>
        <v>19.066666666666666</v>
      </c>
      <c r="D442" s="109">
        <f t="shared" si="113"/>
        <v>72.86666666666666</v>
      </c>
      <c r="E442" s="107">
        <f t="shared" si="114"/>
        <v>44578.364583333336</v>
      </c>
      <c r="F442" s="106">
        <f t="shared" si="117"/>
        <v>44578.301901318751</v>
      </c>
      <c r="G442" t="str">
        <f t="shared" si="115"/>
        <v>Monday</v>
      </c>
      <c r="H442" s="129">
        <v>0.59374999999998901</v>
      </c>
      <c r="I442" s="115">
        <f t="shared" si="118"/>
        <v>36.193170731778167</v>
      </c>
      <c r="J442" s="115">
        <f t="shared" si="119"/>
        <v>273.0440202105238</v>
      </c>
      <c r="K442" s="115">
        <f t="shared" si="120"/>
        <v>86.07107101021812</v>
      </c>
      <c r="L442" s="115">
        <f t="shared" si="121"/>
        <v>240.65252012486923</v>
      </c>
      <c r="M442" s="115">
        <f t="shared" si="122"/>
        <v>285.37034591564344</v>
      </c>
      <c r="N442" s="115">
        <f t="shared" si="123"/>
        <v>309.76968902419293</v>
      </c>
      <c r="O442" s="115">
        <f t="shared" si="124"/>
        <v>259.85411096010648</v>
      </c>
      <c r="P442" s="115">
        <f t="shared" si="125"/>
        <v>289.58798522645316</v>
      </c>
      <c r="Q442" s="115">
        <f t="shared" si="126"/>
        <v>34.503009040628271</v>
      </c>
    </row>
    <row r="443" spans="1:17" x14ac:dyDescent="0.25">
      <c r="A443" s="114">
        <f t="shared" si="116"/>
        <v>44578</v>
      </c>
      <c r="B443">
        <f t="shared" si="111"/>
        <v>5.5</v>
      </c>
      <c r="C443" s="109">
        <f t="shared" si="112"/>
        <v>19.066666666666666</v>
      </c>
      <c r="D443" s="109">
        <f t="shared" si="113"/>
        <v>72.86666666666666</v>
      </c>
      <c r="E443" s="107">
        <f t="shared" si="114"/>
        <v>44578.368055555555</v>
      </c>
      <c r="F443" s="106">
        <f t="shared" si="117"/>
        <v>44578.301901318751</v>
      </c>
      <c r="G443" t="str">
        <f t="shared" si="115"/>
        <v>Monday</v>
      </c>
      <c r="H443" s="129">
        <v>0.597222222222211</v>
      </c>
      <c r="I443" s="115">
        <f t="shared" si="118"/>
        <v>37.495703395219721</v>
      </c>
      <c r="J443" s="115">
        <f t="shared" si="119"/>
        <v>273.04755453486297</v>
      </c>
      <c r="K443" s="115">
        <f t="shared" si="120"/>
        <v>86.11302780009413</v>
      </c>
      <c r="L443" s="115">
        <f t="shared" si="121"/>
        <v>240.65502285544798</v>
      </c>
      <c r="M443" s="115">
        <f t="shared" si="122"/>
        <v>285.36840007647629</v>
      </c>
      <c r="N443" s="115">
        <f t="shared" si="123"/>
        <v>309.77044230760094</v>
      </c>
      <c r="O443" s="115">
        <f t="shared" si="124"/>
        <v>259.85247142606642</v>
      </c>
      <c r="P443" s="115">
        <f t="shared" si="125"/>
        <v>289.58838991295221</v>
      </c>
      <c r="Q443" s="115">
        <f t="shared" si="126"/>
        <v>34.502825040692024</v>
      </c>
    </row>
    <row r="444" spans="1:17" x14ac:dyDescent="0.25">
      <c r="A444" s="114">
        <f t="shared" si="116"/>
        <v>44578</v>
      </c>
      <c r="B444">
        <f t="shared" si="111"/>
        <v>5.5</v>
      </c>
      <c r="C444" s="109">
        <f t="shared" si="112"/>
        <v>19.066666666666666</v>
      </c>
      <c r="D444" s="109">
        <f t="shared" si="113"/>
        <v>72.86666666666666</v>
      </c>
      <c r="E444" s="107">
        <f t="shared" si="114"/>
        <v>44578.371527777781</v>
      </c>
      <c r="F444" s="106">
        <f t="shared" si="117"/>
        <v>44578.301901318751</v>
      </c>
      <c r="G444" t="str">
        <f t="shared" si="115"/>
        <v>Monday</v>
      </c>
      <c r="H444" s="129">
        <v>0.60069444444443298</v>
      </c>
      <c r="I444" s="115">
        <f t="shared" si="118"/>
        <v>38.789492730330934</v>
      </c>
      <c r="J444" s="115">
        <f t="shared" si="119"/>
        <v>273.05108885767402</v>
      </c>
      <c r="K444" s="115">
        <f t="shared" si="120"/>
        <v>86.154986409047879</v>
      </c>
      <c r="L444" s="115">
        <f t="shared" si="121"/>
        <v>240.65752559367863</v>
      </c>
      <c r="M444" s="115">
        <f t="shared" si="122"/>
        <v>285.36645194336552</v>
      </c>
      <c r="N444" s="115">
        <f t="shared" si="123"/>
        <v>309.77119560392674</v>
      </c>
      <c r="O444" s="115">
        <f t="shared" si="124"/>
        <v>259.85083226909205</v>
      </c>
      <c r="P444" s="115">
        <f t="shared" si="125"/>
        <v>289.58879460306883</v>
      </c>
      <c r="Q444" s="115">
        <f t="shared" si="126"/>
        <v>34.502641040689497</v>
      </c>
    </row>
    <row r="445" spans="1:17" x14ac:dyDescent="0.25">
      <c r="A445" s="114">
        <f t="shared" si="116"/>
        <v>44578</v>
      </c>
      <c r="B445">
        <f t="shared" si="111"/>
        <v>5.5</v>
      </c>
      <c r="C445" s="109">
        <f t="shared" si="112"/>
        <v>19.066666666666666</v>
      </c>
      <c r="D445" s="109">
        <f t="shared" si="113"/>
        <v>72.86666666666666</v>
      </c>
      <c r="E445" s="107">
        <f t="shared" si="114"/>
        <v>44578.375</v>
      </c>
      <c r="F445" s="106">
        <f t="shared" si="117"/>
        <v>44578.301901318751</v>
      </c>
      <c r="G445" t="str">
        <f t="shared" si="115"/>
        <v>Monday</v>
      </c>
      <c r="H445" s="129">
        <v>0.60416666666665497</v>
      </c>
      <c r="I445" s="115">
        <f t="shared" si="118"/>
        <v>40.074713434150304</v>
      </c>
      <c r="J445" s="115">
        <f t="shared" si="119"/>
        <v>273.05462317831928</v>
      </c>
      <c r="K445" s="115">
        <f t="shared" si="120"/>
        <v>86.196946826691303</v>
      </c>
      <c r="L445" s="115">
        <f t="shared" si="121"/>
        <v>240.66002833933933</v>
      </c>
      <c r="M445" s="115">
        <f t="shared" si="122"/>
        <v>285.36450151731214</v>
      </c>
      <c r="N445" s="115">
        <f t="shared" si="123"/>
        <v>309.77194891359142</v>
      </c>
      <c r="O445" s="115">
        <f t="shared" si="124"/>
        <v>259.84919348955617</v>
      </c>
      <c r="P445" s="115">
        <f t="shared" si="125"/>
        <v>289.58919929716836</v>
      </c>
      <c r="Q445" s="115">
        <f t="shared" si="126"/>
        <v>34.502457040736644</v>
      </c>
    </row>
    <row r="446" spans="1:17" x14ac:dyDescent="0.25">
      <c r="A446" s="114">
        <f t="shared" si="116"/>
        <v>44578</v>
      </c>
      <c r="B446">
        <f t="shared" si="111"/>
        <v>5.5</v>
      </c>
      <c r="C446" s="109">
        <f t="shared" si="112"/>
        <v>19.066666666666666</v>
      </c>
      <c r="D446" s="109">
        <f t="shared" si="113"/>
        <v>72.86666666666666</v>
      </c>
      <c r="E446" s="107">
        <f t="shared" si="114"/>
        <v>44578.378472222226</v>
      </c>
      <c r="F446" s="106">
        <f t="shared" si="117"/>
        <v>44578.301901318751</v>
      </c>
      <c r="G446" t="str">
        <f t="shared" si="115"/>
        <v>Monday</v>
      </c>
      <c r="H446" s="129">
        <v>0.60763888888887696</v>
      </c>
      <c r="I446" s="115">
        <f t="shared" si="118"/>
        <v>41.35154816663745</v>
      </c>
      <c r="J446" s="115">
        <f t="shared" si="119"/>
        <v>273.05815749710058</v>
      </c>
      <c r="K446" s="115">
        <f t="shared" si="120"/>
        <v>86.238909059561678</v>
      </c>
      <c r="L446" s="115">
        <f t="shared" si="121"/>
        <v>240.66253109248336</v>
      </c>
      <c r="M446" s="115">
        <f t="shared" si="122"/>
        <v>285.36254879839493</v>
      </c>
      <c r="N446" s="115">
        <f t="shared" si="123"/>
        <v>309.7727022366476</v>
      </c>
      <c r="O446" s="115">
        <f t="shared" si="124"/>
        <v>259.84755508749589</v>
      </c>
      <c r="P446" s="115">
        <f t="shared" si="125"/>
        <v>289.58960399581491</v>
      </c>
      <c r="Q446" s="115">
        <f t="shared" si="126"/>
        <v>34.502273040800439</v>
      </c>
    </row>
    <row r="447" spans="1:17" x14ac:dyDescent="0.25">
      <c r="A447" s="114">
        <f t="shared" si="116"/>
        <v>44578</v>
      </c>
      <c r="B447">
        <f t="shared" ref="B447:B510" si="127">B446</f>
        <v>5.5</v>
      </c>
      <c r="C447" s="109">
        <f t="shared" ref="C447:C510" si="128">C446</f>
        <v>19.066666666666666</v>
      </c>
      <c r="D447" s="109">
        <f t="shared" ref="D447:D510" si="129">D446</f>
        <v>72.86666666666666</v>
      </c>
      <c r="E447" s="107">
        <f t="shared" ref="E447:E510" si="130">A447+H447-B447/24</f>
        <v>44578.381944444445</v>
      </c>
      <c r="F447" s="106">
        <f t="shared" si="117"/>
        <v>44578.301901318751</v>
      </c>
      <c r="G447" t="str">
        <f t="shared" ref="G447:G510" si="131">CHOOSE(WEEKDAY(E447),"Sunday","Monday","Tuesday","Wednesday","Thursday","Friday","Saturday")</f>
        <v>Monday</v>
      </c>
      <c r="H447" s="129">
        <v>0.61111111111109895</v>
      </c>
      <c r="I447" s="115">
        <f t="shared" si="118"/>
        <v>42.620186254289358</v>
      </c>
      <c r="J447" s="115">
        <f t="shared" si="119"/>
        <v>273.06169181466288</v>
      </c>
      <c r="K447" s="115">
        <f t="shared" si="120"/>
        <v>86.280873114090383</v>
      </c>
      <c r="L447" s="115">
        <f t="shared" si="121"/>
        <v>240.66503385376654</v>
      </c>
      <c r="M447" s="115">
        <f t="shared" si="122"/>
        <v>285.36059378691237</v>
      </c>
      <c r="N447" s="115">
        <f t="shared" si="123"/>
        <v>309.77345557283712</v>
      </c>
      <c r="O447" s="115">
        <f t="shared" si="124"/>
        <v>259.8459170628999</v>
      </c>
      <c r="P447" s="115">
        <f t="shared" si="125"/>
        <v>289.59000869860893</v>
      </c>
      <c r="Q447" s="115">
        <f t="shared" si="126"/>
        <v>34.502089040814496</v>
      </c>
    </row>
    <row r="448" spans="1:17" x14ac:dyDescent="0.25">
      <c r="A448" s="114">
        <f t="shared" ref="A448:A457" si="132">A447</f>
        <v>44578</v>
      </c>
      <c r="B448">
        <f t="shared" si="127"/>
        <v>5.5</v>
      </c>
      <c r="C448" s="109">
        <f t="shared" si="128"/>
        <v>19.066666666666666</v>
      </c>
      <c r="D448" s="109">
        <f t="shared" si="129"/>
        <v>72.86666666666666</v>
      </c>
      <c r="E448" s="107">
        <f t="shared" si="130"/>
        <v>44578.385416666672</v>
      </c>
      <c r="F448" s="106">
        <f t="shared" si="117"/>
        <v>44578.301901318751</v>
      </c>
      <c r="G448" t="str">
        <f t="shared" si="131"/>
        <v>Monday</v>
      </c>
      <c r="H448" s="129">
        <v>0.61458333333332105</v>
      </c>
      <c r="I448" s="115">
        <f t="shared" si="118"/>
        <v>43.880822458168495</v>
      </c>
      <c r="J448" s="115">
        <f t="shared" si="119"/>
        <v>273.06522612999407</v>
      </c>
      <c r="K448" s="115">
        <f t="shared" si="120"/>
        <v>86.322838979857977</v>
      </c>
      <c r="L448" s="115">
        <f t="shared" si="121"/>
        <v>240.66753662227615</v>
      </c>
      <c r="M448" s="115">
        <f t="shared" si="122"/>
        <v>285.35863648361874</v>
      </c>
      <c r="N448" s="115">
        <f t="shared" si="123"/>
        <v>309.77420892204469</v>
      </c>
      <c r="O448" s="115">
        <f t="shared" si="124"/>
        <v>259.84427941616326</v>
      </c>
      <c r="P448" s="115">
        <f t="shared" si="125"/>
        <v>289.5904134063951</v>
      </c>
      <c r="Q448" s="115">
        <f t="shared" si="126"/>
        <v>34.501905040861722</v>
      </c>
    </row>
    <row r="449" spans="1:17" x14ac:dyDescent="0.25">
      <c r="A449" s="114">
        <f t="shared" si="132"/>
        <v>44578</v>
      </c>
      <c r="B449">
        <f t="shared" si="127"/>
        <v>5.5</v>
      </c>
      <c r="C449" s="109">
        <f t="shared" si="128"/>
        <v>19.066666666666666</v>
      </c>
      <c r="D449" s="109">
        <f t="shared" si="129"/>
        <v>72.86666666666666</v>
      </c>
      <c r="E449" s="107">
        <f t="shared" si="130"/>
        <v>44578.388888888891</v>
      </c>
      <c r="F449" s="106">
        <f t="shared" si="117"/>
        <v>44578.301901318751</v>
      </c>
      <c r="G449" t="str">
        <f t="shared" si="131"/>
        <v>Monday</v>
      </c>
      <c r="H449" s="129">
        <v>0.61805555555554303</v>
      </c>
      <c r="I449" s="115">
        <f t="shared" si="118"/>
        <v>45.133657464884749</v>
      </c>
      <c r="J449" s="115">
        <f t="shared" si="119"/>
        <v>273.06876044380851</v>
      </c>
      <c r="K449" s="115">
        <f t="shared" si="120"/>
        <v>86.364806668969081</v>
      </c>
      <c r="L449" s="115">
        <f t="shared" si="121"/>
        <v>240.67003939848908</v>
      </c>
      <c r="M449" s="115">
        <f t="shared" si="122"/>
        <v>285.35667688840238</v>
      </c>
      <c r="N449" s="115">
        <f t="shared" si="123"/>
        <v>309.77496228445119</v>
      </c>
      <c r="O449" s="115">
        <f t="shared" si="124"/>
        <v>259.84264214689995</v>
      </c>
      <c r="P449" s="115">
        <f t="shared" si="125"/>
        <v>289.59081811781471</v>
      </c>
      <c r="Q449" s="115">
        <f t="shared" si="126"/>
        <v>34.501721040908919</v>
      </c>
    </row>
    <row r="450" spans="1:17" x14ac:dyDescent="0.25">
      <c r="A450" s="114">
        <f t="shared" si="132"/>
        <v>44578</v>
      </c>
      <c r="B450">
        <f t="shared" si="127"/>
        <v>5.5</v>
      </c>
      <c r="C450" s="109">
        <f t="shared" si="128"/>
        <v>19.066666666666666</v>
      </c>
      <c r="D450" s="109">
        <f t="shared" si="129"/>
        <v>72.86666666666666</v>
      </c>
      <c r="E450" s="107">
        <f t="shared" si="130"/>
        <v>44578.392361111117</v>
      </c>
      <c r="F450" s="106">
        <f t="shared" si="117"/>
        <v>44578.301901318751</v>
      </c>
      <c r="G450" t="str">
        <f t="shared" si="131"/>
        <v>Monday</v>
      </c>
      <c r="H450" s="129">
        <v>0.62152777777776502</v>
      </c>
      <c r="I450" s="115">
        <f t="shared" si="118"/>
        <v>46.378895880333872</v>
      </c>
      <c r="J450" s="115">
        <f t="shared" si="119"/>
        <v>273.07229475534047</v>
      </c>
      <c r="K450" s="115">
        <f t="shared" si="120"/>
        <v>86.406776170971085</v>
      </c>
      <c r="L450" s="115">
        <f t="shared" si="121"/>
        <v>240.67254218187679</v>
      </c>
      <c r="M450" s="115">
        <f t="shared" si="122"/>
        <v>285.35471500234001</v>
      </c>
      <c r="N450" s="115">
        <f t="shared" si="123"/>
        <v>309.77571566022817</v>
      </c>
      <c r="O450" s="115">
        <f t="shared" si="124"/>
        <v>259.841005255835</v>
      </c>
      <c r="P450" s="115">
        <f t="shared" si="125"/>
        <v>289.59122283400359</v>
      </c>
      <c r="Q450" s="115">
        <f t="shared" si="126"/>
        <v>34.501537040922962</v>
      </c>
    </row>
    <row r="451" spans="1:17" x14ac:dyDescent="0.25">
      <c r="A451" s="114">
        <f t="shared" si="132"/>
        <v>44578</v>
      </c>
      <c r="B451">
        <f t="shared" si="127"/>
        <v>5.5</v>
      </c>
      <c r="C451" s="109">
        <f t="shared" si="128"/>
        <v>19.066666666666666</v>
      </c>
      <c r="D451" s="109">
        <f t="shared" si="129"/>
        <v>72.86666666666666</v>
      </c>
      <c r="E451" s="107">
        <f t="shared" si="130"/>
        <v>44578.395833333336</v>
      </c>
      <c r="F451" s="106">
        <f t="shared" ref="F451:F514" si="133">sunrise(C451,D451,E451)+B451/24</f>
        <v>44578.301901318751</v>
      </c>
      <c r="G451" t="str">
        <f t="shared" si="131"/>
        <v>Monday</v>
      </c>
      <c r="H451" s="129">
        <v>0.62499999999998701</v>
      </c>
      <c r="I451" s="115">
        <f t="shared" si="118"/>
        <v>47.616746952126583</v>
      </c>
      <c r="J451" s="115">
        <f t="shared" si="119"/>
        <v>273.07582906559776</v>
      </c>
      <c r="K451" s="115">
        <f t="shared" si="120"/>
        <v>86.448747498009425</v>
      </c>
      <c r="L451" s="115">
        <f t="shared" si="121"/>
        <v>240.67504497326601</v>
      </c>
      <c r="M451" s="115">
        <f t="shared" si="122"/>
        <v>285.35275082509594</v>
      </c>
      <c r="N451" s="115">
        <f t="shared" si="123"/>
        <v>309.77646904876701</v>
      </c>
      <c r="O451" s="115">
        <f t="shared" si="124"/>
        <v>259.83936874253777</v>
      </c>
      <c r="P451" s="115">
        <f t="shared" si="125"/>
        <v>289.59162755442929</v>
      </c>
      <c r="Q451" s="115">
        <f t="shared" si="126"/>
        <v>34.501353040937005</v>
      </c>
    </row>
    <row r="452" spans="1:17" x14ac:dyDescent="0.25">
      <c r="A452" s="114">
        <f t="shared" si="132"/>
        <v>44578</v>
      </c>
      <c r="B452">
        <f t="shared" si="127"/>
        <v>5.5</v>
      </c>
      <c r="C452" s="109">
        <f t="shared" si="128"/>
        <v>19.066666666666666</v>
      </c>
      <c r="D452" s="109">
        <f t="shared" si="129"/>
        <v>72.86666666666666</v>
      </c>
      <c r="E452" s="107">
        <f t="shared" si="130"/>
        <v>44578.399305555555</v>
      </c>
      <c r="F452" s="106">
        <f t="shared" si="133"/>
        <v>44578.301901318751</v>
      </c>
      <c r="G452" t="str">
        <f t="shared" si="131"/>
        <v>Monday</v>
      </c>
      <c r="H452" s="129">
        <v>0.628472222222209</v>
      </c>
      <c r="I452" s="115">
        <f t="shared" si="118"/>
        <v>48.847422647328777</v>
      </c>
      <c r="J452" s="115">
        <f t="shared" si="119"/>
        <v>273.07936337356227</v>
      </c>
      <c r="K452" s="115">
        <f t="shared" si="120"/>
        <v>86.490720639642063</v>
      </c>
      <c r="L452" s="115">
        <f t="shared" si="121"/>
        <v>240.6775477719498</v>
      </c>
      <c r="M452" s="115">
        <f t="shared" si="122"/>
        <v>285.35078435772368</v>
      </c>
      <c r="N452" s="115">
        <f t="shared" si="123"/>
        <v>309.77722245068378</v>
      </c>
      <c r="O452" s="115">
        <f t="shared" si="124"/>
        <v>259.83773260756948</v>
      </c>
      <c r="P452" s="115">
        <f t="shared" si="125"/>
        <v>289.59203227841851</v>
      </c>
      <c r="Q452" s="115">
        <f t="shared" si="126"/>
        <v>34.501169040984216</v>
      </c>
    </row>
    <row r="453" spans="1:17" x14ac:dyDescent="0.25">
      <c r="A453" s="114">
        <f t="shared" si="132"/>
        <v>44578</v>
      </c>
      <c r="B453">
        <f t="shared" si="127"/>
        <v>5.5</v>
      </c>
      <c r="C453" s="109">
        <f t="shared" si="128"/>
        <v>19.066666666666666</v>
      </c>
      <c r="D453" s="109">
        <f t="shared" si="129"/>
        <v>72.86666666666666</v>
      </c>
      <c r="E453" s="107">
        <f t="shared" si="130"/>
        <v>44578.402777777781</v>
      </c>
      <c r="F453" s="106">
        <f t="shared" si="133"/>
        <v>44578.301901318751</v>
      </c>
      <c r="G453" t="str">
        <f t="shared" si="131"/>
        <v>Monday</v>
      </c>
      <c r="H453" s="129">
        <v>0.63194444444443099</v>
      </c>
      <c r="I453" s="115">
        <f t="shared" si="118"/>
        <v>50.071138434170003</v>
      </c>
      <c r="J453" s="115">
        <f t="shared" si="119"/>
        <v>273.08289768020001</v>
      </c>
      <c r="K453" s="115">
        <f t="shared" si="120"/>
        <v>86.532695607999528</v>
      </c>
      <c r="L453" s="115">
        <f t="shared" si="121"/>
        <v>240.68005057847611</v>
      </c>
      <c r="M453" s="115">
        <f t="shared" si="122"/>
        <v>285.34881560005351</v>
      </c>
      <c r="N453" s="115">
        <f t="shared" si="123"/>
        <v>309.77797586591379</v>
      </c>
      <c r="O453" s="115">
        <f t="shared" si="124"/>
        <v>259.83609685061674</v>
      </c>
      <c r="P453" s="115">
        <f t="shared" si="125"/>
        <v>289.5924370074419</v>
      </c>
      <c r="Q453" s="115">
        <f t="shared" si="126"/>
        <v>34.500985041014864</v>
      </c>
    </row>
    <row r="454" spans="1:17" x14ac:dyDescent="0.25">
      <c r="A454" s="114">
        <f t="shared" si="132"/>
        <v>44578</v>
      </c>
      <c r="B454">
        <f t="shared" si="127"/>
        <v>5.5</v>
      </c>
      <c r="C454" s="109">
        <f t="shared" si="128"/>
        <v>19.066666666666666</v>
      </c>
      <c r="D454" s="109">
        <f t="shared" si="129"/>
        <v>72.86666666666666</v>
      </c>
      <c r="E454" s="107">
        <f t="shared" si="130"/>
        <v>44578.40625</v>
      </c>
      <c r="F454" s="106">
        <f t="shared" si="133"/>
        <v>44578.301901318751</v>
      </c>
      <c r="G454" t="str">
        <f t="shared" si="131"/>
        <v>Monday</v>
      </c>
      <c r="H454" s="129">
        <v>0.63541666666665297</v>
      </c>
      <c r="I454" s="115">
        <f t="shared" si="118"/>
        <v>51.288111442034527</v>
      </c>
      <c r="J454" s="115">
        <f t="shared" si="119"/>
        <v>273.0864319845939</v>
      </c>
      <c r="K454" s="115">
        <f t="shared" si="120"/>
        <v>86.574672392613564</v>
      </c>
      <c r="L454" s="115">
        <f t="shared" si="121"/>
        <v>240.68255339236666</v>
      </c>
      <c r="M454" s="115">
        <f t="shared" si="122"/>
        <v>285.34684455298134</v>
      </c>
      <c r="N454" s="115">
        <f t="shared" si="123"/>
        <v>309.77872929412382</v>
      </c>
      <c r="O454" s="115">
        <f t="shared" si="124"/>
        <v>259.83446147218763</v>
      </c>
      <c r="P454" s="115">
        <f t="shared" si="125"/>
        <v>289.59284174091766</v>
      </c>
      <c r="Q454" s="115">
        <f t="shared" si="126"/>
        <v>34.500801041062076</v>
      </c>
    </row>
    <row r="455" spans="1:17" x14ac:dyDescent="0.25">
      <c r="A455" s="114">
        <f t="shared" si="132"/>
        <v>44578</v>
      </c>
      <c r="B455">
        <f t="shared" si="127"/>
        <v>5.5</v>
      </c>
      <c r="C455" s="109">
        <f t="shared" si="128"/>
        <v>19.066666666666666</v>
      </c>
      <c r="D455" s="109">
        <f t="shared" si="129"/>
        <v>72.86666666666666</v>
      </c>
      <c r="E455" s="107">
        <f t="shared" si="130"/>
        <v>44578.409722222226</v>
      </c>
      <c r="F455" s="106">
        <f t="shared" si="133"/>
        <v>44578.301901318751</v>
      </c>
      <c r="G455" t="str">
        <f t="shared" si="131"/>
        <v>Monday</v>
      </c>
      <c r="H455" s="129">
        <v>0.63888888888887496</v>
      </c>
      <c r="I455" s="115">
        <f t="shared" si="118"/>
        <v>52.498561133325161</v>
      </c>
      <c r="J455" s="115">
        <f t="shared" si="119"/>
        <v>273.08996628706825</v>
      </c>
      <c r="K455" s="115">
        <f t="shared" si="120"/>
        <v>86.616650999951105</v>
      </c>
      <c r="L455" s="115">
        <f t="shared" si="121"/>
        <v>240.6850562136006</v>
      </c>
      <c r="M455" s="115">
        <f t="shared" si="122"/>
        <v>285.34487121689375</v>
      </c>
      <c r="N455" s="115">
        <f t="shared" si="123"/>
        <v>309.77948273544519</v>
      </c>
      <c r="O455" s="115">
        <f t="shared" si="124"/>
        <v>259.83282647233625</v>
      </c>
      <c r="P455" s="115">
        <f t="shared" si="125"/>
        <v>289.5932464782328</v>
      </c>
      <c r="Q455" s="115">
        <f t="shared" si="126"/>
        <v>34.500617041125771</v>
      </c>
    </row>
    <row r="456" spans="1:17" x14ac:dyDescent="0.25">
      <c r="A456" s="114">
        <f t="shared" si="132"/>
        <v>44578</v>
      </c>
      <c r="B456">
        <f t="shared" si="127"/>
        <v>5.5</v>
      </c>
      <c r="C456" s="109">
        <f t="shared" si="128"/>
        <v>19.066666666666666</v>
      </c>
      <c r="D456" s="109">
        <f t="shared" si="129"/>
        <v>72.86666666666666</v>
      </c>
      <c r="E456" s="107">
        <f t="shared" si="130"/>
        <v>44578.413194444445</v>
      </c>
      <c r="F456" s="106">
        <f t="shared" si="133"/>
        <v>44578.301901318751</v>
      </c>
      <c r="G456" t="str">
        <f t="shared" si="131"/>
        <v>Monday</v>
      </c>
      <c r="H456" s="129">
        <v>0.64236111111109695</v>
      </c>
      <c r="I456" s="115">
        <f t="shared" si="118"/>
        <v>53.702708352193639</v>
      </c>
      <c r="J456" s="115">
        <f t="shared" si="119"/>
        <v>273.09350058827931</v>
      </c>
      <c r="K456" s="115">
        <f t="shared" si="120"/>
        <v>86.658631436474721</v>
      </c>
      <c r="L456" s="115">
        <f t="shared" si="121"/>
        <v>240.68755904290359</v>
      </c>
      <c r="M456" s="115">
        <f t="shared" si="122"/>
        <v>285.34289559168536</v>
      </c>
      <c r="N456" s="115">
        <f t="shared" si="123"/>
        <v>309.78023618982661</v>
      </c>
      <c r="O456" s="115">
        <f t="shared" si="124"/>
        <v>259.83119185073838</v>
      </c>
      <c r="P456" s="115">
        <f t="shared" si="125"/>
        <v>289.59365121975952</v>
      </c>
      <c r="Q456" s="115">
        <f t="shared" si="126"/>
        <v>34.500433041123308</v>
      </c>
    </row>
    <row r="457" spans="1:17" x14ac:dyDescent="0.25">
      <c r="A457" s="114">
        <f t="shared" si="132"/>
        <v>44578</v>
      </c>
      <c r="B457">
        <f t="shared" si="127"/>
        <v>5.5</v>
      </c>
      <c r="C457" s="109">
        <f t="shared" si="128"/>
        <v>19.066666666666666</v>
      </c>
      <c r="D457" s="109">
        <f t="shared" si="129"/>
        <v>72.86666666666666</v>
      </c>
      <c r="E457" s="107">
        <f t="shared" si="130"/>
        <v>44578.416666666672</v>
      </c>
      <c r="F457" s="106">
        <f t="shared" si="133"/>
        <v>44578.301901318751</v>
      </c>
      <c r="G457" t="str">
        <f t="shared" si="131"/>
        <v>Monday</v>
      </c>
      <c r="H457" s="129">
        <v>0.64583333333331905</v>
      </c>
      <c r="I457" s="115">
        <f t="shared" si="118"/>
        <v>54.90077442649644</v>
      </c>
      <c r="J457" s="115">
        <f t="shared" si="119"/>
        <v>273.09703488718611</v>
      </c>
      <c r="K457" s="115">
        <f t="shared" si="120"/>
        <v>86.700613691781058</v>
      </c>
      <c r="L457" s="115">
        <f t="shared" si="121"/>
        <v>240.69006187941059</v>
      </c>
      <c r="M457" s="115">
        <f t="shared" si="122"/>
        <v>285.34091767825913</v>
      </c>
      <c r="N457" s="115">
        <f t="shared" si="123"/>
        <v>309.78098965759506</v>
      </c>
      <c r="O457" s="115">
        <f t="shared" si="124"/>
        <v>259.82955760801229</v>
      </c>
      <c r="P457" s="115">
        <f t="shared" si="125"/>
        <v>289.59405596609759</v>
      </c>
      <c r="Q457" s="115">
        <f t="shared" si="126"/>
        <v>34.50024904117052</v>
      </c>
    </row>
    <row r="458" spans="1:17" x14ac:dyDescent="0.25">
      <c r="A458" s="114">
        <f>A457+1</f>
        <v>44579</v>
      </c>
      <c r="B458">
        <f t="shared" si="127"/>
        <v>5.5</v>
      </c>
      <c r="C458" s="109">
        <f t="shared" si="128"/>
        <v>19.066666666666666</v>
      </c>
      <c r="D458" s="109">
        <f t="shared" si="129"/>
        <v>72.86666666666666</v>
      </c>
      <c r="E458" s="107">
        <f t="shared" si="130"/>
        <v>44579.15625</v>
      </c>
      <c r="F458" s="106">
        <f t="shared" si="133"/>
        <v>44579.30191062732</v>
      </c>
      <c r="G458" t="str">
        <f t="shared" si="131"/>
        <v>Tuesday</v>
      </c>
      <c r="H458" s="129">
        <v>0.38541666666666669</v>
      </c>
      <c r="I458" s="115">
        <f t="shared" si="118"/>
        <v>306.49393643174648</v>
      </c>
      <c r="J458" s="115">
        <f t="shared" si="119"/>
        <v>273.84979964378232</v>
      </c>
      <c r="K458" s="115">
        <f t="shared" si="120"/>
        <v>95.68564361577198</v>
      </c>
      <c r="L458" s="115">
        <f t="shared" si="121"/>
        <v>241.22333892122379</v>
      </c>
      <c r="M458" s="115">
        <f t="shared" si="122"/>
        <v>284.8682288173498</v>
      </c>
      <c r="N458" s="115">
        <f t="shared" si="123"/>
        <v>309.94177651667354</v>
      </c>
      <c r="O458" s="115">
        <f t="shared" si="124"/>
        <v>259.49027054902342</v>
      </c>
      <c r="P458" s="115">
        <f t="shared" si="125"/>
        <v>289.68036348151446</v>
      </c>
      <c r="Q458" s="115">
        <f t="shared" si="126"/>
        <v>34.461057048672352</v>
      </c>
    </row>
    <row r="459" spans="1:17" x14ac:dyDescent="0.25">
      <c r="A459" s="114">
        <f>A458</f>
        <v>44579</v>
      </c>
      <c r="B459">
        <f t="shared" si="127"/>
        <v>5.5</v>
      </c>
      <c r="C459" s="109">
        <f t="shared" si="128"/>
        <v>19.066666666666666</v>
      </c>
      <c r="D459" s="109">
        <f t="shared" si="129"/>
        <v>72.86666666666666</v>
      </c>
      <c r="E459" s="107">
        <f t="shared" si="130"/>
        <v>44579.159722222226</v>
      </c>
      <c r="F459" s="106">
        <f t="shared" si="133"/>
        <v>44579.30191062732</v>
      </c>
      <c r="G459" t="str">
        <f t="shared" si="131"/>
        <v>Tuesday</v>
      </c>
      <c r="H459" s="129">
        <v>0.3888888888888889</v>
      </c>
      <c r="I459" s="115">
        <f t="shared" si="118"/>
        <v>308.01488547274721</v>
      </c>
      <c r="J459" s="115">
        <f t="shared" si="119"/>
        <v>273.85333355954714</v>
      </c>
      <c r="K459" s="115">
        <f t="shared" si="120"/>
        <v>95.728033046333238</v>
      </c>
      <c r="L459" s="115">
        <f t="shared" si="121"/>
        <v>241.2258433819394</v>
      </c>
      <c r="M459" s="115">
        <f t="shared" si="122"/>
        <v>284.86577236057184</v>
      </c>
      <c r="N459" s="115">
        <f t="shared" si="123"/>
        <v>309.94253277682134</v>
      </c>
      <c r="O459" s="115">
        <f t="shared" si="124"/>
        <v>259.48871980544385</v>
      </c>
      <c r="P459" s="115">
        <f t="shared" si="125"/>
        <v>289.68076912864524</v>
      </c>
      <c r="Q459" s="115">
        <f t="shared" si="126"/>
        <v>34.460873048703021</v>
      </c>
    </row>
    <row r="460" spans="1:17" x14ac:dyDescent="0.25">
      <c r="A460" s="114">
        <f t="shared" ref="A460:A523" si="134">A459</f>
        <v>44579</v>
      </c>
      <c r="B460">
        <f t="shared" si="127"/>
        <v>5.5</v>
      </c>
      <c r="C460" s="109">
        <f t="shared" si="128"/>
        <v>19.066666666666666</v>
      </c>
      <c r="D460" s="109">
        <f t="shared" si="129"/>
        <v>72.86666666666666</v>
      </c>
      <c r="E460" s="107">
        <f t="shared" si="130"/>
        <v>44579.163194444445</v>
      </c>
      <c r="F460" s="106">
        <f t="shared" si="133"/>
        <v>44579.30191062732</v>
      </c>
      <c r="G460" t="str">
        <f t="shared" si="131"/>
        <v>Tuesday</v>
      </c>
      <c r="H460" s="129">
        <v>0.39236111111111099</v>
      </c>
      <c r="I460" s="115">
        <f t="shared" si="118"/>
        <v>309.54419038805315</v>
      </c>
      <c r="J460" s="115">
        <f t="shared" si="119"/>
        <v>273.85686747400467</v>
      </c>
      <c r="K460" s="115">
        <f t="shared" si="120"/>
        <v>95.770424453459654</v>
      </c>
      <c r="L460" s="115">
        <f t="shared" si="121"/>
        <v>241.22834785070171</v>
      </c>
      <c r="M460" s="115">
        <f t="shared" si="122"/>
        <v>284.86331372800197</v>
      </c>
      <c r="N460" s="115">
        <f t="shared" si="123"/>
        <v>309.94328905038105</v>
      </c>
      <c r="O460" s="115">
        <f t="shared" si="124"/>
        <v>259.487169462959</v>
      </c>
      <c r="P460" s="115">
        <f t="shared" si="125"/>
        <v>289.68117477998283</v>
      </c>
      <c r="Q460" s="115">
        <f t="shared" si="126"/>
        <v>34.460689048750183</v>
      </c>
    </row>
    <row r="461" spans="1:17" x14ac:dyDescent="0.25">
      <c r="A461" s="114">
        <f t="shared" si="134"/>
        <v>44579</v>
      </c>
      <c r="B461">
        <f t="shared" si="127"/>
        <v>5.5</v>
      </c>
      <c r="C461" s="109">
        <f t="shared" si="128"/>
        <v>19.066666666666666</v>
      </c>
      <c r="D461" s="109">
        <f t="shared" si="129"/>
        <v>72.86666666666666</v>
      </c>
      <c r="E461" s="107">
        <f t="shared" si="130"/>
        <v>44579.166666666672</v>
      </c>
      <c r="F461" s="106">
        <f t="shared" si="133"/>
        <v>44579.30191062732</v>
      </c>
      <c r="G461" t="str">
        <f t="shared" si="131"/>
        <v>Tuesday</v>
      </c>
      <c r="H461" s="129">
        <v>0.39583333333333298</v>
      </c>
      <c r="I461" s="115">
        <f t="shared" si="118"/>
        <v>311.08155294809819</v>
      </c>
      <c r="J461" s="115">
        <f t="shared" si="119"/>
        <v>273.86040138622116</v>
      </c>
      <c r="K461" s="115">
        <f t="shared" si="120"/>
        <v>95.812817826271171</v>
      </c>
      <c r="L461" s="115">
        <f t="shared" si="121"/>
        <v>241.23085232662675</v>
      </c>
      <c r="M461" s="115">
        <f t="shared" si="122"/>
        <v>284.86085292078104</v>
      </c>
      <c r="N461" s="115">
        <f t="shared" si="123"/>
        <v>309.94404533650606</v>
      </c>
      <c r="O461" s="115">
        <f t="shared" si="124"/>
        <v>259.48561952209565</v>
      </c>
      <c r="P461" s="115">
        <f t="shared" si="125"/>
        <v>289.68158043591984</v>
      </c>
      <c r="Q461" s="115">
        <f t="shared" si="126"/>
        <v>34.460505048780796</v>
      </c>
    </row>
    <row r="462" spans="1:17" x14ac:dyDescent="0.25">
      <c r="A462" s="114">
        <f t="shared" si="134"/>
        <v>44579</v>
      </c>
      <c r="B462">
        <f t="shared" si="127"/>
        <v>5.5</v>
      </c>
      <c r="C462" s="109">
        <f t="shared" si="128"/>
        <v>19.066666666666666</v>
      </c>
      <c r="D462" s="109">
        <f t="shared" si="129"/>
        <v>72.86666666666666</v>
      </c>
      <c r="E462" s="107">
        <f t="shared" si="130"/>
        <v>44579.170138888891</v>
      </c>
      <c r="F462" s="106">
        <f t="shared" si="133"/>
        <v>44579.30191062732</v>
      </c>
      <c r="G462" t="str">
        <f t="shared" si="131"/>
        <v>Tuesday</v>
      </c>
      <c r="H462" s="129">
        <v>0.39930555555555503</v>
      </c>
      <c r="I462" s="115">
        <f t="shared" si="118"/>
        <v>312.6266494218894</v>
      </c>
      <c r="J462" s="115">
        <f t="shared" si="119"/>
        <v>273.86393529728451</v>
      </c>
      <c r="K462" s="115">
        <f t="shared" si="120"/>
        <v>95.855213176723922</v>
      </c>
      <c r="L462" s="115">
        <f t="shared" si="121"/>
        <v>241.2333568106535</v>
      </c>
      <c r="M462" s="115">
        <f t="shared" si="122"/>
        <v>284.85838993888729</v>
      </c>
      <c r="N462" s="115">
        <f t="shared" si="123"/>
        <v>309.94480163587605</v>
      </c>
      <c r="O462" s="115">
        <f t="shared" si="124"/>
        <v>259.48406998258889</v>
      </c>
      <c r="P462" s="115">
        <f t="shared" si="125"/>
        <v>289.68198609595032</v>
      </c>
      <c r="Q462" s="115">
        <f t="shared" si="126"/>
        <v>34.460321048778347</v>
      </c>
    </row>
    <row r="463" spans="1:17" x14ac:dyDescent="0.25">
      <c r="A463" s="114">
        <f t="shared" si="134"/>
        <v>44579</v>
      </c>
      <c r="B463">
        <f t="shared" si="127"/>
        <v>5.5</v>
      </c>
      <c r="C463" s="109">
        <f t="shared" si="128"/>
        <v>19.066666666666666</v>
      </c>
      <c r="D463" s="109">
        <f t="shared" si="129"/>
        <v>72.86666666666666</v>
      </c>
      <c r="E463" s="107">
        <f t="shared" si="130"/>
        <v>44579.173611111117</v>
      </c>
      <c r="F463" s="106">
        <f t="shared" si="133"/>
        <v>44579.30191062732</v>
      </c>
      <c r="G463" t="str">
        <f t="shared" si="131"/>
        <v>Tuesday</v>
      </c>
      <c r="H463" s="129">
        <v>0.40277777777777801</v>
      </c>
      <c r="I463" s="115">
        <f t="shared" si="118"/>
        <v>314.17912928316173</v>
      </c>
      <c r="J463" s="115">
        <f t="shared" si="119"/>
        <v>273.86746920584835</v>
      </c>
      <c r="K463" s="115">
        <f t="shared" si="120"/>
        <v>95.897610494018053</v>
      </c>
      <c r="L463" s="115">
        <f t="shared" si="121"/>
        <v>241.23586130167723</v>
      </c>
      <c r="M463" s="115">
        <f t="shared" si="122"/>
        <v>284.85592478378646</v>
      </c>
      <c r="N463" s="115">
        <f t="shared" si="123"/>
        <v>309.94555794758503</v>
      </c>
      <c r="O463" s="115">
        <f t="shared" si="124"/>
        <v>259.48252084481209</v>
      </c>
      <c r="P463" s="115">
        <f t="shared" si="125"/>
        <v>289.68239175968733</v>
      </c>
      <c r="Q463" s="115">
        <f t="shared" si="126"/>
        <v>34.460137048842107</v>
      </c>
    </row>
    <row r="464" spans="1:17" x14ac:dyDescent="0.25">
      <c r="A464" s="114">
        <f t="shared" si="134"/>
        <v>44579</v>
      </c>
      <c r="B464">
        <f t="shared" si="127"/>
        <v>5.5</v>
      </c>
      <c r="C464" s="109">
        <f t="shared" si="128"/>
        <v>19.066666666666666</v>
      </c>
      <c r="D464" s="109">
        <f t="shared" si="129"/>
        <v>72.86666666666666</v>
      </c>
      <c r="E464" s="107">
        <f t="shared" si="130"/>
        <v>44579.177083333336</v>
      </c>
      <c r="F464" s="106">
        <f t="shared" si="133"/>
        <v>44579.30191062732</v>
      </c>
      <c r="G464" t="str">
        <f t="shared" si="131"/>
        <v>Tuesday</v>
      </c>
      <c r="H464" s="129">
        <v>0.40625</v>
      </c>
      <c r="I464" s="115">
        <f t="shared" si="118"/>
        <v>315.73861740318625</v>
      </c>
      <c r="J464" s="115">
        <f t="shared" si="119"/>
        <v>273.87100311323883</v>
      </c>
      <c r="K464" s="115">
        <f t="shared" si="120"/>
        <v>95.940009790045778</v>
      </c>
      <c r="L464" s="115">
        <f t="shared" si="121"/>
        <v>241.23836580081613</v>
      </c>
      <c r="M464" s="115">
        <f t="shared" si="122"/>
        <v>284.8534574554235</v>
      </c>
      <c r="N464" s="115">
        <f t="shared" si="123"/>
        <v>309.94631427279569</v>
      </c>
      <c r="O464" s="115">
        <f t="shared" si="124"/>
        <v>259.48097210857622</v>
      </c>
      <c r="P464" s="115">
        <f t="shared" si="125"/>
        <v>289.68279742767049</v>
      </c>
      <c r="Q464" s="115">
        <f t="shared" si="126"/>
        <v>34.459953048872705</v>
      </c>
    </row>
    <row r="465" spans="1:17" x14ac:dyDescent="0.25">
      <c r="A465" s="114">
        <f t="shared" si="134"/>
        <v>44579</v>
      </c>
      <c r="B465">
        <f t="shared" si="127"/>
        <v>5.5</v>
      </c>
      <c r="C465" s="109">
        <f t="shared" si="128"/>
        <v>19.066666666666666</v>
      </c>
      <c r="D465" s="109">
        <f t="shared" si="129"/>
        <v>72.86666666666666</v>
      </c>
      <c r="E465" s="107">
        <f t="shared" si="130"/>
        <v>44579.180555555555</v>
      </c>
      <c r="F465" s="106">
        <f t="shared" si="133"/>
        <v>44579.30191062732</v>
      </c>
      <c r="G465" t="str">
        <f t="shared" si="131"/>
        <v>Tuesday</v>
      </c>
      <c r="H465" s="129">
        <v>0.40972222222222199</v>
      </c>
      <c r="I465" s="115">
        <f t="shared" si="118"/>
        <v>317.30471308658048</v>
      </c>
      <c r="J465" s="115">
        <f t="shared" si="119"/>
        <v>273.87453701838581</v>
      </c>
      <c r="K465" s="115">
        <f t="shared" si="120"/>
        <v>95.982411053956753</v>
      </c>
      <c r="L465" s="115">
        <f t="shared" si="121"/>
        <v>241.24087030714549</v>
      </c>
      <c r="M465" s="115">
        <f t="shared" si="122"/>
        <v>284.85098795490444</v>
      </c>
      <c r="N465" s="115">
        <f t="shared" si="123"/>
        <v>309.94707061087092</v>
      </c>
      <c r="O465" s="115">
        <f t="shared" si="124"/>
        <v>259.47942377434896</v>
      </c>
      <c r="P465" s="115">
        <f t="shared" si="125"/>
        <v>289.68320310010535</v>
      </c>
      <c r="Q465" s="115">
        <f t="shared" si="126"/>
        <v>34.459769048919938</v>
      </c>
    </row>
    <row r="466" spans="1:17" x14ac:dyDescent="0.25">
      <c r="A466" s="114">
        <f t="shared" si="134"/>
        <v>44579</v>
      </c>
      <c r="B466">
        <f t="shared" si="127"/>
        <v>5.5</v>
      </c>
      <c r="C466" s="109">
        <f t="shared" si="128"/>
        <v>19.066666666666666</v>
      </c>
      <c r="D466" s="109">
        <f t="shared" si="129"/>
        <v>72.86666666666666</v>
      </c>
      <c r="E466" s="107">
        <f t="shared" si="130"/>
        <v>44579.184027777781</v>
      </c>
      <c r="F466" s="106">
        <f t="shared" si="133"/>
        <v>44579.30191062732</v>
      </c>
      <c r="G466" t="str">
        <f t="shared" si="131"/>
        <v>Tuesday</v>
      </c>
      <c r="H466" s="129">
        <v>0.41319444444444398</v>
      </c>
      <c r="I466" s="115">
        <f t="shared" si="118"/>
        <v>318.87699263205349</v>
      </c>
      <c r="J466" s="115">
        <f t="shared" si="119"/>
        <v>273.87807092223699</v>
      </c>
      <c r="K466" s="115">
        <f t="shared" si="120"/>
        <v>96.024814297657329</v>
      </c>
      <c r="L466" s="115">
        <f t="shared" si="121"/>
        <v>241.24337482153652</v>
      </c>
      <c r="M466" s="115">
        <f t="shared" si="122"/>
        <v>284.84851628244962</v>
      </c>
      <c r="N466" s="115">
        <f t="shared" si="123"/>
        <v>309.947826961646</v>
      </c>
      <c r="O466" s="115">
        <f t="shared" si="124"/>
        <v>259.47787584183368</v>
      </c>
      <c r="P466" s="115">
        <f t="shared" si="125"/>
        <v>289.68360877633899</v>
      </c>
      <c r="Q466" s="115">
        <f t="shared" si="126"/>
        <v>34.459585048933967</v>
      </c>
    </row>
    <row r="467" spans="1:17" x14ac:dyDescent="0.25">
      <c r="A467" s="114">
        <f t="shared" si="134"/>
        <v>44579</v>
      </c>
      <c r="B467">
        <f t="shared" si="127"/>
        <v>5.5</v>
      </c>
      <c r="C467" s="109">
        <f t="shared" si="128"/>
        <v>19.066666666666666</v>
      </c>
      <c r="D467" s="109">
        <f t="shared" si="129"/>
        <v>72.86666666666666</v>
      </c>
      <c r="E467" s="107">
        <f t="shared" si="130"/>
        <v>44579.1875</v>
      </c>
      <c r="F467" s="106">
        <f t="shared" si="133"/>
        <v>44579.30191062732</v>
      </c>
      <c r="G467" t="str">
        <f t="shared" si="131"/>
        <v>Tuesday</v>
      </c>
      <c r="H467" s="129">
        <v>0.41666666666666702</v>
      </c>
      <c r="I467" s="115">
        <f t="shared" si="118"/>
        <v>320.45500871271804</v>
      </c>
      <c r="J467" s="115">
        <f t="shared" si="119"/>
        <v>273.88160482383631</v>
      </c>
      <c r="K467" s="115">
        <f t="shared" si="120"/>
        <v>96.067219510360857</v>
      </c>
      <c r="L467" s="115">
        <f t="shared" si="121"/>
        <v>241.24587934317779</v>
      </c>
      <c r="M467" s="115">
        <f t="shared" si="122"/>
        <v>284.84604243918204</v>
      </c>
      <c r="N467" s="115">
        <f t="shared" si="123"/>
        <v>309.94858332551161</v>
      </c>
      <c r="O467" s="115">
        <f t="shared" si="124"/>
        <v>259.47632831151498</v>
      </c>
      <c r="P467" s="115">
        <f t="shared" si="125"/>
        <v>289.68401445681718</v>
      </c>
      <c r="Q467" s="115">
        <f t="shared" si="126"/>
        <v>34.459401048981192</v>
      </c>
    </row>
    <row r="468" spans="1:17" x14ac:dyDescent="0.25">
      <c r="A468" s="114">
        <f t="shared" si="134"/>
        <v>44579</v>
      </c>
      <c r="B468">
        <f t="shared" si="127"/>
        <v>5.5</v>
      </c>
      <c r="C468" s="109">
        <f t="shared" si="128"/>
        <v>19.066666666666666</v>
      </c>
      <c r="D468" s="109">
        <f t="shared" si="129"/>
        <v>72.86666666666666</v>
      </c>
      <c r="E468" s="107">
        <f t="shared" si="130"/>
        <v>44579.190972222226</v>
      </c>
      <c r="F468" s="106">
        <f t="shared" si="133"/>
        <v>44579.30191062732</v>
      </c>
      <c r="G468" t="str">
        <f t="shared" si="131"/>
        <v>Tuesday</v>
      </c>
      <c r="H468" s="129">
        <v>0.42013888888888901</v>
      </c>
      <c r="I468" s="115">
        <f t="shared" si="118"/>
        <v>322.03829308697806</v>
      </c>
      <c r="J468" s="115">
        <f t="shared" si="119"/>
        <v>273.88513872380628</v>
      </c>
      <c r="K468" s="115">
        <f t="shared" si="120"/>
        <v>96.109626698262758</v>
      </c>
      <c r="L468" s="115">
        <f t="shared" si="121"/>
        <v>241.24838387252859</v>
      </c>
      <c r="M468" s="115">
        <f t="shared" si="122"/>
        <v>284.84356642563159</v>
      </c>
      <c r="N468" s="115">
        <f t="shared" si="123"/>
        <v>309.94933970231847</v>
      </c>
      <c r="O468" s="115">
        <f t="shared" si="124"/>
        <v>259.47478118343548</v>
      </c>
      <c r="P468" s="115">
        <f t="shared" si="125"/>
        <v>289.68442014131597</v>
      </c>
      <c r="Q468" s="115">
        <f t="shared" si="126"/>
        <v>34.459217049044966</v>
      </c>
    </row>
    <row r="469" spans="1:17" x14ac:dyDescent="0.25">
      <c r="A469" s="114">
        <f t="shared" si="134"/>
        <v>44579</v>
      </c>
      <c r="B469">
        <f t="shared" si="127"/>
        <v>5.5</v>
      </c>
      <c r="C469" s="109">
        <f t="shared" si="128"/>
        <v>19.066666666666666</v>
      </c>
      <c r="D469" s="109">
        <f t="shared" si="129"/>
        <v>72.86666666666666</v>
      </c>
      <c r="E469" s="107">
        <f t="shared" si="130"/>
        <v>44579.194444444445</v>
      </c>
      <c r="F469" s="106">
        <f t="shared" si="133"/>
        <v>44579.30191062732</v>
      </c>
      <c r="G469" t="str">
        <f t="shared" si="131"/>
        <v>Tuesday</v>
      </c>
      <c r="H469" s="129">
        <v>0.42361111111111099</v>
      </c>
      <c r="I469" s="115">
        <f t="shared" si="118"/>
        <v>323.62635738434267</v>
      </c>
      <c r="J469" s="115">
        <f t="shared" si="119"/>
        <v>273.88867262223386</v>
      </c>
      <c r="K469" s="115">
        <f t="shared" si="120"/>
        <v>96.152035867590101</v>
      </c>
      <c r="L469" s="115">
        <f t="shared" si="121"/>
        <v>241.25088840955749</v>
      </c>
      <c r="M469" s="115">
        <f t="shared" si="122"/>
        <v>284.84108824193413</v>
      </c>
      <c r="N469" s="115">
        <f t="shared" si="123"/>
        <v>309.95009609190168</v>
      </c>
      <c r="O469" s="115">
        <f t="shared" si="124"/>
        <v>259.47323445712374</v>
      </c>
      <c r="P469" s="115">
        <f t="shared" si="125"/>
        <v>289.68482582987161</v>
      </c>
      <c r="Q469" s="115">
        <f t="shared" si="126"/>
        <v>34.459033049059073</v>
      </c>
    </row>
    <row r="470" spans="1:17" x14ac:dyDescent="0.25">
      <c r="A470" s="114">
        <f t="shared" si="134"/>
        <v>44579</v>
      </c>
      <c r="B470">
        <f t="shared" si="127"/>
        <v>5.5</v>
      </c>
      <c r="C470" s="109">
        <f t="shared" si="128"/>
        <v>19.066666666666666</v>
      </c>
      <c r="D470" s="109">
        <f t="shared" si="129"/>
        <v>72.86666666666666</v>
      </c>
      <c r="E470" s="107">
        <f t="shared" si="130"/>
        <v>44579.197916666672</v>
      </c>
      <c r="F470" s="106">
        <f t="shared" si="133"/>
        <v>44579.30191062732</v>
      </c>
      <c r="G470" t="str">
        <f t="shared" si="131"/>
        <v>Tuesday</v>
      </c>
      <c r="H470" s="129">
        <v>0.42708333333333298</v>
      </c>
      <c r="I470" s="115">
        <f t="shared" si="118"/>
        <v>325.21869403563414</v>
      </c>
      <c r="J470" s="115">
        <f t="shared" si="119"/>
        <v>273.89220651853276</v>
      </c>
      <c r="K470" s="115">
        <f t="shared" si="120"/>
        <v>96.194447007548405</v>
      </c>
      <c r="L470" s="115">
        <f t="shared" si="121"/>
        <v>241.25339295400863</v>
      </c>
      <c r="M470" s="115">
        <f t="shared" si="122"/>
        <v>284.83860788953302</v>
      </c>
      <c r="N470" s="115">
        <f t="shared" si="123"/>
        <v>309.95085249469884</v>
      </c>
      <c r="O470" s="115">
        <f t="shared" si="124"/>
        <v>259.47168813351487</v>
      </c>
      <c r="P470" s="115">
        <f t="shared" si="125"/>
        <v>289.68523152289981</v>
      </c>
      <c r="Q470" s="115">
        <f t="shared" si="126"/>
        <v>34.458849049106234</v>
      </c>
    </row>
    <row r="471" spans="1:17" x14ac:dyDescent="0.25">
      <c r="A471" s="114">
        <f t="shared" si="134"/>
        <v>44579</v>
      </c>
      <c r="B471">
        <f t="shared" si="127"/>
        <v>5.5</v>
      </c>
      <c r="C471" s="109">
        <f t="shared" si="128"/>
        <v>19.066666666666666</v>
      </c>
      <c r="D471" s="109">
        <f t="shared" si="129"/>
        <v>72.86666666666666</v>
      </c>
      <c r="E471" s="107">
        <f t="shared" si="130"/>
        <v>44579.201388888891</v>
      </c>
      <c r="F471" s="106">
        <f t="shared" si="133"/>
        <v>44579.30191062732</v>
      </c>
      <c r="G471" t="str">
        <f t="shared" si="131"/>
        <v>Tuesday</v>
      </c>
      <c r="H471" s="129">
        <v>0.43055555555555503</v>
      </c>
      <c r="I471" s="115">
        <f t="shared" si="118"/>
        <v>326.81477950396373</v>
      </c>
      <c r="J471" s="115">
        <f t="shared" si="119"/>
        <v>273.89574041354069</v>
      </c>
      <c r="K471" s="115">
        <f t="shared" si="120"/>
        <v>96.236860129958785</v>
      </c>
      <c r="L471" s="115">
        <f t="shared" si="121"/>
        <v>241.25589750637218</v>
      </c>
      <c r="M471" s="115">
        <f t="shared" si="122"/>
        <v>284.83612536830827</v>
      </c>
      <c r="N471" s="115">
        <f t="shared" si="123"/>
        <v>309.95160891029724</v>
      </c>
      <c r="O471" s="115">
        <f t="shared" si="124"/>
        <v>259.4701422119515</v>
      </c>
      <c r="P471" s="115">
        <f t="shared" si="125"/>
        <v>289.68563721975755</v>
      </c>
      <c r="Q471" s="115">
        <f t="shared" si="126"/>
        <v>34.458665049120256</v>
      </c>
    </row>
    <row r="472" spans="1:17" x14ac:dyDescent="0.25">
      <c r="A472" s="114">
        <f t="shared" si="134"/>
        <v>44579</v>
      </c>
      <c r="B472">
        <f t="shared" si="127"/>
        <v>5.5</v>
      </c>
      <c r="C472" s="109">
        <f t="shared" si="128"/>
        <v>19.066666666666666</v>
      </c>
      <c r="D472" s="109">
        <f t="shared" si="129"/>
        <v>72.86666666666666</v>
      </c>
      <c r="E472" s="107">
        <f t="shared" si="130"/>
        <v>44579.204861111117</v>
      </c>
      <c r="F472" s="106">
        <f t="shared" si="133"/>
        <v>44579.30191062732</v>
      </c>
      <c r="G472" t="str">
        <f t="shared" si="131"/>
        <v>Tuesday</v>
      </c>
      <c r="H472" s="129">
        <v>0.43402777777777801</v>
      </c>
      <c r="I472" s="115">
        <f t="shared" si="118"/>
        <v>328.41407445136707</v>
      </c>
      <c r="J472" s="115">
        <f t="shared" si="119"/>
        <v>273.89927430631349</v>
      </c>
      <c r="K472" s="115">
        <f t="shared" si="120"/>
        <v>96.279275224025525</v>
      </c>
      <c r="L472" s="115">
        <f t="shared" si="121"/>
        <v>241.25840206603186</v>
      </c>
      <c r="M472" s="115">
        <f t="shared" si="122"/>
        <v>284.83364067967364</v>
      </c>
      <c r="N472" s="115">
        <f t="shared" si="123"/>
        <v>309.95236533871349</v>
      </c>
      <c r="O472" s="115">
        <f t="shared" si="124"/>
        <v>259.46859669325534</v>
      </c>
      <c r="P472" s="115">
        <f t="shared" si="125"/>
        <v>289.68604292138946</v>
      </c>
      <c r="Q472" s="115">
        <f t="shared" si="126"/>
        <v>34.458481049167496</v>
      </c>
    </row>
    <row r="473" spans="1:17" x14ac:dyDescent="0.25">
      <c r="A473" s="114">
        <f t="shared" si="134"/>
        <v>44579</v>
      </c>
      <c r="B473">
        <f t="shared" si="127"/>
        <v>5.5</v>
      </c>
      <c r="C473" s="109">
        <f t="shared" si="128"/>
        <v>19.066666666666666</v>
      </c>
      <c r="D473" s="109">
        <f t="shared" si="129"/>
        <v>72.86666666666666</v>
      </c>
      <c r="E473" s="107">
        <f t="shared" si="130"/>
        <v>44579.208333333336</v>
      </c>
      <c r="F473" s="106">
        <f t="shared" si="133"/>
        <v>44579.30191062732</v>
      </c>
      <c r="G473" t="str">
        <f t="shared" si="131"/>
        <v>Tuesday</v>
      </c>
      <c r="H473" s="129">
        <v>0.4375</v>
      </c>
      <c r="I473" s="115">
        <f t="shared" si="118"/>
        <v>330.01602746706271</v>
      </c>
      <c r="J473" s="115">
        <f t="shared" si="119"/>
        <v>273.90280819785022</v>
      </c>
      <c r="K473" s="115">
        <f t="shared" si="120"/>
        <v>96.321692301722294</v>
      </c>
      <c r="L473" s="115">
        <f t="shared" si="121"/>
        <v>241.26090663375044</v>
      </c>
      <c r="M473" s="115">
        <f t="shared" si="122"/>
        <v>284.83115382351906</v>
      </c>
      <c r="N473" s="115">
        <f t="shared" si="123"/>
        <v>309.95312178029621</v>
      </c>
      <c r="O473" s="115">
        <f t="shared" si="124"/>
        <v>259.46705157678036</v>
      </c>
      <c r="P473" s="115">
        <f t="shared" si="125"/>
        <v>289.68644862603242</v>
      </c>
      <c r="Q473" s="115">
        <f t="shared" si="126"/>
        <v>34.458297049181603</v>
      </c>
    </row>
    <row r="474" spans="1:17" x14ac:dyDescent="0.25">
      <c r="A474" s="114">
        <f t="shared" si="134"/>
        <v>44579</v>
      </c>
      <c r="B474">
        <f t="shared" si="127"/>
        <v>5.5</v>
      </c>
      <c r="C474" s="109">
        <f t="shared" si="128"/>
        <v>19.066666666666666</v>
      </c>
      <c r="D474" s="109">
        <f t="shared" si="129"/>
        <v>72.86666666666666</v>
      </c>
      <c r="E474" s="107">
        <f t="shared" si="130"/>
        <v>44579.211805555555</v>
      </c>
      <c r="F474" s="106">
        <f t="shared" si="133"/>
        <v>44579.30191062732</v>
      </c>
      <c r="G474" t="str">
        <f t="shared" si="131"/>
        <v>Tuesday</v>
      </c>
      <c r="H474" s="129">
        <v>0.44097222222222199</v>
      </c>
      <c r="I474" s="115">
        <f t="shared" si="118"/>
        <v>331.62007547456284</v>
      </c>
      <c r="J474" s="115">
        <f t="shared" si="119"/>
        <v>273.90634208708479</v>
      </c>
      <c r="K474" s="115">
        <f t="shared" si="120"/>
        <v>96.364111352138323</v>
      </c>
      <c r="L474" s="115">
        <f t="shared" si="121"/>
        <v>241.26341120862915</v>
      </c>
      <c r="M474" s="115">
        <f t="shared" si="122"/>
        <v>284.82866480128763</v>
      </c>
      <c r="N474" s="115">
        <f t="shared" si="123"/>
        <v>309.95387823457946</v>
      </c>
      <c r="O474" s="115">
        <f t="shared" si="124"/>
        <v>259.46550686331437</v>
      </c>
      <c r="P474" s="115">
        <f t="shared" si="125"/>
        <v>289.68685433607646</v>
      </c>
      <c r="Q474" s="115">
        <f t="shared" si="126"/>
        <v>34.4581130492288</v>
      </c>
    </row>
    <row r="475" spans="1:17" x14ac:dyDescent="0.25">
      <c r="A475" s="114">
        <f t="shared" si="134"/>
        <v>44579</v>
      </c>
      <c r="B475">
        <f t="shared" si="127"/>
        <v>5.5</v>
      </c>
      <c r="C475" s="109">
        <f t="shared" si="128"/>
        <v>19.066666666666666</v>
      </c>
      <c r="D475" s="109">
        <f t="shared" si="129"/>
        <v>72.86666666666666</v>
      </c>
      <c r="E475" s="107">
        <f t="shared" si="130"/>
        <v>44579.215277777781</v>
      </c>
      <c r="F475" s="106">
        <f t="shared" si="133"/>
        <v>44579.30191062732</v>
      </c>
      <c r="G475" t="str">
        <f t="shared" si="131"/>
        <v>Tuesday</v>
      </c>
      <c r="H475" s="129">
        <v>0.44444444444444398</v>
      </c>
      <c r="I475" s="115">
        <f t="shared" si="118"/>
        <v>333.22564768006254</v>
      </c>
      <c r="J475" s="115">
        <f t="shared" si="119"/>
        <v>273.90987597497934</v>
      </c>
      <c r="K475" s="115">
        <f t="shared" si="120"/>
        <v>96.406532387172149</v>
      </c>
      <c r="L475" s="115">
        <f t="shared" si="121"/>
        <v>241.26591579139966</v>
      </c>
      <c r="M475" s="115">
        <f t="shared" si="122"/>
        <v>284.82617361298043</v>
      </c>
      <c r="N475" s="115">
        <f t="shared" si="123"/>
        <v>309.95463470175605</v>
      </c>
      <c r="O475" s="115">
        <f t="shared" si="124"/>
        <v>259.46396255255996</v>
      </c>
      <c r="P475" s="115">
        <f t="shared" si="125"/>
        <v>289.68726004900338</v>
      </c>
      <c r="Q475" s="115">
        <f t="shared" si="126"/>
        <v>34.457929049259413</v>
      </c>
    </row>
    <row r="476" spans="1:17" x14ac:dyDescent="0.25">
      <c r="A476" s="114">
        <f t="shared" si="134"/>
        <v>44579</v>
      </c>
      <c r="B476">
        <f t="shared" si="127"/>
        <v>5.5</v>
      </c>
      <c r="C476" s="109">
        <f t="shared" si="128"/>
        <v>19.066666666666666</v>
      </c>
      <c r="D476" s="109">
        <f t="shared" si="129"/>
        <v>72.86666666666666</v>
      </c>
      <c r="E476" s="107">
        <f t="shared" si="130"/>
        <v>44579.21875</v>
      </c>
      <c r="F476" s="106">
        <f t="shared" si="133"/>
        <v>44579.30191062732</v>
      </c>
      <c r="G476" t="str">
        <f t="shared" si="131"/>
        <v>Tuesday</v>
      </c>
      <c r="H476" s="129">
        <v>0.44791666666666602</v>
      </c>
      <c r="I476" s="115">
        <f t="shared" si="118"/>
        <v>334.83216615477068</v>
      </c>
      <c r="J476" s="115">
        <f t="shared" si="119"/>
        <v>273.91340986067058</v>
      </c>
      <c r="K476" s="115">
        <f t="shared" si="120"/>
        <v>96.448955396046941</v>
      </c>
      <c r="L476" s="115">
        <f t="shared" si="121"/>
        <v>241.26842038151315</v>
      </c>
      <c r="M476" s="115">
        <f t="shared" si="122"/>
        <v>284.82368025977951</v>
      </c>
      <c r="N476" s="115">
        <f t="shared" si="123"/>
        <v>309.95539118191442</v>
      </c>
      <c r="O476" s="115">
        <f t="shared" si="124"/>
        <v>259.46241864479174</v>
      </c>
      <c r="P476" s="115">
        <f t="shared" si="125"/>
        <v>289.68766576657532</v>
      </c>
      <c r="Q476" s="115">
        <f t="shared" si="126"/>
        <v>34.457745049306574</v>
      </c>
    </row>
    <row r="477" spans="1:17" x14ac:dyDescent="0.25">
      <c r="A477" s="114">
        <f t="shared" si="134"/>
        <v>44579</v>
      </c>
      <c r="B477">
        <f t="shared" si="127"/>
        <v>5.5</v>
      </c>
      <c r="C477" s="109">
        <f t="shared" si="128"/>
        <v>19.066666666666666</v>
      </c>
      <c r="D477" s="109">
        <f t="shared" si="129"/>
        <v>72.86666666666666</v>
      </c>
      <c r="E477" s="107">
        <f t="shared" si="130"/>
        <v>44579.222222222226</v>
      </c>
      <c r="F477" s="106">
        <f t="shared" si="133"/>
        <v>44579.30191062732</v>
      </c>
      <c r="G477" t="str">
        <f t="shared" si="131"/>
        <v>Tuesday</v>
      </c>
      <c r="H477" s="129">
        <v>0.45138888888888801</v>
      </c>
      <c r="I477" s="115">
        <f t="shared" ref="I477:I540" si="135">(Asdt(C477,D477,E477))</f>
        <v>336.43904970295233</v>
      </c>
      <c r="J477" s="115">
        <f t="shared" ref="J477:J540" si="136">(Planet(E477,0))</f>
        <v>273.91694374460963</v>
      </c>
      <c r="K477" s="115">
        <f t="shared" ref="K477:K540" si="137">(Planet(E477,1))</f>
        <v>96.491380384878752</v>
      </c>
      <c r="L477" s="115">
        <f t="shared" ref="L477:L540" si="138">(Planet(E477,4))</f>
        <v>241.27092497919213</v>
      </c>
      <c r="M477" s="115">
        <f t="shared" ref="M477:M540" si="139">(Planet(E477,2))</f>
        <v>284.82118474216162</v>
      </c>
      <c r="N477" s="115">
        <f t="shared" ref="N477:N540" si="140">(Planet(E477,5))</f>
        <v>309.95614767518549</v>
      </c>
      <c r="O477" s="115">
        <f t="shared" ref="O477:O540" si="141">Planet(E477,3)</f>
        <v>259.46087513995923</v>
      </c>
      <c r="P477" s="115">
        <f t="shared" ref="P477:P540" si="142">Planet(E477,6)</f>
        <v>289.68807148820724</v>
      </c>
      <c r="Q477" s="115">
        <f t="shared" ref="Q477:Q540" si="143">Planet(E477,10)</f>
        <v>34.457561049337237</v>
      </c>
    </row>
    <row r="478" spans="1:17" x14ac:dyDescent="0.25">
      <c r="A478" s="114">
        <f t="shared" si="134"/>
        <v>44579</v>
      </c>
      <c r="B478">
        <f t="shared" si="127"/>
        <v>5.5</v>
      </c>
      <c r="C478" s="109">
        <f t="shared" si="128"/>
        <v>19.066666666666666</v>
      </c>
      <c r="D478" s="109">
        <f t="shared" si="129"/>
        <v>72.86666666666666</v>
      </c>
      <c r="E478" s="107">
        <f t="shared" si="130"/>
        <v>44579.225694444445</v>
      </c>
      <c r="F478" s="106">
        <f t="shared" si="133"/>
        <v>44579.30191062732</v>
      </c>
      <c r="G478" t="str">
        <f t="shared" si="131"/>
        <v>Tuesday</v>
      </c>
      <c r="H478" s="129">
        <v>0.45486111111110999</v>
      </c>
      <c r="I478" s="115">
        <f t="shared" si="135"/>
        <v>338.04571561989695</v>
      </c>
      <c r="J478" s="115">
        <f t="shared" si="136"/>
        <v>273.92047762725537</v>
      </c>
      <c r="K478" s="115">
        <f t="shared" si="137"/>
        <v>96.533807359953215</v>
      </c>
      <c r="L478" s="115">
        <f t="shared" si="138"/>
        <v>241.27342958489993</v>
      </c>
      <c r="M478" s="115">
        <f t="shared" si="139"/>
        <v>284.818687060294</v>
      </c>
      <c r="N478" s="115">
        <f t="shared" si="140"/>
        <v>309.95690418106068</v>
      </c>
      <c r="O478" s="115">
        <f t="shared" si="141"/>
        <v>259.45933203817384</v>
      </c>
      <c r="P478" s="115">
        <f t="shared" si="142"/>
        <v>289.68847721435145</v>
      </c>
      <c r="Q478" s="115">
        <f t="shared" si="143"/>
        <v>34.457377049384448</v>
      </c>
    </row>
    <row r="479" spans="1:17" x14ac:dyDescent="0.25">
      <c r="A479" s="114">
        <f t="shared" si="134"/>
        <v>44579</v>
      </c>
      <c r="B479">
        <f t="shared" si="127"/>
        <v>5.5</v>
      </c>
      <c r="C479" s="109">
        <f t="shared" si="128"/>
        <v>19.066666666666666</v>
      </c>
      <c r="D479" s="109">
        <f t="shared" si="129"/>
        <v>72.86666666666666</v>
      </c>
      <c r="E479" s="107">
        <f t="shared" si="130"/>
        <v>44579.229166666672</v>
      </c>
      <c r="F479" s="106">
        <f t="shared" si="133"/>
        <v>44579.30191062732</v>
      </c>
      <c r="G479" t="str">
        <f t="shared" si="131"/>
        <v>Tuesday</v>
      </c>
      <c r="H479" s="129">
        <v>0.45833333333333198</v>
      </c>
      <c r="I479" s="115">
        <f t="shared" si="135"/>
        <v>339.65158145421736</v>
      </c>
      <c r="J479" s="115">
        <f t="shared" si="136"/>
        <v>273.92401150772571</v>
      </c>
      <c r="K479" s="115">
        <f t="shared" si="137"/>
        <v>96.576236310433529</v>
      </c>
      <c r="L479" s="115">
        <f t="shared" si="138"/>
        <v>241.27593419796801</v>
      </c>
      <c r="M479" s="115">
        <f t="shared" si="139"/>
        <v>284.81618721551007</v>
      </c>
      <c r="N479" s="115">
        <f t="shared" si="140"/>
        <v>309.95766070024371</v>
      </c>
      <c r="O479" s="115">
        <f t="shared" si="141"/>
        <v>259.45778933962231</v>
      </c>
      <c r="P479" s="115">
        <f t="shared" si="142"/>
        <v>289.68888294401046</v>
      </c>
      <c r="Q479" s="115">
        <f t="shared" si="143"/>
        <v>34.457193049431666</v>
      </c>
    </row>
    <row r="480" spans="1:17" x14ac:dyDescent="0.25">
      <c r="A480" s="114">
        <f t="shared" si="134"/>
        <v>44579</v>
      </c>
      <c r="B480">
        <f t="shared" si="127"/>
        <v>5.5</v>
      </c>
      <c r="C480" s="109">
        <f t="shared" si="128"/>
        <v>19.066666666666666</v>
      </c>
      <c r="D480" s="109">
        <f t="shared" si="129"/>
        <v>72.86666666666666</v>
      </c>
      <c r="E480" s="107">
        <f t="shared" si="130"/>
        <v>44579.232638888891</v>
      </c>
      <c r="F480" s="106">
        <f t="shared" si="133"/>
        <v>44579.30191062732</v>
      </c>
      <c r="G480" t="str">
        <f t="shared" si="131"/>
        <v>Tuesday</v>
      </c>
      <c r="H480" s="129">
        <v>0.46180555555555403</v>
      </c>
      <c r="I480" s="115">
        <f t="shared" si="135"/>
        <v>341.25606892595988</v>
      </c>
      <c r="J480" s="115">
        <f t="shared" si="136"/>
        <v>273.92754538688132</v>
      </c>
      <c r="K480" s="115">
        <f t="shared" si="137"/>
        <v>96.618667248210244</v>
      </c>
      <c r="L480" s="115">
        <f t="shared" si="138"/>
        <v>241.27843881887711</v>
      </c>
      <c r="M480" s="115">
        <f t="shared" si="139"/>
        <v>284.81368520810207</v>
      </c>
      <c r="N480" s="115">
        <f t="shared" si="140"/>
        <v>309.95841723217052</v>
      </c>
      <c r="O480" s="115">
        <f t="shared" si="141"/>
        <v>259.45624704429787</v>
      </c>
      <c r="P480" s="115">
        <f t="shared" si="142"/>
        <v>289.68928867852452</v>
      </c>
      <c r="Q480" s="115">
        <f t="shared" si="143"/>
        <v>34.457009049445716</v>
      </c>
    </row>
    <row r="481" spans="1:17" x14ac:dyDescent="0.25">
      <c r="A481" s="114">
        <f t="shared" si="134"/>
        <v>44579</v>
      </c>
      <c r="B481">
        <f t="shared" si="127"/>
        <v>5.5</v>
      </c>
      <c r="C481" s="109">
        <f t="shared" si="128"/>
        <v>19.066666666666666</v>
      </c>
      <c r="D481" s="109">
        <f t="shared" si="129"/>
        <v>72.86666666666666</v>
      </c>
      <c r="E481" s="107">
        <f t="shared" si="130"/>
        <v>44579.236111111117</v>
      </c>
      <c r="F481" s="106">
        <f t="shared" si="133"/>
        <v>44579.30191062732</v>
      </c>
      <c r="G481" t="str">
        <f t="shared" si="131"/>
        <v>Tuesday</v>
      </c>
      <c r="H481" s="129">
        <v>0.46527777777777601</v>
      </c>
      <c r="I481" s="115">
        <f t="shared" si="135"/>
        <v>342.85860457357217</v>
      </c>
      <c r="J481" s="115">
        <f t="shared" si="136"/>
        <v>273.93107926364758</v>
      </c>
      <c r="K481" s="115">
        <f t="shared" si="137"/>
        <v>96.661100162401269</v>
      </c>
      <c r="L481" s="115">
        <f t="shared" si="138"/>
        <v>241.28094344694227</v>
      </c>
      <c r="M481" s="115">
        <f t="shared" si="139"/>
        <v>284.81118103913388</v>
      </c>
      <c r="N481" s="115">
        <f t="shared" si="140"/>
        <v>309.95917377683918</v>
      </c>
      <c r="O481" s="115">
        <f t="shared" si="141"/>
        <v>259.45470515251566</v>
      </c>
      <c r="P481" s="115">
        <f t="shared" si="142"/>
        <v>289.68969441642054</v>
      </c>
      <c r="Q481" s="115">
        <f t="shared" si="143"/>
        <v>34.456825049492927</v>
      </c>
    </row>
    <row r="482" spans="1:17" x14ac:dyDescent="0.25">
      <c r="A482" s="114">
        <f t="shared" si="134"/>
        <v>44579</v>
      </c>
      <c r="B482">
        <f t="shared" si="127"/>
        <v>5.5</v>
      </c>
      <c r="C482" s="109">
        <f t="shared" si="128"/>
        <v>19.066666666666666</v>
      </c>
      <c r="D482" s="109">
        <f t="shared" si="129"/>
        <v>72.86666666666666</v>
      </c>
      <c r="E482" s="107">
        <f t="shared" si="130"/>
        <v>44579.239583333336</v>
      </c>
      <c r="F482" s="106">
        <f t="shared" si="133"/>
        <v>44579.30191062732</v>
      </c>
      <c r="G482" t="str">
        <f t="shared" si="131"/>
        <v>Tuesday</v>
      </c>
      <c r="H482" s="129">
        <v>0.468749999999998</v>
      </c>
      <c r="I482" s="115">
        <f t="shared" si="135"/>
        <v>344.45862380072049</v>
      </c>
      <c r="J482" s="115">
        <f t="shared" si="136"/>
        <v>273.93461313922222</v>
      </c>
      <c r="K482" s="115">
        <f t="shared" si="137"/>
        <v>96.703535064941207</v>
      </c>
      <c r="L482" s="115">
        <f t="shared" si="138"/>
        <v>241.28344808302856</v>
      </c>
      <c r="M482" s="115">
        <f t="shared" si="139"/>
        <v>284.80867470855355</v>
      </c>
      <c r="N482" s="115">
        <f t="shared" si="140"/>
        <v>309.95993033476901</v>
      </c>
      <c r="O482" s="115">
        <f t="shared" si="141"/>
        <v>259.45316366403949</v>
      </c>
      <c r="P482" s="115">
        <f t="shared" si="142"/>
        <v>289.69010015855935</v>
      </c>
      <c r="Q482" s="115">
        <f t="shared" si="143"/>
        <v>34.456641049523526</v>
      </c>
    </row>
    <row r="483" spans="1:17" x14ac:dyDescent="0.25">
      <c r="A483" s="114">
        <f t="shared" si="134"/>
        <v>44579</v>
      </c>
      <c r="B483">
        <f t="shared" si="127"/>
        <v>5.5</v>
      </c>
      <c r="C483" s="109">
        <f t="shared" si="128"/>
        <v>19.066666666666666</v>
      </c>
      <c r="D483" s="109">
        <f t="shared" si="129"/>
        <v>72.86666666666666</v>
      </c>
      <c r="E483" s="107">
        <f t="shared" si="130"/>
        <v>44579.243055555555</v>
      </c>
      <c r="F483" s="106">
        <f t="shared" si="133"/>
        <v>44579.30191062732</v>
      </c>
      <c r="G483" t="str">
        <f t="shared" si="131"/>
        <v>Tuesday</v>
      </c>
      <c r="H483" s="129">
        <v>0.47222222222221999</v>
      </c>
      <c r="I483" s="115">
        <f t="shared" si="135"/>
        <v>346.05557140308991</v>
      </c>
      <c r="J483" s="115">
        <f t="shared" si="136"/>
        <v>273.93814701256343</v>
      </c>
      <c r="K483" s="115">
        <f t="shared" si="137"/>
        <v>96.745971944908831</v>
      </c>
      <c r="L483" s="115">
        <f t="shared" si="138"/>
        <v>241.28595272642971</v>
      </c>
      <c r="M483" s="115">
        <f t="shared" si="139"/>
        <v>284.80616621792655</v>
      </c>
      <c r="N483" s="115">
        <f t="shared" si="140"/>
        <v>309.96068690542239</v>
      </c>
      <c r="O483" s="115">
        <f t="shared" si="141"/>
        <v>259.45162257936715</v>
      </c>
      <c r="P483" s="115">
        <f t="shared" si="142"/>
        <v>289.6905059046714</v>
      </c>
      <c r="Q483" s="115">
        <f t="shared" si="143"/>
        <v>34.456457049537619</v>
      </c>
    </row>
    <row r="484" spans="1:17" x14ac:dyDescent="0.25">
      <c r="A484" s="114">
        <f t="shared" si="134"/>
        <v>44579</v>
      </c>
      <c r="B484">
        <f t="shared" si="127"/>
        <v>5.5</v>
      </c>
      <c r="C484" s="109">
        <f t="shared" si="128"/>
        <v>19.066666666666666</v>
      </c>
      <c r="D484" s="109">
        <f t="shared" si="129"/>
        <v>72.86666666666666</v>
      </c>
      <c r="E484" s="107">
        <f t="shared" si="130"/>
        <v>44579.246527777781</v>
      </c>
      <c r="F484" s="106">
        <f t="shared" si="133"/>
        <v>44579.30191062732</v>
      </c>
      <c r="G484" t="str">
        <f t="shared" si="131"/>
        <v>Tuesday</v>
      </c>
      <c r="H484" s="129">
        <v>0.47569444444444198</v>
      </c>
      <c r="I484" s="115">
        <f t="shared" si="135"/>
        <v>347.64890543700142</v>
      </c>
      <c r="J484" s="115">
        <f t="shared" si="136"/>
        <v>273.94168088461618</v>
      </c>
      <c r="K484" s="115">
        <f t="shared" si="137"/>
        <v>96.788410814292163</v>
      </c>
      <c r="L484" s="115">
        <f t="shared" si="138"/>
        <v>241.28845737777883</v>
      </c>
      <c r="M484" s="115">
        <f t="shared" si="139"/>
        <v>284.80365556701565</v>
      </c>
      <c r="N484" s="115">
        <f t="shared" si="140"/>
        <v>309.96144348878994</v>
      </c>
      <c r="O484" s="115">
        <f t="shared" si="141"/>
        <v>259.45008189818645</v>
      </c>
      <c r="P484" s="115">
        <f t="shared" si="142"/>
        <v>289.69091165531245</v>
      </c>
      <c r="Q484" s="115">
        <f t="shared" si="143"/>
        <v>34.456273049568289</v>
      </c>
    </row>
    <row r="485" spans="1:17" x14ac:dyDescent="0.25">
      <c r="A485" s="114">
        <f t="shared" si="134"/>
        <v>44579</v>
      </c>
      <c r="B485">
        <f t="shared" si="127"/>
        <v>5.5</v>
      </c>
      <c r="C485" s="109">
        <f t="shared" si="128"/>
        <v>19.066666666666666</v>
      </c>
      <c r="D485" s="109">
        <f t="shared" si="129"/>
        <v>72.86666666666666</v>
      </c>
      <c r="E485" s="107">
        <f t="shared" si="130"/>
        <v>44579.25</v>
      </c>
      <c r="F485" s="106">
        <f t="shared" si="133"/>
        <v>44579.30191062732</v>
      </c>
      <c r="G485" t="str">
        <f t="shared" si="131"/>
        <v>Tuesday</v>
      </c>
      <c r="H485" s="129">
        <v>0.47916666666666402</v>
      </c>
      <c r="I485" s="115">
        <f t="shared" si="135"/>
        <v>349.23809755276045</v>
      </c>
      <c r="J485" s="115">
        <f t="shared" si="136"/>
        <v>273.94521475454883</v>
      </c>
      <c r="K485" s="115">
        <f t="shared" si="137"/>
        <v>96.830851662210421</v>
      </c>
      <c r="L485" s="115">
        <f t="shared" si="138"/>
        <v>241.29096203658582</v>
      </c>
      <c r="M485" s="115">
        <f t="shared" si="139"/>
        <v>284.80114275730404</v>
      </c>
      <c r="N485" s="115">
        <f t="shared" si="140"/>
        <v>309.96220008559334</v>
      </c>
      <c r="O485" s="115">
        <f t="shared" si="141"/>
        <v>259.44854162104372</v>
      </c>
      <c r="P485" s="115">
        <f t="shared" si="142"/>
        <v>289.69131741023944</v>
      </c>
      <c r="Q485" s="115">
        <f t="shared" si="143"/>
        <v>34.456089049615443</v>
      </c>
    </row>
    <row r="486" spans="1:17" x14ac:dyDescent="0.25">
      <c r="A486" s="114">
        <f t="shared" si="134"/>
        <v>44579</v>
      </c>
      <c r="B486">
        <f t="shared" si="127"/>
        <v>5.5</v>
      </c>
      <c r="C486" s="109">
        <f t="shared" si="128"/>
        <v>19.066666666666666</v>
      </c>
      <c r="D486" s="109">
        <f t="shared" si="129"/>
        <v>72.86666666666666</v>
      </c>
      <c r="E486" s="107">
        <f t="shared" si="130"/>
        <v>44579.253472222226</v>
      </c>
      <c r="F486" s="106">
        <f t="shared" si="133"/>
        <v>44579.30191062732</v>
      </c>
      <c r="G486" t="str">
        <f t="shared" si="131"/>
        <v>Tuesday</v>
      </c>
      <c r="H486" s="129">
        <v>0.48263888888888601</v>
      </c>
      <c r="I486" s="115">
        <f t="shared" si="135"/>
        <v>350.82263640114024</v>
      </c>
      <c r="J486" s="115">
        <f t="shared" si="136"/>
        <v>273.9487486224736</v>
      </c>
      <c r="K486" s="115">
        <f t="shared" si="137"/>
        <v>96.873294494863089</v>
      </c>
      <c r="L486" s="115">
        <f t="shared" si="138"/>
        <v>241.29346670257468</v>
      </c>
      <c r="M486" s="115">
        <f t="shared" si="139"/>
        <v>284.79862778917527</v>
      </c>
      <c r="N486" s="115">
        <f t="shared" si="140"/>
        <v>309.96295669479412</v>
      </c>
      <c r="O486" s="115">
        <f t="shared" si="141"/>
        <v>259.44700174778944</v>
      </c>
      <c r="P486" s="115">
        <f t="shared" si="142"/>
        <v>289.69172316863347</v>
      </c>
      <c r="Q486" s="115">
        <f t="shared" si="143"/>
        <v>34.455905049679203</v>
      </c>
    </row>
    <row r="487" spans="1:17" x14ac:dyDescent="0.25">
      <c r="A487" s="114">
        <f t="shared" si="134"/>
        <v>44579</v>
      </c>
      <c r="B487">
        <f t="shared" si="127"/>
        <v>5.5</v>
      </c>
      <c r="C487" s="109">
        <f t="shared" si="128"/>
        <v>19.066666666666666</v>
      </c>
      <c r="D487" s="109">
        <f t="shared" si="129"/>
        <v>72.86666666666666</v>
      </c>
      <c r="E487" s="107">
        <f t="shared" si="130"/>
        <v>44579.256944444445</v>
      </c>
      <c r="F487" s="106">
        <f t="shared" si="133"/>
        <v>44579.30191062732</v>
      </c>
      <c r="G487" t="str">
        <f t="shared" si="131"/>
        <v>Tuesday</v>
      </c>
      <c r="H487" s="129">
        <v>0.486111111111108</v>
      </c>
      <c r="I487" s="115">
        <f t="shared" si="135"/>
        <v>352.40202876612187</v>
      </c>
      <c r="J487" s="115">
        <f t="shared" si="136"/>
        <v>273.95228248923127</v>
      </c>
      <c r="K487" s="115">
        <f t="shared" si="137"/>
        <v>96.915739318481812</v>
      </c>
      <c r="L487" s="115">
        <f t="shared" si="138"/>
        <v>241.29597137684243</v>
      </c>
      <c r="M487" s="115">
        <f t="shared" si="139"/>
        <v>284.79611066280501</v>
      </c>
      <c r="N487" s="115">
        <f t="shared" si="140"/>
        <v>309.96371331708451</v>
      </c>
      <c r="O487" s="115">
        <f t="shared" si="141"/>
        <v>259.44546227819995</v>
      </c>
      <c r="P487" s="115">
        <f t="shared" si="142"/>
        <v>289.6921289319593</v>
      </c>
      <c r="Q487" s="115">
        <f t="shared" si="143"/>
        <v>34.455721049709823</v>
      </c>
    </row>
    <row r="488" spans="1:17" x14ac:dyDescent="0.25">
      <c r="A488" s="114">
        <f t="shared" si="134"/>
        <v>44579</v>
      </c>
      <c r="B488">
        <f t="shared" si="127"/>
        <v>5.5</v>
      </c>
      <c r="C488" s="109">
        <f t="shared" si="128"/>
        <v>19.066666666666666</v>
      </c>
      <c r="D488" s="109">
        <f t="shared" si="129"/>
        <v>72.86666666666666</v>
      </c>
      <c r="E488" s="107">
        <f t="shared" si="130"/>
        <v>44579.260416666672</v>
      </c>
      <c r="F488" s="106">
        <f t="shared" si="133"/>
        <v>44579.30191062732</v>
      </c>
      <c r="G488" t="str">
        <f t="shared" si="131"/>
        <v>Tuesday</v>
      </c>
      <c r="H488" s="129">
        <v>0.48958333333332998</v>
      </c>
      <c r="I488" s="115">
        <f t="shared" si="135"/>
        <v>353.9758005451589</v>
      </c>
      <c r="J488" s="115">
        <f t="shared" si="136"/>
        <v>273.95581635374566</v>
      </c>
      <c r="K488" s="115">
        <f t="shared" si="137"/>
        <v>96.958186122156604</v>
      </c>
      <c r="L488" s="115">
        <f t="shared" si="138"/>
        <v>241.29847605827888</v>
      </c>
      <c r="M488" s="115">
        <f t="shared" si="139"/>
        <v>284.79359137964633</v>
      </c>
      <c r="N488" s="115">
        <f t="shared" si="140"/>
        <v>309.96446995244349</v>
      </c>
      <c r="O488" s="115">
        <f t="shared" si="141"/>
        <v>259.44392321306123</v>
      </c>
      <c r="P488" s="115">
        <f t="shared" si="142"/>
        <v>289.69253469851776</v>
      </c>
      <c r="Q488" s="115">
        <f t="shared" si="143"/>
        <v>34.455537049740492</v>
      </c>
    </row>
    <row r="489" spans="1:17" x14ac:dyDescent="0.25">
      <c r="A489" s="114">
        <f t="shared" si="134"/>
        <v>44579</v>
      </c>
      <c r="B489">
        <f t="shared" si="127"/>
        <v>5.5</v>
      </c>
      <c r="C489" s="109">
        <f t="shared" si="128"/>
        <v>19.066666666666666</v>
      </c>
      <c r="D489" s="109">
        <f t="shared" si="129"/>
        <v>72.86666666666666</v>
      </c>
      <c r="E489" s="107">
        <f t="shared" si="130"/>
        <v>44579.263888888891</v>
      </c>
      <c r="F489" s="106">
        <f t="shared" si="133"/>
        <v>44579.30191062732</v>
      </c>
      <c r="G489" t="str">
        <f t="shared" si="131"/>
        <v>Tuesday</v>
      </c>
      <c r="H489" s="129">
        <v>0.49305555555555203</v>
      </c>
      <c r="I489" s="115">
        <f t="shared" si="135"/>
        <v>355.54349968848607</v>
      </c>
      <c r="J489" s="115">
        <f t="shared" si="136"/>
        <v>273.95935021697352</v>
      </c>
      <c r="K489" s="115">
        <f t="shared" si="137"/>
        <v>97.000634917810913</v>
      </c>
      <c r="L489" s="115">
        <f t="shared" si="138"/>
        <v>241.30098074766144</v>
      </c>
      <c r="M489" s="115">
        <f t="shared" si="139"/>
        <v>284.79106993973056</v>
      </c>
      <c r="N489" s="115">
        <f t="shared" si="140"/>
        <v>309.96522660055882</v>
      </c>
      <c r="O489" s="115">
        <f t="shared" si="141"/>
        <v>259.44238455175258</v>
      </c>
      <c r="P489" s="115">
        <f t="shared" si="142"/>
        <v>289.69294047026159</v>
      </c>
      <c r="Q489" s="115">
        <f t="shared" si="143"/>
        <v>34.455353049754606</v>
      </c>
    </row>
    <row r="490" spans="1:17" x14ac:dyDescent="0.25">
      <c r="A490" s="114">
        <f t="shared" si="134"/>
        <v>44579</v>
      </c>
      <c r="B490">
        <f t="shared" si="127"/>
        <v>5.5</v>
      </c>
      <c r="C490" s="109">
        <f t="shared" si="128"/>
        <v>19.066666666666666</v>
      </c>
      <c r="D490" s="109">
        <f t="shared" si="129"/>
        <v>72.86666666666666</v>
      </c>
      <c r="E490" s="107">
        <f t="shared" si="130"/>
        <v>44579.267361111117</v>
      </c>
      <c r="F490" s="106">
        <f t="shared" si="133"/>
        <v>44579.30191062732</v>
      </c>
      <c r="G490" t="str">
        <f t="shared" si="131"/>
        <v>Tuesday</v>
      </c>
      <c r="H490" s="129">
        <v>0.49652777777777402</v>
      </c>
      <c r="I490" s="115">
        <f t="shared" si="135"/>
        <v>357.10469578891178</v>
      </c>
      <c r="J490" s="115">
        <f t="shared" si="136"/>
        <v>273.96288407797329</v>
      </c>
      <c r="K490" s="115">
        <f t="shared" si="137"/>
        <v>97.043085694597437</v>
      </c>
      <c r="L490" s="115">
        <f t="shared" si="138"/>
        <v>241.30348544432152</v>
      </c>
      <c r="M490" s="115">
        <f t="shared" si="139"/>
        <v>284.78854634424772</v>
      </c>
      <c r="N490" s="115">
        <f t="shared" si="140"/>
        <v>309.9659832615659</v>
      </c>
      <c r="O490" s="115">
        <f t="shared" si="141"/>
        <v>259.44084629509769</v>
      </c>
      <c r="P490" s="115">
        <f t="shared" si="142"/>
        <v>289.6933462447613</v>
      </c>
      <c r="Q490" s="115">
        <f t="shared" si="143"/>
        <v>34.455169049818323</v>
      </c>
    </row>
    <row r="491" spans="1:17" x14ac:dyDescent="0.25">
      <c r="A491" s="114">
        <f t="shared" si="134"/>
        <v>44579</v>
      </c>
      <c r="B491">
        <f t="shared" si="127"/>
        <v>5.5</v>
      </c>
      <c r="C491" s="109">
        <f t="shared" si="128"/>
        <v>19.066666666666666</v>
      </c>
      <c r="D491" s="109">
        <f t="shared" si="129"/>
        <v>72.86666666666666</v>
      </c>
      <c r="E491" s="107">
        <f t="shared" si="130"/>
        <v>44579.270833333336</v>
      </c>
      <c r="F491" s="106">
        <f t="shared" si="133"/>
        <v>44579.30191062732</v>
      </c>
      <c r="G491" t="str">
        <f t="shared" si="131"/>
        <v>Tuesday</v>
      </c>
      <c r="H491" s="129">
        <v>0.499999999999996</v>
      </c>
      <c r="I491" s="115">
        <f t="shared" si="135"/>
        <v>358.65898287461181</v>
      </c>
      <c r="J491" s="115">
        <f t="shared" si="136"/>
        <v>273.96641793772574</v>
      </c>
      <c r="K491" s="115">
        <f t="shared" si="137"/>
        <v>97.085538464366948</v>
      </c>
      <c r="L491" s="115">
        <f t="shared" si="138"/>
        <v>241.30599014913892</v>
      </c>
      <c r="M491" s="115">
        <f t="shared" si="139"/>
        <v>284.78602059330456</v>
      </c>
      <c r="N491" s="115">
        <f t="shared" si="140"/>
        <v>309.96673993563337</v>
      </c>
      <c r="O491" s="115">
        <f t="shared" si="141"/>
        <v>259.43930844241947</v>
      </c>
      <c r="P491" s="115">
        <f t="shared" si="142"/>
        <v>289.69375202419496</v>
      </c>
      <c r="Q491" s="115">
        <f t="shared" si="143"/>
        <v>34.454985049832366</v>
      </c>
    </row>
    <row r="492" spans="1:17" x14ac:dyDescent="0.25">
      <c r="A492" s="114">
        <f t="shared" si="134"/>
        <v>44579</v>
      </c>
      <c r="B492">
        <f t="shared" si="127"/>
        <v>5.5</v>
      </c>
      <c r="C492" s="109">
        <f t="shared" si="128"/>
        <v>19.066666666666666</v>
      </c>
      <c r="D492" s="109">
        <f t="shared" si="129"/>
        <v>72.86666666666666</v>
      </c>
      <c r="E492" s="107">
        <f t="shared" si="130"/>
        <v>44579.274305555555</v>
      </c>
      <c r="F492" s="106">
        <f t="shared" si="133"/>
        <v>44579.30191062732</v>
      </c>
      <c r="G492" t="str">
        <f t="shared" si="131"/>
        <v>Tuesday</v>
      </c>
      <c r="H492" s="129">
        <v>0.50347222222221799</v>
      </c>
      <c r="I492" s="115">
        <f t="shared" si="135"/>
        <v>0.20597866140660059</v>
      </c>
      <c r="J492" s="115">
        <f t="shared" si="136"/>
        <v>273.96995179512459</v>
      </c>
      <c r="K492" s="115">
        <f t="shared" si="137"/>
        <v>97.127993216307019</v>
      </c>
      <c r="L492" s="115">
        <f t="shared" si="138"/>
        <v>241.30849486091182</v>
      </c>
      <c r="M492" s="115">
        <f t="shared" si="139"/>
        <v>284.78349268831624</v>
      </c>
      <c r="N492" s="115">
        <f t="shared" si="140"/>
        <v>309.96749662263329</v>
      </c>
      <c r="O492" s="115">
        <f t="shared" si="141"/>
        <v>259.43777099463205</v>
      </c>
      <c r="P492" s="115">
        <f t="shared" si="142"/>
        <v>289.69415780767872</v>
      </c>
      <c r="Q492" s="115">
        <f t="shared" si="143"/>
        <v>34.454801049879585</v>
      </c>
    </row>
    <row r="493" spans="1:17" x14ac:dyDescent="0.25">
      <c r="A493" s="114">
        <f t="shared" si="134"/>
        <v>44579</v>
      </c>
      <c r="B493">
        <f t="shared" si="127"/>
        <v>5.5</v>
      </c>
      <c r="C493" s="109">
        <f t="shared" si="128"/>
        <v>19.066666666666666</v>
      </c>
      <c r="D493" s="109">
        <f t="shared" si="129"/>
        <v>72.86666666666666</v>
      </c>
      <c r="E493" s="107">
        <f t="shared" si="130"/>
        <v>44579.277777777781</v>
      </c>
      <c r="F493" s="106">
        <f t="shared" si="133"/>
        <v>44579.30191062732</v>
      </c>
      <c r="G493" t="str">
        <f t="shared" si="131"/>
        <v>Tuesday</v>
      </c>
      <c r="H493" s="129">
        <v>0.50694444444443998</v>
      </c>
      <c r="I493" s="115">
        <f t="shared" si="135"/>
        <v>1.7453269690962507</v>
      </c>
      <c r="J493" s="115">
        <f t="shared" si="136"/>
        <v>273.97348565130642</v>
      </c>
      <c r="K493" s="115">
        <f t="shared" si="137"/>
        <v>97.170449962300765</v>
      </c>
      <c r="L493" s="115">
        <f t="shared" si="138"/>
        <v>241.31099958082456</v>
      </c>
      <c r="M493" s="115">
        <f t="shared" si="139"/>
        <v>284.7809626292252</v>
      </c>
      <c r="N493" s="115">
        <f t="shared" si="140"/>
        <v>309.96825332236915</v>
      </c>
      <c r="O493" s="115">
        <f t="shared" si="141"/>
        <v>259.43623395114128</v>
      </c>
      <c r="P493" s="115">
        <f t="shared" si="142"/>
        <v>289.69456359503033</v>
      </c>
      <c r="Q493" s="115">
        <f t="shared" si="143"/>
        <v>34.454617049926796</v>
      </c>
    </row>
    <row r="494" spans="1:17" x14ac:dyDescent="0.25">
      <c r="A494" s="114">
        <f t="shared" si="134"/>
        <v>44579</v>
      </c>
      <c r="B494">
        <f t="shared" si="127"/>
        <v>5.5</v>
      </c>
      <c r="C494" s="109">
        <f t="shared" si="128"/>
        <v>19.066666666666666</v>
      </c>
      <c r="D494" s="109">
        <f t="shared" si="129"/>
        <v>72.86666666666666</v>
      </c>
      <c r="E494" s="107">
        <f t="shared" si="130"/>
        <v>44579.28125</v>
      </c>
      <c r="F494" s="106">
        <f t="shared" si="133"/>
        <v>44579.30191062732</v>
      </c>
      <c r="G494" t="str">
        <f t="shared" si="131"/>
        <v>Tuesday</v>
      </c>
      <c r="H494" s="129">
        <v>0.51041666666666197</v>
      </c>
      <c r="I494" s="115">
        <f t="shared" si="135"/>
        <v>3.2766966404619637</v>
      </c>
      <c r="J494" s="115">
        <f t="shared" si="136"/>
        <v>273.97701950524151</v>
      </c>
      <c r="K494" s="115">
        <f t="shared" si="137"/>
        <v>97.212908691410149</v>
      </c>
      <c r="L494" s="115">
        <f t="shared" si="138"/>
        <v>241.31350430797312</v>
      </c>
      <c r="M494" s="115">
        <f t="shared" si="139"/>
        <v>284.77843041734513</v>
      </c>
      <c r="N494" s="115">
        <f t="shared" si="140"/>
        <v>309.96901003507884</v>
      </c>
      <c r="O494" s="115">
        <f t="shared" si="141"/>
        <v>259.43469731252117</v>
      </c>
      <c r="P494" s="115">
        <f t="shared" si="142"/>
        <v>289.694969386526</v>
      </c>
      <c r="Q494" s="115">
        <f t="shared" si="143"/>
        <v>34.454433049940903</v>
      </c>
    </row>
    <row r="495" spans="1:17" x14ac:dyDescent="0.25">
      <c r="A495" s="114">
        <f t="shared" si="134"/>
        <v>44579</v>
      </c>
      <c r="B495">
        <f t="shared" si="127"/>
        <v>5.5</v>
      </c>
      <c r="C495" s="109">
        <f t="shared" si="128"/>
        <v>19.066666666666666</v>
      </c>
      <c r="D495" s="109">
        <f t="shared" si="129"/>
        <v>72.86666666666666</v>
      </c>
      <c r="E495" s="107">
        <f t="shared" si="130"/>
        <v>44579.284722222226</v>
      </c>
      <c r="F495" s="106">
        <f t="shared" si="133"/>
        <v>44579.30191062732</v>
      </c>
      <c r="G495" t="str">
        <f t="shared" si="131"/>
        <v>Tuesday</v>
      </c>
      <c r="H495" s="129">
        <v>0.51388888888888395</v>
      </c>
      <c r="I495" s="115">
        <f t="shared" si="135"/>
        <v>4.7997833869749371</v>
      </c>
      <c r="J495" s="115">
        <f t="shared" si="136"/>
        <v>273.98055335741202</v>
      </c>
      <c r="K495" s="115">
        <f t="shared" si="137"/>
        <v>97.255369409917961</v>
      </c>
      <c r="L495" s="115">
        <f t="shared" si="138"/>
        <v>241.31600904272224</v>
      </c>
      <c r="M495" s="115">
        <f t="shared" si="139"/>
        <v>284.77589605302097</v>
      </c>
      <c r="N495" s="115">
        <f t="shared" si="140"/>
        <v>309.96976676066276</v>
      </c>
      <c r="O495" s="115">
        <f t="shared" si="141"/>
        <v>259.43316107860045</v>
      </c>
      <c r="P495" s="115">
        <f t="shared" si="142"/>
        <v>289.69537518195961</v>
      </c>
      <c r="Q495" s="115">
        <f t="shared" si="143"/>
        <v>34.454249049971509</v>
      </c>
    </row>
    <row r="496" spans="1:17" x14ac:dyDescent="0.25">
      <c r="A496" s="114">
        <f t="shared" si="134"/>
        <v>44579</v>
      </c>
      <c r="B496">
        <f t="shared" si="127"/>
        <v>5.5</v>
      </c>
      <c r="C496" s="109">
        <f t="shared" si="128"/>
        <v>19.066666666666666</v>
      </c>
      <c r="D496" s="109">
        <f t="shared" si="129"/>
        <v>72.86666666666666</v>
      </c>
      <c r="E496" s="107">
        <f t="shared" si="130"/>
        <v>44579.288194444445</v>
      </c>
      <c r="F496" s="106">
        <f t="shared" si="133"/>
        <v>44579.30191062732</v>
      </c>
      <c r="G496" t="str">
        <f t="shared" si="131"/>
        <v>Tuesday</v>
      </c>
      <c r="H496" s="129">
        <v>0.51736111111110605</v>
      </c>
      <c r="I496" s="115">
        <f t="shared" si="135"/>
        <v>6.3143094054758357</v>
      </c>
      <c r="J496" s="115">
        <f t="shared" si="136"/>
        <v>273.98408720841655</v>
      </c>
      <c r="K496" s="115">
        <f t="shared" si="137"/>
        <v>97.297832124031615</v>
      </c>
      <c r="L496" s="115">
        <f t="shared" si="138"/>
        <v>241.31851378560521</v>
      </c>
      <c r="M496" s="115">
        <f t="shared" si="139"/>
        <v>284.77335953668887</v>
      </c>
      <c r="N496" s="115">
        <f t="shared" si="140"/>
        <v>309.97052349942896</v>
      </c>
      <c r="O496" s="115">
        <f t="shared" si="141"/>
        <v>259.43162524946104</v>
      </c>
      <c r="P496" s="115">
        <f t="shared" si="142"/>
        <v>289.69578098251139</v>
      </c>
      <c r="Q496" s="115">
        <f t="shared" si="143"/>
        <v>34.454065050018727</v>
      </c>
    </row>
    <row r="497" spans="1:17" x14ac:dyDescent="0.25">
      <c r="A497" s="114">
        <f t="shared" si="134"/>
        <v>44579</v>
      </c>
      <c r="B497">
        <f t="shared" si="127"/>
        <v>5.5</v>
      </c>
      <c r="C497" s="109">
        <f t="shared" si="128"/>
        <v>19.066666666666666</v>
      </c>
      <c r="D497" s="109">
        <f t="shared" si="129"/>
        <v>72.86666666666666</v>
      </c>
      <c r="E497" s="107">
        <f t="shared" si="130"/>
        <v>44579.291666666672</v>
      </c>
      <c r="F497" s="106">
        <f t="shared" si="133"/>
        <v>44579.30191062732</v>
      </c>
      <c r="G497" t="str">
        <f t="shared" si="131"/>
        <v>Tuesday</v>
      </c>
      <c r="H497" s="129">
        <v>0.52083333333332804</v>
      </c>
      <c r="I497" s="115">
        <f t="shared" si="135"/>
        <v>7.8200228470867437</v>
      </c>
      <c r="J497" s="115">
        <f t="shared" si="136"/>
        <v>273.98762105700501</v>
      </c>
      <c r="K497" s="115">
        <f t="shared" si="137"/>
        <v>97.340296822822339</v>
      </c>
      <c r="L497" s="115">
        <f t="shared" si="138"/>
        <v>241.32101853559215</v>
      </c>
      <c r="M497" s="115">
        <f t="shared" si="139"/>
        <v>284.77082086955858</v>
      </c>
      <c r="N497" s="115">
        <f t="shared" si="140"/>
        <v>309.97128025044367</v>
      </c>
      <c r="O497" s="115">
        <f t="shared" si="141"/>
        <v>259.43008982540624</v>
      </c>
      <c r="P497" s="115">
        <f t="shared" si="142"/>
        <v>289.69618678589438</v>
      </c>
      <c r="Q497" s="115">
        <f t="shared" si="143"/>
        <v>34.453881050065938</v>
      </c>
    </row>
    <row r="498" spans="1:17" x14ac:dyDescent="0.25">
      <c r="A498" s="114">
        <f t="shared" si="134"/>
        <v>44579</v>
      </c>
      <c r="B498">
        <f t="shared" si="127"/>
        <v>5.5</v>
      </c>
      <c r="C498" s="109">
        <f t="shared" si="128"/>
        <v>19.066666666666666</v>
      </c>
      <c r="D498" s="109">
        <f t="shared" si="129"/>
        <v>72.86666666666666</v>
      </c>
      <c r="E498" s="107">
        <f t="shared" si="130"/>
        <v>44579.295138888891</v>
      </c>
      <c r="F498" s="106">
        <f t="shared" si="133"/>
        <v>44579.30191062732</v>
      </c>
      <c r="G498" t="str">
        <f t="shared" si="131"/>
        <v>Tuesday</v>
      </c>
      <c r="H498" s="129">
        <v>0.52430555555555003</v>
      </c>
      <c r="I498" s="115">
        <f t="shared" si="135"/>
        <v>9.3166991685340967</v>
      </c>
      <c r="J498" s="115">
        <f t="shared" si="136"/>
        <v>273.99115490430631</v>
      </c>
      <c r="K498" s="115">
        <f t="shared" si="137"/>
        <v>97.382763518192164</v>
      </c>
      <c r="L498" s="115">
        <f t="shared" si="138"/>
        <v>241.32352329327992</v>
      </c>
      <c r="M498" s="115">
        <f t="shared" si="139"/>
        <v>284.76828005184018</v>
      </c>
      <c r="N498" s="115">
        <f t="shared" si="140"/>
        <v>309.9720370150161</v>
      </c>
      <c r="O498" s="115">
        <f t="shared" si="141"/>
        <v>259.42855480630419</v>
      </c>
      <c r="P498" s="115">
        <f t="shared" si="142"/>
        <v>289.69659259419024</v>
      </c>
      <c r="Q498" s="115">
        <f t="shared" si="143"/>
        <v>34.453697050079981</v>
      </c>
    </row>
    <row r="499" spans="1:17" x14ac:dyDescent="0.25">
      <c r="A499" s="114">
        <f t="shared" si="134"/>
        <v>44579</v>
      </c>
      <c r="B499">
        <f t="shared" si="127"/>
        <v>5.5</v>
      </c>
      <c r="C499" s="109">
        <f t="shared" si="128"/>
        <v>19.066666666666666</v>
      </c>
      <c r="D499" s="109">
        <f t="shared" si="129"/>
        <v>72.86666666666666</v>
      </c>
      <c r="E499" s="107">
        <f t="shared" si="130"/>
        <v>44579.298611111117</v>
      </c>
      <c r="F499" s="106">
        <f t="shared" si="133"/>
        <v>44579.30191062732</v>
      </c>
      <c r="G499" t="str">
        <f t="shared" si="131"/>
        <v>Tuesday</v>
      </c>
      <c r="H499" s="129">
        <v>0.52777777777777202</v>
      </c>
      <c r="I499" s="115">
        <f t="shared" si="135"/>
        <v>10.804139300220342</v>
      </c>
      <c r="J499" s="115">
        <f t="shared" si="136"/>
        <v>273.99468874943801</v>
      </c>
      <c r="K499" s="115">
        <f t="shared" si="137"/>
        <v>97.425232199285489</v>
      </c>
      <c r="L499" s="115">
        <f t="shared" si="138"/>
        <v>241.32602805856911</v>
      </c>
      <c r="M499" s="115">
        <f t="shared" si="139"/>
        <v>284.76573708478747</v>
      </c>
      <c r="N499" s="115">
        <f t="shared" si="140"/>
        <v>309.97279379218696</v>
      </c>
      <c r="O499" s="115">
        <f t="shared" si="141"/>
        <v>259.42702019255137</v>
      </c>
      <c r="P499" s="115">
        <f t="shared" si="142"/>
        <v>289.69699840648633</v>
      </c>
      <c r="Q499" s="115">
        <f t="shared" si="143"/>
        <v>34.453513050127206</v>
      </c>
    </row>
    <row r="500" spans="1:17" x14ac:dyDescent="0.25">
      <c r="A500" s="114">
        <f t="shared" si="134"/>
        <v>44579</v>
      </c>
      <c r="B500">
        <f t="shared" si="127"/>
        <v>5.5</v>
      </c>
      <c r="C500" s="109">
        <f t="shared" si="128"/>
        <v>19.066666666666666</v>
      </c>
      <c r="D500" s="109">
        <f t="shared" si="129"/>
        <v>72.86666666666666</v>
      </c>
      <c r="E500" s="107">
        <f t="shared" si="130"/>
        <v>44579.302083333336</v>
      </c>
      <c r="F500" s="106">
        <f t="shared" si="133"/>
        <v>44579.30191062732</v>
      </c>
      <c r="G500" t="str">
        <f t="shared" si="131"/>
        <v>Tuesday</v>
      </c>
      <c r="H500" s="129">
        <v>0.531249999999994</v>
      </c>
      <c r="I500" s="115">
        <f t="shared" si="135"/>
        <v>12.282170914482805</v>
      </c>
      <c r="J500" s="115">
        <f t="shared" si="136"/>
        <v>273.99822259326328</v>
      </c>
      <c r="K500" s="115">
        <f t="shared" si="137"/>
        <v>97.467702877977473</v>
      </c>
      <c r="L500" s="115">
        <f t="shared" si="138"/>
        <v>241.32853283179261</v>
      </c>
      <c r="M500" s="115">
        <f t="shared" si="139"/>
        <v>284.7631919682396</v>
      </c>
      <c r="N500" s="115">
        <f t="shared" si="140"/>
        <v>309.97355058229778</v>
      </c>
      <c r="O500" s="115">
        <f t="shared" si="141"/>
        <v>259.42548598385008</v>
      </c>
      <c r="P500" s="115">
        <f t="shared" si="142"/>
        <v>289.69740422239585</v>
      </c>
      <c r="Q500" s="115">
        <f t="shared" si="143"/>
        <v>34.453329050157798</v>
      </c>
    </row>
    <row r="501" spans="1:17" x14ac:dyDescent="0.25">
      <c r="A501" s="114">
        <f t="shared" si="134"/>
        <v>44579</v>
      </c>
      <c r="B501">
        <f t="shared" si="127"/>
        <v>5.5</v>
      </c>
      <c r="C501" s="109">
        <f t="shared" si="128"/>
        <v>19.066666666666666</v>
      </c>
      <c r="D501" s="109">
        <f t="shared" si="129"/>
        <v>72.86666666666666</v>
      </c>
      <c r="E501" s="107">
        <f t="shared" si="130"/>
        <v>44579.305555555555</v>
      </c>
      <c r="F501" s="106">
        <f t="shared" si="133"/>
        <v>44579.30191062732</v>
      </c>
      <c r="G501" t="str">
        <f t="shared" si="131"/>
        <v>Tuesday</v>
      </c>
      <c r="H501" s="129">
        <v>0.53472222222221599</v>
      </c>
      <c r="I501" s="115">
        <f t="shared" si="135"/>
        <v>13.750646368861695</v>
      </c>
      <c r="J501" s="115">
        <f t="shared" si="136"/>
        <v>274.00175643486841</v>
      </c>
      <c r="K501" s="115">
        <f t="shared" si="137"/>
        <v>97.510175543403975</v>
      </c>
      <c r="L501" s="115">
        <f t="shared" si="138"/>
        <v>241.33103761227468</v>
      </c>
      <c r="M501" s="115">
        <f t="shared" si="139"/>
        <v>284.76064470382602</v>
      </c>
      <c r="N501" s="115">
        <f t="shared" si="140"/>
        <v>309.97430738518153</v>
      </c>
      <c r="O501" s="115">
        <f t="shared" si="141"/>
        <v>259.42395218073409</v>
      </c>
      <c r="P501" s="115">
        <f t="shared" si="142"/>
        <v>289.69781004300671</v>
      </c>
      <c r="Q501" s="115">
        <f t="shared" si="143"/>
        <v>34.453145050188468</v>
      </c>
    </row>
    <row r="502" spans="1:17" x14ac:dyDescent="0.25">
      <c r="A502" s="114">
        <f t="shared" si="134"/>
        <v>44579</v>
      </c>
      <c r="B502">
        <f t="shared" si="127"/>
        <v>5.5</v>
      </c>
      <c r="C502" s="109">
        <f t="shared" si="128"/>
        <v>19.066666666666666</v>
      </c>
      <c r="D502" s="109">
        <f t="shared" si="129"/>
        <v>72.86666666666666</v>
      </c>
      <c r="E502" s="107">
        <f t="shared" si="130"/>
        <v>44579.309027777781</v>
      </c>
      <c r="F502" s="106">
        <f t="shared" si="133"/>
        <v>44579.30191062732</v>
      </c>
      <c r="G502" t="str">
        <f t="shared" si="131"/>
        <v>Tuesday</v>
      </c>
      <c r="H502" s="129">
        <v>0.53819444444443798</v>
      </c>
      <c r="I502" s="115">
        <f t="shared" si="135"/>
        <v>15.209443724823604</v>
      </c>
      <c r="J502" s="115">
        <f t="shared" si="136"/>
        <v>274.00529027577659</v>
      </c>
      <c r="K502" s="115">
        <f t="shared" si="137"/>
        <v>97.55265021314338</v>
      </c>
      <c r="L502" s="115">
        <f t="shared" si="138"/>
        <v>241.3335424012019</v>
      </c>
      <c r="M502" s="115">
        <f t="shared" si="139"/>
        <v>284.75809529107738</v>
      </c>
      <c r="N502" s="115">
        <f t="shared" si="140"/>
        <v>309.97506420171112</v>
      </c>
      <c r="O502" s="115">
        <f t="shared" si="141"/>
        <v>259.4224187826984</v>
      </c>
      <c r="P502" s="115">
        <f t="shared" si="142"/>
        <v>289.69821586761788</v>
      </c>
      <c r="Q502" s="115">
        <f t="shared" si="143"/>
        <v>34.452961050202525</v>
      </c>
    </row>
    <row r="503" spans="1:17" x14ac:dyDescent="0.25">
      <c r="A503" s="114">
        <f t="shared" si="134"/>
        <v>44579</v>
      </c>
      <c r="B503">
        <f t="shared" si="127"/>
        <v>5.5</v>
      </c>
      <c r="C503" s="109">
        <f t="shared" si="128"/>
        <v>19.066666666666666</v>
      </c>
      <c r="D503" s="109">
        <f t="shared" si="129"/>
        <v>72.86666666666666</v>
      </c>
      <c r="E503" s="107">
        <f t="shared" si="130"/>
        <v>44579.3125</v>
      </c>
      <c r="F503" s="106">
        <f t="shared" si="133"/>
        <v>44579.30191062732</v>
      </c>
      <c r="G503" t="str">
        <f t="shared" si="131"/>
        <v>Tuesday</v>
      </c>
      <c r="H503" s="129">
        <v>0.54166666666665997</v>
      </c>
      <c r="I503" s="115">
        <f t="shared" si="135"/>
        <v>16.658464516520432</v>
      </c>
      <c r="J503" s="115">
        <f t="shared" si="136"/>
        <v>274.00882411380172</v>
      </c>
      <c r="K503" s="115">
        <f t="shared" si="137"/>
        <v>97.595126864912885</v>
      </c>
      <c r="L503" s="115">
        <f t="shared" si="138"/>
        <v>241.33604719676745</v>
      </c>
      <c r="M503" s="115">
        <f t="shared" si="139"/>
        <v>284.75554373211418</v>
      </c>
      <c r="N503" s="115">
        <f t="shared" si="140"/>
        <v>309.97582103012837</v>
      </c>
      <c r="O503" s="115">
        <f t="shared" si="141"/>
        <v>259.42088579062312</v>
      </c>
      <c r="P503" s="115">
        <f t="shared" si="142"/>
        <v>289.69862169622809</v>
      </c>
      <c r="Q503" s="115">
        <f t="shared" si="143"/>
        <v>34.452777050249729</v>
      </c>
    </row>
    <row r="504" spans="1:17" x14ac:dyDescent="0.25">
      <c r="A504" s="114">
        <f t="shared" si="134"/>
        <v>44579</v>
      </c>
      <c r="B504">
        <f t="shared" si="127"/>
        <v>5.5</v>
      </c>
      <c r="C504" s="109">
        <f t="shared" si="128"/>
        <v>19.066666666666666</v>
      </c>
      <c r="D504" s="109">
        <f t="shared" si="129"/>
        <v>72.86666666666666</v>
      </c>
      <c r="E504" s="107">
        <f t="shared" si="130"/>
        <v>44579.315972222226</v>
      </c>
      <c r="F504" s="106">
        <f t="shared" si="133"/>
        <v>44579.30191062732</v>
      </c>
      <c r="G504" t="str">
        <f t="shared" si="131"/>
        <v>Tuesday</v>
      </c>
      <c r="H504" s="129">
        <v>0.54513888888888196</v>
      </c>
      <c r="I504" s="115">
        <f t="shared" si="135"/>
        <v>18.09763437744029</v>
      </c>
      <c r="J504" s="115">
        <f t="shared" si="136"/>
        <v>274.01235795005164</v>
      </c>
      <c r="K504" s="115">
        <f t="shared" si="137"/>
        <v>97.637605510607756</v>
      </c>
      <c r="L504" s="115">
        <f t="shared" si="138"/>
        <v>241.33855199993923</v>
      </c>
      <c r="M504" s="115">
        <f t="shared" si="139"/>
        <v>284.75299002692964</v>
      </c>
      <c r="N504" s="115">
        <f t="shared" si="140"/>
        <v>309.97657787192577</v>
      </c>
      <c r="O504" s="115">
        <f t="shared" si="141"/>
        <v>259.41935320412477</v>
      </c>
      <c r="P504" s="115">
        <f t="shared" si="142"/>
        <v>289.69902752857121</v>
      </c>
      <c r="Q504" s="115">
        <f t="shared" si="143"/>
        <v>34.452593050296947</v>
      </c>
    </row>
    <row r="505" spans="1:17" x14ac:dyDescent="0.25">
      <c r="A505" s="114">
        <f t="shared" si="134"/>
        <v>44579</v>
      </c>
      <c r="B505">
        <f t="shared" si="127"/>
        <v>5.5</v>
      </c>
      <c r="C505" s="109">
        <f t="shared" si="128"/>
        <v>19.066666666666666</v>
      </c>
      <c r="D505" s="109">
        <f t="shared" si="129"/>
        <v>72.86666666666666</v>
      </c>
      <c r="E505" s="107">
        <f t="shared" si="130"/>
        <v>44579.319444444445</v>
      </c>
      <c r="F505" s="106">
        <f t="shared" si="133"/>
        <v>44579.30191062732</v>
      </c>
      <c r="G505" t="str">
        <f t="shared" si="131"/>
        <v>Tuesday</v>
      </c>
      <c r="H505" s="129">
        <v>0.54861111111110406</v>
      </c>
      <c r="I505" s="115">
        <f t="shared" si="135"/>
        <v>19.526901639624558</v>
      </c>
      <c r="J505" s="115">
        <f t="shared" si="136"/>
        <v>274.01589178508726</v>
      </c>
      <c r="K505" s="115">
        <f t="shared" si="137"/>
        <v>97.680086156413552</v>
      </c>
      <c r="L505" s="115">
        <f t="shared" si="138"/>
        <v>241.34105681124748</v>
      </c>
      <c r="M505" s="115">
        <f t="shared" si="139"/>
        <v>284.75043417586511</v>
      </c>
      <c r="N505" s="115">
        <f t="shared" si="140"/>
        <v>309.97733472672195</v>
      </c>
      <c r="O505" s="115">
        <f t="shared" si="141"/>
        <v>259.41782102322844</v>
      </c>
      <c r="P505" s="115">
        <f t="shared" si="142"/>
        <v>289.69943336516718</v>
      </c>
      <c r="Q505" s="115">
        <f t="shared" si="143"/>
        <v>34.452409050327553</v>
      </c>
    </row>
    <row r="506" spans="1:17" x14ac:dyDescent="0.25">
      <c r="A506" s="114">
        <f t="shared" si="134"/>
        <v>44579</v>
      </c>
      <c r="B506">
        <f t="shared" si="127"/>
        <v>5.5</v>
      </c>
      <c r="C506" s="109">
        <f t="shared" si="128"/>
        <v>19.066666666666666</v>
      </c>
      <c r="D506" s="109">
        <f t="shared" si="129"/>
        <v>72.86666666666666</v>
      </c>
      <c r="E506" s="107">
        <f t="shared" si="130"/>
        <v>44579.322916666672</v>
      </c>
      <c r="F506" s="106">
        <f t="shared" si="133"/>
        <v>44579.30191062732</v>
      </c>
      <c r="G506" t="str">
        <f t="shared" si="131"/>
        <v>Tuesday</v>
      </c>
      <c r="H506" s="129">
        <v>0.55208333333332604</v>
      </c>
      <c r="I506" s="115">
        <f t="shared" si="135"/>
        <v>20.946235889122512</v>
      </c>
      <c r="J506" s="115">
        <f t="shared" si="136"/>
        <v>274.01942561787951</v>
      </c>
      <c r="K506" s="115">
        <f t="shared" si="137"/>
        <v>97.722568791461697</v>
      </c>
      <c r="L506" s="115">
        <f t="shared" si="138"/>
        <v>241.34356162977991</v>
      </c>
      <c r="M506" s="115">
        <f t="shared" si="139"/>
        <v>284.7478761802534</v>
      </c>
      <c r="N506" s="115">
        <f t="shared" si="140"/>
        <v>309.97809159417602</v>
      </c>
      <c r="O506" s="115">
        <f t="shared" si="141"/>
        <v>259.41628924839836</v>
      </c>
      <c r="P506" s="115">
        <f t="shared" si="142"/>
        <v>289.69983920629647</v>
      </c>
      <c r="Q506" s="115">
        <f t="shared" si="143"/>
        <v>34.452225050374778</v>
      </c>
    </row>
    <row r="507" spans="1:17" x14ac:dyDescent="0.25">
      <c r="A507" s="114">
        <f t="shared" si="134"/>
        <v>44579</v>
      </c>
      <c r="B507">
        <f t="shared" si="127"/>
        <v>5.5</v>
      </c>
      <c r="C507" s="109">
        <f t="shared" si="128"/>
        <v>19.066666666666666</v>
      </c>
      <c r="D507" s="109">
        <f t="shared" si="129"/>
        <v>72.86666666666666</v>
      </c>
      <c r="E507" s="107">
        <f t="shared" si="130"/>
        <v>44579.326388888891</v>
      </c>
      <c r="F507" s="106">
        <f t="shared" si="133"/>
        <v>44579.30191062732</v>
      </c>
      <c r="G507" t="str">
        <f t="shared" si="131"/>
        <v>Tuesday</v>
      </c>
      <c r="H507" s="129">
        <v>0.55555555555554803</v>
      </c>
      <c r="I507" s="115">
        <f t="shared" si="135"/>
        <v>22.355628389149256</v>
      </c>
      <c r="J507" s="115">
        <f t="shared" si="136"/>
        <v>274.02295944938305</v>
      </c>
      <c r="K507" s="115">
        <f t="shared" si="137"/>
        <v>97.765053427658145</v>
      </c>
      <c r="L507" s="115">
        <f t="shared" si="138"/>
        <v>241.34606645621813</v>
      </c>
      <c r="M507" s="115">
        <f t="shared" si="139"/>
        <v>284.74531604009974</v>
      </c>
      <c r="N507" s="115">
        <f t="shared" si="140"/>
        <v>309.97884847458135</v>
      </c>
      <c r="O507" s="115">
        <f t="shared" si="141"/>
        <v>259.41475787930142</v>
      </c>
      <c r="P507" s="115">
        <f t="shared" si="142"/>
        <v>289.70024505136894</v>
      </c>
      <c r="Q507" s="115">
        <f t="shared" si="143"/>
        <v>34.452041050372259</v>
      </c>
    </row>
    <row r="508" spans="1:17" x14ac:dyDescent="0.25">
      <c r="A508" s="114">
        <f t="shared" si="134"/>
        <v>44579</v>
      </c>
      <c r="B508">
        <f t="shared" si="127"/>
        <v>5.5</v>
      </c>
      <c r="C508" s="109">
        <f t="shared" si="128"/>
        <v>19.066666666666666</v>
      </c>
      <c r="D508" s="109">
        <f t="shared" si="129"/>
        <v>72.86666666666666</v>
      </c>
      <c r="E508" s="107">
        <f t="shared" si="130"/>
        <v>44579.329861111117</v>
      </c>
      <c r="F508" s="106">
        <f t="shared" si="133"/>
        <v>44579.30191062732</v>
      </c>
      <c r="G508" t="str">
        <f t="shared" si="131"/>
        <v>Tuesday</v>
      </c>
      <c r="H508" s="129">
        <v>0.55902777777777002</v>
      </c>
      <c r="I508" s="115">
        <f t="shared" si="135"/>
        <v>23.755089599178763</v>
      </c>
      <c r="J508" s="115">
        <f t="shared" si="136"/>
        <v>274.02649327877867</v>
      </c>
      <c r="K508" s="115">
        <f t="shared" si="137"/>
        <v>97.807540054032273</v>
      </c>
      <c r="L508" s="115">
        <f t="shared" si="138"/>
        <v>241.34857129018636</v>
      </c>
      <c r="M508" s="115">
        <f t="shared" si="139"/>
        <v>284.74275375688757</v>
      </c>
      <c r="N508" s="115">
        <f t="shared" si="140"/>
        <v>309.97960536786542</v>
      </c>
      <c r="O508" s="115">
        <f t="shared" si="141"/>
        <v>259.41322691651368</v>
      </c>
      <c r="P508" s="115">
        <f t="shared" si="142"/>
        <v>289.70065089999451</v>
      </c>
      <c r="Q508" s="115">
        <f t="shared" si="143"/>
        <v>34.45185705041947</v>
      </c>
    </row>
    <row r="509" spans="1:17" x14ac:dyDescent="0.25">
      <c r="A509" s="114">
        <f t="shared" si="134"/>
        <v>44579</v>
      </c>
      <c r="B509">
        <f t="shared" si="127"/>
        <v>5.5</v>
      </c>
      <c r="C509" s="109">
        <f t="shared" si="128"/>
        <v>19.066666666666666</v>
      </c>
      <c r="D509" s="109">
        <f t="shared" si="129"/>
        <v>72.86666666666666</v>
      </c>
      <c r="E509" s="107">
        <f t="shared" si="130"/>
        <v>44579.333333333336</v>
      </c>
      <c r="F509" s="106">
        <f t="shared" si="133"/>
        <v>44579.30191062732</v>
      </c>
      <c r="G509" t="str">
        <f t="shared" si="131"/>
        <v>Tuesday</v>
      </c>
      <c r="H509" s="129">
        <v>0.56249999999999201</v>
      </c>
      <c r="I509" s="115">
        <f t="shared" si="135"/>
        <v>25.144649701573289</v>
      </c>
      <c r="J509" s="115">
        <f t="shared" si="136"/>
        <v>274.0300271067693</v>
      </c>
      <c r="K509" s="115">
        <f t="shared" si="137"/>
        <v>97.850028682527196</v>
      </c>
      <c r="L509" s="115">
        <f t="shared" si="138"/>
        <v>241.35107613194199</v>
      </c>
      <c r="M509" s="115">
        <f t="shared" si="139"/>
        <v>284.74018933050149</v>
      </c>
      <c r="N509" s="115">
        <f t="shared" si="140"/>
        <v>309.98036227420823</v>
      </c>
      <c r="O509" s="115">
        <f t="shared" si="141"/>
        <v>259.41169635961643</v>
      </c>
      <c r="P509" s="115">
        <f t="shared" si="142"/>
        <v>289.70105675364192</v>
      </c>
      <c r="Q509" s="115">
        <f t="shared" si="143"/>
        <v>34.45167305045014</v>
      </c>
    </row>
    <row r="510" spans="1:17" x14ac:dyDescent="0.25">
      <c r="A510" s="114">
        <f t="shared" si="134"/>
        <v>44579</v>
      </c>
      <c r="B510">
        <f t="shared" si="127"/>
        <v>5.5</v>
      </c>
      <c r="C510" s="109">
        <f t="shared" si="128"/>
        <v>19.066666666666666</v>
      </c>
      <c r="D510" s="109">
        <f t="shared" si="129"/>
        <v>72.86666666666666</v>
      </c>
      <c r="E510" s="107">
        <f t="shared" si="130"/>
        <v>44579.336805555555</v>
      </c>
      <c r="F510" s="106">
        <f t="shared" si="133"/>
        <v>44579.30191062732</v>
      </c>
      <c r="G510" t="str">
        <f t="shared" si="131"/>
        <v>Tuesday</v>
      </c>
      <c r="H510" s="129">
        <v>0.56597222222221399</v>
      </c>
      <c r="I510" s="115">
        <f t="shared" si="135"/>
        <v>26.524356101298324</v>
      </c>
      <c r="J510" s="115">
        <f t="shared" si="136"/>
        <v>274.03356093241189</v>
      </c>
      <c r="K510" s="115">
        <f t="shared" si="137"/>
        <v>97.892519302264816</v>
      </c>
      <c r="L510" s="115">
        <f t="shared" si="138"/>
        <v>241.35358098074383</v>
      </c>
      <c r="M510" s="115">
        <f t="shared" si="139"/>
        <v>284.7376227624178</v>
      </c>
      <c r="N510" s="115">
        <f t="shared" si="140"/>
        <v>309.98111919300601</v>
      </c>
      <c r="O510" s="115">
        <f t="shared" si="141"/>
        <v>259.41016620914968</v>
      </c>
      <c r="P510" s="115">
        <f t="shared" si="142"/>
        <v>289.70146261046449</v>
      </c>
      <c r="Q510" s="115">
        <f t="shared" si="143"/>
        <v>34.451489050497308</v>
      </c>
    </row>
    <row r="511" spans="1:17" x14ac:dyDescent="0.25">
      <c r="A511" s="114">
        <f t="shared" si="134"/>
        <v>44579</v>
      </c>
      <c r="B511">
        <f t="shared" ref="B511:B574" si="144">B510</f>
        <v>5.5</v>
      </c>
      <c r="C511" s="109">
        <f t="shared" ref="C511:C574" si="145">C510</f>
        <v>19.066666666666666</v>
      </c>
      <c r="D511" s="109">
        <f t="shared" ref="D511:D574" si="146">D510</f>
        <v>72.86666666666666</v>
      </c>
      <c r="E511" s="107">
        <f t="shared" ref="E511:E574" si="147">A511+H511-B511/24</f>
        <v>44579.340277777781</v>
      </c>
      <c r="F511" s="106">
        <f t="shared" si="133"/>
        <v>44579.30191062732</v>
      </c>
      <c r="G511" t="str">
        <f t="shared" ref="G511:G574" si="148">CHOOSE(WEEKDAY(E511),"Sunday","Monday","Tuesday","Wednesday","Thursday","Friday","Saturday")</f>
        <v>Tuesday</v>
      </c>
      <c r="H511" s="129">
        <v>0.56944444444443598</v>
      </c>
      <c r="I511" s="115">
        <f t="shared" si="135"/>
        <v>27.894273900413907</v>
      </c>
      <c r="J511" s="115">
        <f t="shared" si="136"/>
        <v>274.03709475688015</v>
      </c>
      <c r="K511" s="115">
        <f t="shared" si="137"/>
        <v>97.935011925087409</v>
      </c>
      <c r="L511" s="115">
        <f t="shared" si="138"/>
        <v>241.3560858377403</v>
      </c>
      <c r="M511" s="115">
        <f t="shared" si="139"/>
        <v>284.73505405260659</v>
      </c>
      <c r="N511" s="115">
        <f t="shared" si="140"/>
        <v>309.98187612521451</v>
      </c>
      <c r="O511" s="115">
        <f t="shared" si="141"/>
        <v>259.40863646484007</v>
      </c>
      <c r="P511" s="115">
        <f t="shared" si="142"/>
        <v>289.70186847157498</v>
      </c>
      <c r="Q511" s="115">
        <f t="shared" si="143"/>
        <v>34.451305050511351</v>
      </c>
    </row>
    <row r="512" spans="1:17" x14ac:dyDescent="0.25">
      <c r="A512" s="114">
        <f t="shared" si="134"/>
        <v>44579</v>
      </c>
      <c r="B512">
        <f t="shared" si="144"/>
        <v>5.5</v>
      </c>
      <c r="C512" s="109">
        <f t="shared" si="145"/>
        <v>19.066666666666666</v>
      </c>
      <c r="D512" s="109">
        <f t="shared" si="146"/>
        <v>72.86666666666666</v>
      </c>
      <c r="E512" s="107">
        <f t="shared" si="147"/>
        <v>44579.34375</v>
      </c>
      <c r="F512" s="106">
        <f t="shared" si="133"/>
        <v>44579.30191062732</v>
      </c>
      <c r="G512" t="str">
        <f t="shared" si="148"/>
        <v>Tuesday</v>
      </c>
      <c r="H512" s="129">
        <v>0.57291666666665797</v>
      </c>
      <c r="I512" s="115">
        <f t="shared" si="135"/>
        <v>29.254483407262686</v>
      </c>
      <c r="J512" s="115">
        <f t="shared" si="136"/>
        <v>274.04062857910765</v>
      </c>
      <c r="K512" s="115">
        <f t="shared" si="137"/>
        <v>97.977506540138862</v>
      </c>
      <c r="L512" s="115">
        <f t="shared" si="138"/>
        <v>241.35859070202753</v>
      </c>
      <c r="M512" s="115">
        <f t="shared" si="139"/>
        <v>284.73248320245455</v>
      </c>
      <c r="N512" s="115">
        <f t="shared" si="140"/>
        <v>309.9826330700642</v>
      </c>
      <c r="O512" s="115">
        <f t="shared" si="141"/>
        <v>259.4071071271797</v>
      </c>
      <c r="P512" s="115">
        <f t="shared" si="142"/>
        <v>289.70227433711864</v>
      </c>
      <c r="Q512" s="115">
        <f t="shared" si="143"/>
        <v>34.451121050558548</v>
      </c>
    </row>
    <row r="513" spans="1:17" x14ac:dyDescent="0.25">
      <c r="A513" s="114">
        <f t="shared" si="134"/>
        <v>44579</v>
      </c>
      <c r="B513">
        <f t="shared" si="144"/>
        <v>5.5</v>
      </c>
      <c r="C513" s="109">
        <f t="shared" si="145"/>
        <v>19.066666666666666</v>
      </c>
      <c r="D513" s="109">
        <f t="shared" si="146"/>
        <v>72.86666666666666</v>
      </c>
      <c r="E513" s="107">
        <f t="shared" si="147"/>
        <v>44579.347222222226</v>
      </c>
      <c r="F513" s="106">
        <f t="shared" si="133"/>
        <v>44579.30191062732</v>
      </c>
      <c r="G513" t="str">
        <f t="shared" si="148"/>
        <v>Tuesday</v>
      </c>
      <c r="H513" s="129">
        <v>0.57638888888887996</v>
      </c>
      <c r="I513" s="115">
        <f t="shared" si="135"/>
        <v>30.605080411892615</v>
      </c>
      <c r="J513" s="115">
        <f t="shared" si="136"/>
        <v>274.04416239958528</v>
      </c>
      <c r="K513" s="115">
        <f t="shared" si="137"/>
        <v>98.020003153585932</v>
      </c>
      <c r="L513" s="115">
        <f t="shared" si="138"/>
        <v>241.36109557387093</v>
      </c>
      <c r="M513" s="115">
        <f t="shared" si="139"/>
        <v>284.72991021233156</v>
      </c>
      <c r="N513" s="115">
        <f t="shared" si="140"/>
        <v>309.98339002785633</v>
      </c>
      <c r="O513" s="115">
        <f t="shared" si="141"/>
        <v>259.40557819604766</v>
      </c>
      <c r="P513" s="115">
        <f t="shared" si="142"/>
        <v>289.70268020653299</v>
      </c>
      <c r="Q513" s="115">
        <f t="shared" si="143"/>
        <v>34.450937050605781</v>
      </c>
    </row>
    <row r="514" spans="1:17" x14ac:dyDescent="0.25">
      <c r="A514" s="114">
        <f t="shared" si="134"/>
        <v>44579</v>
      </c>
      <c r="B514">
        <f t="shared" si="144"/>
        <v>5.5</v>
      </c>
      <c r="C514" s="109">
        <f t="shared" si="145"/>
        <v>19.066666666666666</v>
      </c>
      <c r="D514" s="109">
        <f t="shared" si="146"/>
        <v>72.86666666666666</v>
      </c>
      <c r="E514" s="107">
        <f t="shared" si="147"/>
        <v>44579.350694444445</v>
      </c>
      <c r="F514" s="106">
        <f t="shared" si="133"/>
        <v>44579.30191062732</v>
      </c>
      <c r="G514" t="str">
        <f t="shared" si="148"/>
        <v>Tuesday</v>
      </c>
      <c r="H514" s="129">
        <v>0.57986111111110095</v>
      </c>
      <c r="I514" s="115">
        <f t="shared" si="135"/>
        <v>31.946174634056742</v>
      </c>
      <c r="J514" s="115">
        <f t="shared" si="136"/>
        <v>274.04769621884265</v>
      </c>
      <c r="K514" s="115">
        <f t="shared" si="137"/>
        <v>98.062501771637216</v>
      </c>
      <c r="L514" s="115">
        <f t="shared" si="138"/>
        <v>241.3636004538204</v>
      </c>
      <c r="M514" s="115">
        <f t="shared" si="139"/>
        <v>284.72733508253407</v>
      </c>
      <c r="N514" s="115">
        <f t="shared" si="140"/>
        <v>309.98414699856949</v>
      </c>
      <c r="O514" s="115">
        <f t="shared" si="141"/>
        <v>259.4040496713302</v>
      </c>
      <c r="P514" s="115">
        <f t="shared" si="142"/>
        <v>289.7030860804802</v>
      </c>
      <c r="Q514" s="115">
        <f t="shared" si="143"/>
        <v>34.450753050636443</v>
      </c>
    </row>
    <row r="515" spans="1:17" x14ac:dyDescent="0.25">
      <c r="A515" s="114">
        <f t="shared" si="134"/>
        <v>44579</v>
      </c>
      <c r="B515">
        <f t="shared" si="144"/>
        <v>5.5</v>
      </c>
      <c r="C515" s="109">
        <f t="shared" si="145"/>
        <v>19.066666666666666</v>
      </c>
      <c r="D515" s="109">
        <f t="shared" si="146"/>
        <v>72.86666666666666</v>
      </c>
      <c r="E515" s="107">
        <f t="shared" si="147"/>
        <v>44579.354166666672</v>
      </c>
      <c r="F515" s="106">
        <f t="shared" ref="F515:F578" si="149">sunrise(C515,D515,E515)+B515/24</f>
        <v>44579.30191062732</v>
      </c>
      <c r="G515" t="str">
        <f t="shared" si="148"/>
        <v>Tuesday</v>
      </c>
      <c r="H515" s="129">
        <v>0.58333333333332305</v>
      </c>
      <c r="I515" s="115">
        <f t="shared" si="135"/>
        <v>33.277888202562536</v>
      </c>
      <c r="J515" s="115">
        <f t="shared" si="136"/>
        <v>274.05123003574226</v>
      </c>
      <c r="K515" s="115">
        <f t="shared" si="137"/>
        <v>98.105002383349458</v>
      </c>
      <c r="L515" s="115">
        <f t="shared" si="138"/>
        <v>241.36610534078198</v>
      </c>
      <c r="M515" s="115">
        <f t="shared" si="139"/>
        <v>284.72475781461804</v>
      </c>
      <c r="N515" s="115">
        <f t="shared" si="140"/>
        <v>309.9849039820553</v>
      </c>
      <c r="O515" s="115">
        <f t="shared" si="141"/>
        <v>259.40252155366983</v>
      </c>
      <c r="P515" s="115">
        <f t="shared" si="142"/>
        <v>289.70349195830619</v>
      </c>
      <c r="Q515" s="115">
        <f t="shared" si="143"/>
        <v>34.450569050683605</v>
      </c>
    </row>
    <row r="516" spans="1:17" x14ac:dyDescent="0.25">
      <c r="A516" s="114">
        <f t="shared" si="134"/>
        <v>44579</v>
      </c>
      <c r="B516">
        <f t="shared" si="144"/>
        <v>5.5</v>
      </c>
      <c r="C516" s="109">
        <f t="shared" si="145"/>
        <v>19.066666666666666</v>
      </c>
      <c r="D516" s="109">
        <f t="shared" si="146"/>
        <v>72.86666666666666</v>
      </c>
      <c r="E516" s="107">
        <f t="shared" si="147"/>
        <v>44579.357638888891</v>
      </c>
      <c r="F516" s="106">
        <f t="shared" si="149"/>
        <v>44579.30191062732</v>
      </c>
      <c r="G516" t="str">
        <f t="shared" si="148"/>
        <v>Tuesday</v>
      </c>
      <c r="H516" s="129">
        <v>0.58680555555554503</v>
      </c>
      <c r="I516" s="115">
        <f t="shared" si="135"/>
        <v>34.600355952698862</v>
      </c>
      <c r="J516" s="115">
        <f t="shared" si="136"/>
        <v>274.05476385142396</v>
      </c>
      <c r="K516" s="115">
        <f t="shared" si="137"/>
        <v>98.147505000590371</v>
      </c>
      <c r="L516" s="115">
        <f t="shared" si="138"/>
        <v>241.36861023579669</v>
      </c>
      <c r="M516" s="115">
        <f t="shared" si="139"/>
        <v>284.72217840849521</v>
      </c>
      <c r="N516" s="115">
        <f t="shared" si="140"/>
        <v>309.98566097854263</v>
      </c>
      <c r="O516" s="115">
        <f t="shared" si="141"/>
        <v>259.40099384245633</v>
      </c>
      <c r="P516" s="115">
        <f t="shared" si="142"/>
        <v>289.70389783975958</v>
      </c>
      <c r="Q516" s="115">
        <f t="shared" si="143"/>
        <v>34.450385050697705</v>
      </c>
    </row>
    <row r="517" spans="1:17" x14ac:dyDescent="0.25">
      <c r="A517" s="114">
        <f t="shared" si="134"/>
        <v>44579</v>
      </c>
      <c r="B517">
        <f t="shared" si="144"/>
        <v>5.5</v>
      </c>
      <c r="C517" s="109">
        <f t="shared" si="145"/>
        <v>19.066666666666666</v>
      </c>
      <c r="D517" s="109">
        <f t="shared" si="146"/>
        <v>72.86666666666666</v>
      </c>
      <c r="E517" s="107">
        <f t="shared" si="147"/>
        <v>44579.361111111117</v>
      </c>
      <c r="F517" s="106">
        <f t="shared" si="149"/>
        <v>44579.30191062732</v>
      </c>
      <c r="G517" t="str">
        <f t="shared" si="148"/>
        <v>Tuesday</v>
      </c>
      <c r="H517" s="129">
        <v>0.59027777777776702</v>
      </c>
      <c r="I517" s="115">
        <f t="shared" si="135"/>
        <v>35.913723058699638</v>
      </c>
      <c r="J517" s="115">
        <f t="shared" si="136"/>
        <v>274.05829766486454</v>
      </c>
      <c r="K517" s="115">
        <f t="shared" si="137"/>
        <v>98.190009612567451</v>
      </c>
      <c r="L517" s="115">
        <f t="shared" si="138"/>
        <v>241.37111513816581</v>
      </c>
      <c r="M517" s="115">
        <f t="shared" si="139"/>
        <v>284.71959686548433</v>
      </c>
      <c r="N517" s="115">
        <f t="shared" si="140"/>
        <v>309.98641798802225</v>
      </c>
      <c r="O517" s="115">
        <f t="shared" si="141"/>
        <v>259.39946653852644</v>
      </c>
      <c r="P517" s="115">
        <f t="shared" si="142"/>
        <v>289.70430372568285</v>
      </c>
      <c r="Q517" s="115">
        <f t="shared" si="143"/>
        <v>34.450201050761486</v>
      </c>
    </row>
    <row r="518" spans="1:17" x14ac:dyDescent="0.25">
      <c r="A518" s="114">
        <f t="shared" si="134"/>
        <v>44579</v>
      </c>
      <c r="B518">
        <f t="shared" si="144"/>
        <v>5.5</v>
      </c>
      <c r="C518" s="109">
        <f t="shared" si="145"/>
        <v>19.066666666666666</v>
      </c>
      <c r="D518" s="109">
        <f t="shared" si="146"/>
        <v>72.86666666666666</v>
      </c>
      <c r="E518" s="107">
        <f t="shared" si="147"/>
        <v>44579.364583333336</v>
      </c>
      <c r="F518" s="106">
        <f t="shared" si="149"/>
        <v>44579.30191062732</v>
      </c>
      <c r="G518" t="str">
        <f t="shared" si="148"/>
        <v>Tuesday</v>
      </c>
      <c r="H518" s="129">
        <v>0.59374999999998901</v>
      </c>
      <c r="I518" s="115">
        <f t="shared" si="135"/>
        <v>37.218145542357313</v>
      </c>
      <c r="J518" s="115">
        <f t="shared" si="136"/>
        <v>274.06183147701859</v>
      </c>
      <c r="K518" s="115">
        <f t="shared" si="137"/>
        <v>98.232516231044983</v>
      </c>
      <c r="L518" s="115">
        <f t="shared" si="138"/>
        <v>241.37362004843538</v>
      </c>
      <c r="M518" s="115">
        <f t="shared" si="139"/>
        <v>284.71701318563498</v>
      </c>
      <c r="N518" s="115">
        <f t="shared" si="140"/>
        <v>309.98717501003591</v>
      </c>
      <c r="O518" s="115">
        <f t="shared" si="141"/>
        <v>259.39793964124482</v>
      </c>
      <c r="P518" s="115">
        <f t="shared" si="142"/>
        <v>289.70470961524745</v>
      </c>
      <c r="Q518" s="115">
        <f t="shared" si="143"/>
        <v>34.450017050775536</v>
      </c>
    </row>
    <row r="519" spans="1:17" x14ac:dyDescent="0.25">
      <c r="A519" s="114">
        <f t="shared" si="134"/>
        <v>44579</v>
      </c>
      <c r="B519">
        <f t="shared" si="144"/>
        <v>5.5</v>
      </c>
      <c r="C519" s="109">
        <f t="shared" si="145"/>
        <v>19.066666666666666</v>
      </c>
      <c r="D519" s="109">
        <f t="shared" si="146"/>
        <v>72.86666666666666</v>
      </c>
      <c r="E519" s="107">
        <f t="shared" si="147"/>
        <v>44579.368055555555</v>
      </c>
      <c r="F519" s="106">
        <f t="shared" si="149"/>
        <v>44579.30191062732</v>
      </c>
      <c r="G519" t="str">
        <f t="shared" si="148"/>
        <v>Tuesday</v>
      </c>
      <c r="H519" s="129">
        <v>0.597222222222211</v>
      </c>
      <c r="I519" s="115">
        <f t="shared" si="135"/>
        <v>38.513787989121475</v>
      </c>
      <c r="J519" s="115">
        <f t="shared" si="136"/>
        <v>274.06536528693903</v>
      </c>
      <c r="K519" s="115">
        <f t="shared" si="137"/>
        <v>98.275024845164893</v>
      </c>
      <c r="L519" s="115">
        <f t="shared" si="138"/>
        <v>241.37612496601923</v>
      </c>
      <c r="M519" s="115">
        <f t="shared" si="139"/>
        <v>284.71442737046419</v>
      </c>
      <c r="N519" s="115">
        <f t="shared" si="140"/>
        <v>309.98793204503363</v>
      </c>
      <c r="O519" s="115">
        <f t="shared" si="141"/>
        <v>259.39641315143996</v>
      </c>
      <c r="P519" s="115">
        <f t="shared" si="142"/>
        <v>289.70511550936737</v>
      </c>
      <c r="Q519" s="115">
        <f t="shared" si="143"/>
        <v>34.449833050822747</v>
      </c>
    </row>
    <row r="520" spans="1:17" x14ac:dyDescent="0.25">
      <c r="A520" s="114">
        <f t="shared" si="134"/>
        <v>44579</v>
      </c>
      <c r="B520">
        <f t="shared" si="144"/>
        <v>5.5</v>
      </c>
      <c r="C520" s="109">
        <f t="shared" si="145"/>
        <v>19.066666666666666</v>
      </c>
      <c r="D520" s="109">
        <f t="shared" si="146"/>
        <v>72.86666666666666</v>
      </c>
      <c r="E520" s="107">
        <f t="shared" si="147"/>
        <v>44579.371527777781</v>
      </c>
      <c r="F520" s="106">
        <f t="shared" si="149"/>
        <v>44579.30191062732</v>
      </c>
      <c r="G520" t="str">
        <f t="shared" si="148"/>
        <v>Tuesday</v>
      </c>
      <c r="H520" s="129">
        <v>0.60069444444443298</v>
      </c>
      <c r="I520" s="115">
        <f t="shared" si="135"/>
        <v>39.800824098814232</v>
      </c>
      <c r="J520" s="115">
        <f t="shared" si="136"/>
        <v>274.06889909564347</v>
      </c>
      <c r="K520" s="115">
        <f t="shared" si="137"/>
        <v>98.317535466808721</v>
      </c>
      <c r="L520" s="115">
        <f t="shared" si="138"/>
        <v>241.37862989172126</v>
      </c>
      <c r="M520" s="115">
        <f t="shared" si="139"/>
        <v>284.7118394197322</v>
      </c>
      <c r="N520" s="115">
        <f t="shared" si="140"/>
        <v>309.98868909328792</v>
      </c>
      <c r="O520" s="115">
        <f t="shared" si="141"/>
        <v>259.39488706847897</v>
      </c>
      <c r="P520" s="115">
        <f t="shared" si="142"/>
        <v>289.70552140769502</v>
      </c>
      <c r="Q520" s="115">
        <f t="shared" si="143"/>
        <v>34.449649050836797</v>
      </c>
    </row>
    <row r="521" spans="1:17" x14ac:dyDescent="0.25">
      <c r="A521" s="114">
        <f t="shared" si="134"/>
        <v>44579</v>
      </c>
      <c r="B521">
        <f t="shared" si="144"/>
        <v>5.5</v>
      </c>
      <c r="C521" s="109">
        <f t="shared" si="145"/>
        <v>19.066666666666666</v>
      </c>
      <c r="D521" s="109">
        <f t="shared" si="146"/>
        <v>72.86666666666666</v>
      </c>
      <c r="E521" s="107">
        <f t="shared" si="147"/>
        <v>44579.375</v>
      </c>
      <c r="F521" s="106">
        <f t="shared" si="149"/>
        <v>44579.30191062732</v>
      </c>
      <c r="G521" t="str">
        <f t="shared" si="148"/>
        <v>Tuesday</v>
      </c>
      <c r="H521" s="129">
        <v>0.60416666666665497</v>
      </c>
      <c r="I521" s="115">
        <f t="shared" si="135"/>
        <v>41.079434488799208</v>
      </c>
      <c r="J521" s="115">
        <f t="shared" si="136"/>
        <v>274.07243290199438</v>
      </c>
      <c r="K521" s="115">
        <f t="shared" si="137"/>
        <v>98.360048085028765</v>
      </c>
      <c r="L521" s="115">
        <f t="shared" si="138"/>
        <v>241.38113482435784</v>
      </c>
      <c r="M521" s="115">
        <f t="shared" si="139"/>
        <v>284.70924933518131</v>
      </c>
      <c r="N521" s="115">
        <f t="shared" si="140"/>
        <v>309.98944615398995</v>
      </c>
      <c r="O521" s="115">
        <f t="shared" si="141"/>
        <v>259.39336139323251</v>
      </c>
      <c r="P521" s="115">
        <f t="shared" si="142"/>
        <v>289.70592730947516</v>
      </c>
      <c r="Q521" s="115">
        <f t="shared" si="143"/>
        <v>34.449465050867452</v>
      </c>
    </row>
    <row r="522" spans="1:17" x14ac:dyDescent="0.25">
      <c r="A522" s="114">
        <f t="shared" si="134"/>
        <v>44579</v>
      </c>
      <c r="B522">
        <f t="shared" si="144"/>
        <v>5.5</v>
      </c>
      <c r="C522" s="109">
        <f t="shared" si="145"/>
        <v>19.066666666666666</v>
      </c>
      <c r="D522" s="109">
        <f t="shared" si="146"/>
        <v>72.86666666666666</v>
      </c>
      <c r="E522" s="107">
        <f t="shared" si="147"/>
        <v>44579.378472222226</v>
      </c>
      <c r="F522" s="106">
        <f t="shared" si="149"/>
        <v>44579.30191062732</v>
      </c>
      <c r="G522" t="str">
        <f t="shared" si="148"/>
        <v>Tuesday</v>
      </c>
      <c r="H522" s="129">
        <v>0.60763888888887696</v>
      </c>
      <c r="I522" s="115">
        <f t="shared" si="135"/>
        <v>42.349807126636534</v>
      </c>
      <c r="J522" s="115">
        <f t="shared" si="136"/>
        <v>274.07596670666032</v>
      </c>
      <c r="K522" s="115">
        <f t="shared" si="137"/>
        <v>98.40256270606757</v>
      </c>
      <c r="L522" s="115">
        <f t="shared" si="138"/>
        <v>241.383639764809</v>
      </c>
      <c r="M522" s="115">
        <f t="shared" si="139"/>
        <v>284.70665711693613</v>
      </c>
      <c r="N522" s="115">
        <f t="shared" si="140"/>
        <v>309.99020322760265</v>
      </c>
      <c r="O522" s="115">
        <f t="shared" si="141"/>
        <v>259.39183612523755</v>
      </c>
      <c r="P522" s="115">
        <f t="shared" si="142"/>
        <v>289.70633321604419</v>
      </c>
      <c r="Q522" s="115">
        <f t="shared" si="143"/>
        <v>34.449281050914678</v>
      </c>
    </row>
    <row r="523" spans="1:17" x14ac:dyDescent="0.25">
      <c r="A523" s="114">
        <f t="shared" si="134"/>
        <v>44579</v>
      </c>
      <c r="B523">
        <f t="shared" si="144"/>
        <v>5.5</v>
      </c>
      <c r="C523" s="109">
        <f t="shared" si="145"/>
        <v>19.066666666666666</v>
      </c>
      <c r="D523" s="109">
        <f t="shared" si="146"/>
        <v>72.86666666666666</v>
      </c>
      <c r="E523" s="107">
        <f t="shared" si="147"/>
        <v>44579.381944444445</v>
      </c>
      <c r="F523" s="106">
        <f t="shared" si="149"/>
        <v>44579.30191062732</v>
      </c>
      <c r="G523" t="str">
        <f t="shared" si="148"/>
        <v>Tuesday</v>
      </c>
      <c r="H523" s="129">
        <v>0.61111111111109895</v>
      </c>
      <c r="I523" s="115">
        <f t="shared" si="135"/>
        <v>43.612136072840684</v>
      </c>
      <c r="J523" s="115">
        <f t="shared" si="136"/>
        <v>274.07950051001717</v>
      </c>
      <c r="K523" s="115">
        <f t="shared" si="137"/>
        <v>98.445079336096299</v>
      </c>
      <c r="L523" s="115">
        <f t="shared" si="138"/>
        <v>241.38614471314153</v>
      </c>
      <c r="M523" s="115">
        <f t="shared" si="139"/>
        <v>284.7040627654855</v>
      </c>
      <c r="N523" s="115">
        <f t="shared" si="140"/>
        <v>309.99096031439188</v>
      </c>
      <c r="O523" s="115">
        <f t="shared" si="141"/>
        <v>259.39031126466352</v>
      </c>
      <c r="P523" s="115">
        <f t="shared" si="142"/>
        <v>289.70673912667968</v>
      </c>
      <c r="Q523" s="115">
        <f t="shared" si="143"/>
        <v>34.449097050961839</v>
      </c>
    </row>
    <row r="524" spans="1:17" x14ac:dyDescent="0.25">
      <c r="A524" s="114">
        <f t="shared" ref="A524:A533" si="150">A523</f>
        <v>44579</v>
      </c>
      <c r="B524">
        <f t="shared" si="144"/>
        <v>5.5</v>
      </c>
      <c r="C524" s="109">
        <f t="shared" si="145"/>
        <v>19.066666666666666</v>
      </c>
      <c r="D524" s="109">
        <f t="shared" si="146"/>
        <v>72.86666666666666</v>
      </c>
      <c r="E524" s="107">
        <f t="shared" si="147"/>
        <v>44579.385416666672</v>
      </c>
      <c r="F524" s="106">
        <f t="shared" si="149"/>
        <v>44579.30191062732</v>
      </c>
      <c r="G524" t="str">
        <f t="shared" si="148"/>
        <v>Tuesday</v>
      </c>
      <c r="H524" s="129">
        <v>0.61458333333332105</v>
      </c>
      <c r="I524" s="115">
        <f t="shared" si="135"/>
        <v>44.866620272726621</v>
      </c>
      <c r="J524" s="115">
        <f t="shared" si="136"/>
        <v>274.08303431115917</v>
      </c>
      <c r="K524" s="115">
        <f t="shared" si="137"/>
        <v>98.487597964159249</v>
      </c>
      <c r="L524" s="115">
        <f t="shared" si="138"/>
        <v>241.38864966885336</v>
      </c>
      <c r="M524" s="115">
        <f t="shared" si="139"/>
        <v>284.70146628211074</v>
      </c>
      <c r="N524" s="115">
        <f t="shared" si="140"/>
        <v>309.99171741385663</v>
      </c>
      <c r="O524" s="115">
        <f t="shared" si="141"/>
        <v>259.38878681176692</v>
      </c>
      <c r="P524" s="115">
        <f t="shared" si="142"/>
        <v>289.70714504087726</v>
      </c>
      <c r="Q524" s="115">
        <f t="shared" si="143"/>
        <v>34.448913051009065</v>
      </c>
    </row>
    <row r="525" spans="1:17" x14ac:dyDescent="0.25">
      <c r="A525" s="114">
        <f t="shared" si="150"/>
        <v>44579</v>
      </c>
      <c r="B525">
        <f t="shared" si="144"/>
        <v>5.5</v>
      </c>
      <c r="C525" s="109">
        <f t="shared" si="145"/>
        <v>19.066666666666666</v>
      </c>
      <c r="D525" s="109">
        <f t="shared" si="146"/>
        <v>72.86666666666666</v>
      </c>
      <c r="E525" s="107">
        <f t="shared" si="147"/>
        <v>44579.388888888891</v>
      </c>
      <c r="F525" s="106">
        <f t="shared" si="149"/>
        <v>44579.30191062732</v>
      </c>
      <c r="G525" t="str">
        <f t="shared" si="148"/>
        <v>Tuesday</v>
      </c>
      <c r="H525" s="129">
        <v>0.61805555555554303</v>
      </c>
      <c r="I525" s="115">
        <f t="shared" si="135"/>
        <v>46.11346407748961</v>
      </c>
      <c r="J525" s="115">
        <f t="shared" si="136"/>
        <v>274.08656811101224</v>
      </c>
      <c r="K525" s="115">
        <f t="shared" si="137"/>
        <v>98.530118602143602</v>
      </c>
      <c r="L525" s="115">
        <f t="shared" si="138"/>
        <v>241.39115463248177</v>
      </c>
      <c r="M525" s="115">
        <f t="shared" si="139"/>
        <v>284.698867666892</v>
      </c>
      <c r="N525" s="115">
        <f t="shared" si="140"/>
        <v>309.99247452614907</v>
      </c>
      <c r="O525" s="115">
        <f t="shared" si="141"/>
        <v>259.38726276650857</v>
      </c>
      <c r="P525" s="115">
        <f t="shared" si="142"/>
        <v>289.70755095992337</v>
      </c>
      <c r="Q525" s="115">
        <f t="shared" si="143"/>
        <v>34.448729051023115</v>
      </c>
    </row>
    <row r="526" spans="1:17" x14ac:dyDescent="0.25">
      <c r="A526" s="114">
        <f t="shared" si="150"/>
        <v>44579</v>
      </c>
      <c r="B526">
        <f t="shared" si="144"/>
        <v>5.5</v>
      </c>
      <c r="C526" s="109">
        <f t="shared" si="145"/>
        <v>19.066666666666666</v>
      </c>
      <c r="D526" s="109">
        <f t="shared" si="146"/>
        <v>72.86666666666666</v>
      </c>
      <c r="E526" s="107">
        <f t="shared" si="147"/>
        <v>44579.392361111117</v>
      </c>
      <c r="F526" s="106">
        <f t="shared" si="149"/>
        <v>44579.30191062732</v>
      </c>
      <c r="G526" t="str">
        <f t="shared" si="148"/>
        <v>Tuesday</v>
      </c>
      <c r="H526" s="129">
        <v>0.62152777777776502</v>
      </c>
      <c r="I526" s="115">
        <f t="shared" si="135"/>
        <v>47.35287526848078</v>
      </c>
      <c r="J526" s="115">
        <f t="shared" si="136"/>
        <v>274.0901019087558</v>
      </c>
      <c r="K526" s="115">
        <f t="shared" si="137"/>
        <v>98.572641239156368</v>
      </c>
      <c r="L526" s="115">
        <f t="shared" si="138"/>
        <v>241.39365960353956</v>
      </c>
      <c r="M526" s="115">
        <f t="shared" si="139"/>
        <v>284.69626692130271</v>
      </c>
      <c r="N526" s="115">
        <f t="shared" si="140"/>
        <v>309.99323165144324</v>
      </c>
      <c r="O526" s="115">
        <f t="shared" si="141"/>
        <v>259.38573912912864</v>
      </c>
      <c r="P526" s="115">
        <f t="shared" si="142"/>
        <v>289.70795688234745</v>
      </c>
      <c r="Q526" s="115">
        <f t="shared" si="143"/>
        <v>34.448545051070326</v>
      </c>
    </row>
    <row r="527" spans="1:17" x14ac:dyDescent="0.25">
      <c r="A527" s="114">
        <f t="shared" si="150"/>
        <v>44579</v>
      </c>
      <c r="B527">
        <f t="shared" si="144"/>
        <v>5.5</v>
      </c>
      <c r="C527" s="109">
        <f t="shared" si="145"/>
        <v>19.066666666666666</v>
      </c>
      <c r="D527" s="109">
        <f t="shared" si="146"/>
        <v>72.86666666666666</v>
      </c>
      <c r="E527" s="107">
        <f t="shared" si="147"/>
        <v>44579.395833333336</v>
      </c>
      <c r="F527" s="106">
        <f t="shared" si="149"/>
        <v>44579.30191062732</v>
      </c>
      <c r="G527" t="str">
        <f t="shared" si="148"/>
        <v>Tuesday</v>
      </c>
      <c r="H527" s="129">
        <v>0.62499999999998701</v>
      </c>
      <c r="I527" s="115">
        <f t="shared" si="135"/>
        <v>48.585065801447584</v>
      </c>
      <c r="J527" s="115">
        <f t="shared" si="136"/>
        <v>274.09363570498539</v>
      </c>
      <c r="K527" s="115">
        <f t="shared" si="137"/>
        <v>98.615165887056008</v>
      </c>
      <c r="L527" s="115">
        <f t="shared" si="138"/>
        <v>241.3961645822389</v>
      </c>
      <c r="M527" s="115">
        <f t="shared" si="139"/>
        <v>284.69366404525533</v>
      </c>
      <c r="N527" s="115">
        <f t="shared" si="140"/>
        <v>309.99398878955895</v>
      </c>
      <c r="O527" s="115">
        <f t="shared" si="141"/>
        <v>259.38421589945204</v>
      </c>
      <c r="P527" s="115">
        <f t="shared" si="142"/>
        <v>289.7083628089793</v>
      </c>
      <c r="Q527" s="115">
        <f t="shared" si="143"/>
        <v>34.448361051084426</v>
      </c>
    </row>
    <row r="528" spans="1:17" x14ac:dyDescent="0.25">
      <c r="A528" s="114">
        <f t="shared" si="150"/>
        <v>44579</v>
      </c>
      <c r="B528">
        <f t="shared" si="144"/>
        <v>5.5</v>
      </c>
      <c r="C528" s="109">
        <f t="shared" si="145"/>
        <v>19.066666666666666</v>
      </c>
      <c r="D528" s="109">
        <f t="shared" si="146"/>
        <v>72.86666666666666</v>
      </c>
      <c r="E528" s="107">
        <f t="shared" si="147"/>
        <v>44579.399305555555</v>
      </c>
      <c r="F528" s="106">
        <f t="shared" si="149"/>
        <v>44579.30191062732</v>
      </c>
      <c r="G528" t="str">
        <f t="shared" si="148"/>
        <v>Tuesday</v>
      </c>
      <c r="H528" s="129">
        <v>0.628472222222209</v>
      </c>
      <c r="I528" s="115">
        <f t="shared" si="135"/>
        <v>49.810249922671844</v>
      </c>
      <c r="J528" s="115">
        <f t="shared" si="136"/>
        <v>274.09716949909773</v>
      </c>
      <c r="K528" s="115">
        <f t="shared" si="137"/>
        <v>98.657692534936686</v>
      </c>
      <c r="L528" s="115">
        <f t="shared" si="138"/>
        <v>241.39866956842269</v>
      </c>
      <c r="M528" s="115">
        <f t="shared" si="139"/>
        <v>284.69105904023792</v>
      </c>
      <c r="N528" s="115">
        <f t="shared" si="140"/>
        <v>309.99474594062701</v>
      </c>
      <c r="O528" s="115">
        <f t="shared" si="141"/>
        <v>259.38269307799629</v>
      </c>
      <c r="P528" s="115">
        <f t="shared" si="142"/>
        <v>289.70876874003272</v>
      </c>
      <c r="Q528" s="115">
        <f t="shared" si="143"/>
        <v>34.448177051131651</v>
      </c>
    </row>
    <row r="529" spans="1:17" x14ac:dyDescent="0.25">
      <c r="A529" s="114">
        <f t="shared" si="150"/>
        <v>44579</v>
      </c>
      <c r="B529">
        <f t="shared" si="144"/>
        <v>5.5</v>
      </c>
      <c r="C529" s="109">
        <f t="shared" si="145"/>
        <v>19.066666666666666</v>
      </c>
      <c r="D529" s="109">
        <f t="shared" si="146"/>
        <v>72.86666666666666</v>
      </c>
      <c r="E529" s="107">
        <f t="shared" si="147"/>
        <v>44579.402777777781</v>
      </c>
      <c r="F529" s="106">
        <f t="shared" si="149"/>
        <v>44579.30191062732</v>
      </c>
      <c r="G529" t="str">
        <f t="shared" si="148"/>
        <v>Tuesday</v>
      </c>
      <c r="H529" s="129">
        <v>0.63194444444443099</v>
      </c>
      <c r="I529" s="115">
        <f t="shared" si="135"/>
        <v>51.0286449645331</v>
      </c>
      <c r="J529" s="115">
        <f t="shared" si="136"/>
        <v>274.1007032919303</v>
      </c>
      <c r="K529" s="115">
        <f t="shared" si="137"/>
        <v>98.700221194688623</v>
      </c>
      <c r="L529" s="115">
        <f t="shared" si="138"/>
        <v>241.40117456250908</v>
      </c>
      <c r="M529" s="115">
        <f t="shared" si="139"/>
        <v>284.68845190630816</v>
      </c>
      <c r="N529" s="115">
        <f t="shared" si="140"/>
        <v>309.99550310436325</v>
      </c>
      <c r="O529" s="115">
        <f t="shared" si="141"/>
        <v>259.38117066443647</v>
      </c>
      <c r="P529" s="115">
        <f t="shared" si="142"/>
        <v>289.70917467435328</v>
      </c>
      <c r="Q529" s="115">
        <f t="shared" si="143"/>
        <v>34.44799305117882</v>
      </c>
    </row>
    <row r="530" spans="1:17" x14ac:dyDescent="0.25">
      <c r="A530" s="114">
        <f t="shared" si="150"/>
        <v>44579</v>
      </c>
      <c r="B530">
        <f t="shared" si="144"/>
        <v>5.5</v>
      </c>
      <c r="C530" s="109">
        <f t="shared" si="145"/>
        <v>19.066666666666666</v>
      </c>
      <c r="D530" s="109">
        <f t="shared" si="146"/>
        <v>72.86666666666666</v>
      </c>
      <c r="E530" s="107">
        <f t="shared" si="147"/>
        <v>44579.40625</v>
      </c>
      <c r="F530" s="106">
        <f t="shared" si="149"/>
        <v>44579.30191062732</v>
      </c>
      <c r="G530" t="str">
        <f t="shared" si="148"/>
        <v>Tuesday</v>
      </c>
      <c r="H530" s="129">
        <v>0.63541666666665297</v>
      </c>
      <c r="I530" s="115">
        <f t="shared" si="135"/>
        <v>52.240469544614477</v>
      </c>
      <c r="J530" s="115">
        <f t="shared" si="136"/>
        <v>274.10423708251489</v>
      </c>
      <c r="K530" s="115">
        <f t="shared" si="137"/>
        <v>98.742751855347635</v>
      </c>
      <c r="L530" s="115">
        <f t="shared" si="138"/>
        <v>241.40367956387527</v>
      </c>
      <c r="M530" s="115">
        <f t="shared" si="139"/>
        <v>284.68584264468615</v>
      </c>
      <c r="N530" s="115">
        <f t="shared" si="140"/>
        <v>309.99626028100124</v>
      </c>
      <c r="O530" s="115">
        <f t="shared" si="141"/>
        <v>259.37964865923323</v>
      </c>
      <c r="P530" s="115">
        <f t="shared" si="142"/>
        <v>289.7095806133006</v>
      </c>
      <c r="Q530" s="115">
        <f t="shared" si="143"/>
        <v>34.447809051225981</v>
      </c>
    </row>
    <row r="531" spans="1:17" x14ac:dyDescent="0.25">
      <c r="A531" s="114">
        <f t="shared" si="150"/>
        <v>44579</v>
      </c>
      <c r="B531">
        <f t="shared" si="144"/>
        <v>5.5</v>
      </c>
      <c r="C531" s="109">
        <f t="shared" si="145"/>
        <v>19.066666666666666</v>
      </c>
      <c r="D531" s="109">
        <f t="shared" si="146"/>
        <v>72.86666666666666</v>
      </c>
      <c r="E531" s="107">
        <f t="shared" si="147"/>
        <v>44579.409722222226</v>
      </c>
      <c r="F531" s="106">
        <f t="shared" si="149"/>
        <v>44579.30191062732</v>
      </c>
      <c r="G531" t="str">
        <f t="shared" si="148"/>
        <v>Tuesday</v>
      </c>
      <c r="H531" s="129">
        <v>0.63888888888887496</v>
      </c>
      <c r="I531" s="115">
        <f t="shared" si="135"/>
        <v>53.445944250211369</v>
      </c>
      <c r="J531" s="115">
        <f t="shared" si="136"/>
        <v>274.10777087149444</v>
      </c>
      <c r="K531" s="115">
        <f t="shared" si="137"/>
        <v>98.785284523105545</v>
      </c>
      <c r="L531" s="115">
        <f t="shared" si="138"/>
        <v>241.4061845730364</v>
      </c>
      <c r="M531" s="115">
        <f t="shared" si="139"/>
        <v>284.68323125597152</v>
      </c>
      <c r="N531" s="115">
        <f t="shared" si="140"/>
        <v>309.99701747089676</v>
      </c>
      <c r="O531" s="115">
        <f t="shared" si="141"/>
        <v>259.37812706238083</v>
      </c>
      <c r="P531" s="115">
        <f t="shared" si="142"/>
        <v>289.70998655666614</v>
      </c>
      <c r="Q531" s="115">
        <f t="shared" si="143"/>
        <v>34.447625051273192</v>
      </c>
    </row>
    <row r="532" spans="1:17" x14ac:dyDescent="0.25">
      <c r="A532" s="114">
        <f t="shared" si="150"/>
        <v>44579</v>
      </c>
      <c r="B532">
        <f t="shared" si="144"/>
        <v>5.5</v>
      </c>
      <c r="C532" s="109">
        <f t="shared" si="145"/>
        <v>19.066666666666666</v>
      </c>
      <c r="D532" s="109">
        <f t="shared" si="146"/>
        <v>72.86666666666666</v>
      </c>
      <c r="E532" s="107">
        <f t="shared" si="147"/>
        <v>44579.413194444445</v>
      </c>
      <c r="F532" s="106">
        <f t="shared" si="149"/>
        <v>44579.30191062732</v>
      </c>
      <c r="G532" t="str">
        <f t="shared" si="148"/>
        <v>Tuesday</v>
      </c>
      <c r="H532" s="129">
        <v>0.64236111111109695</v>
      </c>
      <c r="I532" s="115">
        <f t="shared" si="135"/>
        <v>54.645290719995884</v>
      </c>
      <c r="J532" s="115">
        <f t="shared" si="136"/>
        <v>274.11130465905097</v>
      </c>
      <c r="K532" s="115">
        <f t="shared" si="137"/>
        <v>98.827819204111634</v>
      </c>
      <c r="L532" s="115">
        <f t="shared" si="138"/>
        <v>241.40868959002717</v>
      </c>
      <c r="M532" s="115">
        <f t="shared" si="139"/>
        <v>284.68061774044367</v>
      </c>
      <c r="N532" s="115">
        <f t="shared" si="140"/>
        <v>309.99777467335741</v>
      </c>
      <c r="O532" s="115">
        <f t="shared" si="141"/>
        <v>259.37660587363399</v>
      </c>
      <c r="P532" s="115">
        <f t="shared" si="142"/>
        <v>289.710392504026</v>
      </c>
      <c r="Q532" s="115">
        <f t="shared" si="143"/>
        <v>34.447441051270744</v>
      </c>
    </row>
    <row r="533" spans="1:17" x14ac:dyDescent="0.25">
      <c r="A533" s="114">
        <f t="shared" si="150"/>
        <v>44579</v>
      </c>
      <c r="B533">
        <f t="shared" si="144"/>
        <v>5.5</v>
      </c>
      <c r="C533" s="109">
        <f t="shared" si="145"/>
        <v>19.066666666666666</v>
      </c>
      <c r="D533" s="109">
        <f t="shared" si="146"/>
        <v>72.86666666666666</v>
      </c>
      <c r="E533" s="107">
        <f t="shared" si="147"/>
        <v>44579.416666666672</v>
      </c>
      <c r="F533" s="106">
        <f t="shared" si="149"/>
        <v>44579.30191062732</v>
      </c>
      <c r="G533" t="str">
        <f t="shared" si="148"/>
        <v>Tuesday</v>
      </c>
      <c r="H533" s="129">
        <v>0.64583333333331905</v>
      </c>
      <c r="I533" s="115">
        <f t="shared" si="135"/>
        <v>55.838730765663627</v>
      </c>
      <c r="J533" s="115">
        <f t="shared" si="136"/>
        <v>274.11483844427227</v>
      </c>
      <c r="K533" s="115">
        <f t="shared" si="137"/>
        <v>98.870355887495478</v>
      </c>
      <c r="L533" s="115">
        <f t="shared" si="138"/>
        <v>241.41119461417009</v>
      </c>
      <c r="M533" s="115">
        <f t="shared" si="139"/>
        <v>284.67800209953975</v>
      </c>
      <c r="N533" s="115">
        <f t="shared" si="140"/>
        <v>309.9985318884556</v>
      </c>
      <c r="O533" s="115">
        <f t="shared" si="141"/>
        <v>259.37508509362584</v>
      </c>
      <c r="P533" s="115">
        <f t="shared" si="142"/>
        <v>289.71079845511139</v>
      </c>
      <c r="Q533" s="115">
        <f t="shared" si="143"/>
        <v>34.447257051301399</v>
      </c>
    </row>
    <row r="534" spans="1:17" x14ac:dyDescent="0.25">
      <c r="A534" s="114">
        <f>A533+1</f>
        <v>44580</v>
      </c>
      <c r="B534">
        <f t="shared" si="144"/>
        <v>5.5</v>
      </c>
      <c r="C534" s="109">
        <f t="shared" si="145"/>
        <v>19.066666666666666</v>
      </c>
      <c r="D534" s="109">
        <f t="shared" si="146"/>
        <v>72.86666666666666</v>
      </c>
      <c r="E534" s="107">
        <f t="shared" si="147"/>
        <v>44580.15625</v>
      </c>
      <c r="F534" s="106">
        <f t="shared" si="149"/>
        <v>44580.301905218665</v>
      </c>
      <c r="G534" t="str">
        <f t="shared" si="148"/>
        <v>Wednesday</v>
      </c>
      <c r="H534" s="129">
        <v>0.38541666666666669</v>
      </c>
      <c r="I534" s="115">
        <f t="shared" si="135"/>
        <v>307.68920310498646</v>
      </c>
      <c r="J534" s="115">
        <f t="shared" si="136"/>
        <v>274.86749510109189</v>
      </c>
      <c r="K534" s="115">
        <f t="shared" si="137"/>
        <v>107.97713351048429</v>
      </c>
      <c r="L534" s="115">
        <f t="shared" si="138"/>
        <v>241.94493877230559</v>
      </c>
      <c r="M534" s="115">
        <f t="shared" si="139"/>
        <v>284.07369958059417</v>
      </c>
      <c r="N534" s="115">
        <f t="shared" si="140"/>
        <v>310.16011045513295</v>
      </c>
      <c r="O534" s="115">
        <f t="shared" si="141"/>
        <v>259.0606211913348</v>
      </c>
      <c r="P534" s="115">
        <f t="shared" si="142"/>
        <v>289.79735776875344</v>
      </c>
      <c r="Q534" s="115">
        <f t="shared" si="143"/>
        <v>34.40806505880515</v>
      </c>
    </row>
    <row r="535" spans="1:17" x14ac:dyDescent="0.25">
      <c r="A535" s="114">
        <f>A534</f>
        <v>44580</v>
      </c>
      <c r="B535">
        <f t="shared" si="144"/>
        <v>5.5</v>
      </c>
      <c r="C535" s="109">
        <f t="shared" si="145"/>
        <v>19.066666666666666</v>
      </c>
      <c r="D535" s="109">
        <f t="shared" si="146"/>
        <v>72.86666666666666</v>
      </c>
      <c r="E535" s="107">
        <f t="shared" si="147"/>
        <v>44580.159722222226</v>
      </c>
      <c r="F535" s="106">
        <f t="shared" si="149"/>
        <v>44580.301905218665</v>
      </c>
      <c r="G535" t="str">
        <f t="shared" si="148"/>
        <v>Wednesday</v>
      </c>
      <c r="H535" s="129">
        <v>0.3888888888888889</v>
      </c>
      <c r="I535" s="115">
        <f t="shared" si="135"/>
        <v>309.21674726464454</v>
      </c>
      <c r="J535" s="115">
        <f t="shared" si="136"/>
        <v>274.87102851544</v>
      </c>
      <c r="K535" s="115">
        <f t="shared" si="137"/>
        <v>108.02010943497996</v>
      </c>
      <c r="L535" s="115">
        <f t="shared" si="138"/>
        <v>241.94744543108283</v>
      </c>
      <c r="M535" s="115">
        <f t="shared" si="139"/>
        <v>284.07064746809664</v>
      </c>
      <c r="N535" s="115">
        <f t="shared" si="140"/>
        <v>310.16087040155156</v>
      </c>
      <c r="O535" s="115">
        <f t="shared" si="141"/>
        <v>259.05918995523251</v>
      </c>
      <c r="P535" s="115">
        <f t="shared" si="142"/>
        <v>289.79776457488907</v>
      </c>
      <c r="Q535" s="115">
        <f t="shared" si="143"/>
        <v>34.407881058868931</v>
      </c>
    </row>
    <row r="536" spans="1:17" x14ac:dyDescent="0.25">
      <c r="A536" s="114">
        <f t="shared" ref="A536:A599" si="151">A535</f>
        <v>44580</v>
      </c>
      <c r="B536">
        <f t="shared" si="144"/>
        <v>5.5</v>
      </c>
      <c r="C536" s="109">
        <f t="shared" si="145"/>
        <v>19.066666666666666</v>
      </c>
      <c r="D536" s="109">
        <f t="shared" si="146"/>
        <v>72.86666666666666</v>
      </c>
      <c r="E536" s="107">
        <f t="shared" si="147"/>
        <v>44580.163194444445</v>
      </c>
      <c r="F536" s="106">
        <f t="shared" si="149"/>
        <v>44580.301905218665</v>
      </c>
      <c r="G536" t="str">
        <f t="shared" si="148"/>
        <v>Wednesday</v>
      </c>
      <c r="H536" s="129">
        <v>0.39236111111111099</v>
      </c>
      <c r="I536" s="115">
        <f t="shared" si="135"/>
        <v>310.75241533577702</v>
      </c>
      <c r="J536" s="115">
        <f t="shared" si="136"/>
        <v>274.87456192868672</v>
      </c>
      <c r="K536" s="115">
        <f t="shared" si="137"/>
        <v>108.06308745674831</v>
      </c>
      <c r="L536" s="115">
        <f t="shared" si="138"/>
        <v>241.94995209789207</v>
      </c>
      <c r="M536" s="115">
        <f t="shared" si="139"/>
        <v>284.06759341012679</v>
      </c>
      <c r="N536" s="115">
        <f t="shared" si="140"/>
        <v>310.16163036083896</v>
      </c>
      <c r="O536" s="115">
        <f t="shared" si="141"/>
        <v>259.0577591471515</v>
      </c>
      <c r="P536" s="115">
        <f t="shared" si="142"/>
        <v>289.7981713854453</v>
      </c>
      <c r="Q536" s="115">
        <f t="shared" si="143"/>
        <v>34.407697058882988</v>
      </c>
    </row>
    <row r="537" spans="1:17" x14ac:dyDescent="0.25">
      <c r="A537" s="114">
        <f t="shared" si="151"/>
        <v>44580</v>
      </c>
      <c r="B537">
        <f t="shared" si="144"/>
        <v>5.5</v>
      </c>
      <c r="C537" s="109">
        <f t="shared" si="145"/>
        <v>19.066666666666666</v>
      </c>
      <c r="D537" s="109">
        <f t="shared" si="146"/>
        <v>72.86666666666666</v>
      </c>
      <c r="E537" s="107">
        <f t="shared" si="147"/>
        <v>44580.166666666672</v>
      </c>
      <c r="F537" s="106">
        <f t="shared" si="149"/>
        <v>44580.301905218665</v>
      </c>
      <c r="G537" t="str">
        <f t="shared" si="148"/>
        <v>Wednesday</v>
      </c>
      <c r="H537" s="129">
        <v>0.39583333333333298</v>
      </c>
      <c r="I537" s="115">
        <f t="shared" si="135"/>
        <v>312.29588836153465</v>
      </c>
      <c r="J537" s="115">
        <f t="shared" si="136"/>
        <v>274.87809533972347</v>
      </c>
      <c r="K537" s="115">
        <f t="shared" si="137"/>
        <v>108.1060675646402</v>
      </c>
      <c r="L537" s="115">
        <f t="shared" si="138"/>
        <v>241.95245877211204</v>
      </c>
      <c r="M537" s="115">
        <f t="shared" si="139"/>
        <v>284.06453740861383</v>
      </c>
      <c r="N537" s="115">
        <f t="shared" si="140"/>
        <v>310.16239033286269</v>
      </c>
      <c r="O537" s="115">
        <f t="shared" si="141"/>
        <v>259.05632876716965</v>
      </c>
      <c r="P537" s="115">
        <f t="shared" si="142"/>
        <v>289.79857820059522</v>
      </c>
      <c r="Q537" s="115">
        <f t="shared" si="143"/>
        <v>34.407513058946776</v>
      </c>
    </row>
    <row r="538" spans="1:17" x14ac:dyDescent="0.25">
      <c r="A538" s="114">
        <f t="shared" si="151"/>
        <v>44580</v>
      </c>
      <c r="B538">
        <f t="shared" si="144"/>
        <v>5.5</v>
      </c>
      <c r="C538" s="109">
        <f t="shared" si="145"/>
        <v>19.066666666666666</v>
      </c>
      <c r="D538" s="109">
        <f t="shared" si="146"/>
        <v>72.86666666666666</v>
      </c>
      <c r="E538" s="107">
        <f t="shared" si="147"/>
        <v>44580.170138888891</v>
      </c>
      <c r="F538" s="106">
        <f t="shared" si="149"/>
        <v>44580.301905218665</v>
      </c>
      <c r="G538" t="str">
        <f t="shared" si="148"/>
        <v>Wednesday</v>
      </c>
      <c r="H538" s="129">
        <v>0.39930555555555503</v>
      </c>
      <c r="I538" s="115">
        <f t="shared" si="135"/>
        <v>313.84682215186621</v>
      </c>
      <c r="J538" s="115">
        <f t="shared" si="136"/>
        <v>274.88162874953832</v>
      </c>
      <c r="K538" s="115">
        <f t="shared" si="137"/>
        <v>108.14904977046935</v>
      </c>
      <c r="L538" s="115">
        <f t="shared" si="138"/>
        <v>241.95496545430566</v>
      </c>
      <c r="M538" s="115">
        <f t="shared" si="139"/>
        <v>284.06147946358436</v>
      </c>
      <c r="N538" s="115">
        <f t="shared" si="140"/>
        <v>310.16315031783449</v>
      </c>
      <c r="O538" s="115">
        <f t="shared" si="141"/>
        <v>259.05489881532088</v>
      </c>
      <c r="P538" s="115">
        <f t="shared" si="142"/>
        <v>289.79898501809856</v>
      </c>
      <c r="Q538" s="115">
        <f t="shared" si="143"/>
        <v>34.407329058944327</v>
      </c>
    </row>
    <row r="539" spans="1:17" x14ac:dyDescent="0.25">
      <c r="A539" s="114">
        <f t="shared" si="151"/>
        <v>44580</v>
      </c>
      <c r="B539">
        <f t="shared" si="144"/>
        <v>5.5</v>
      </c>
      <c r="C539" s="109">
        <f t="shared" si="145"/>
        <v>19.066666666666666</v>
      </c>
      <c r="D539" s="109">
        <f t="shared" si="146"/>
        <v>72.86666666666666</v>
      </c>
      <c r="E539" s="107">
        <f t="shared" si="147"/>
        <v>44580.173611111117</v>
      </c>
      <c r="F539" s="106">
        <f t="shared" si="149"/>
        <v>44580.301905218665</v>
      </c>
      <c r="G539" t="str">
        <f t="shared" si="148"/>
        <v>Wednesday</v>
      </c>
      <c r="H539" s="129">
        <v>0.40277777777777801</v>
      </c>
      <c r="I539" s="115">
        <f t="shared" si="135"/>
        <v>315.40484612547959</v>
      </c>
      <c r="J539" s="115">
        <f t="shared" si="136"/>
        <v>274.88516215728322</v>
      </c>
      <c r="K539" s="115">
        <f t="shared" si="137"/>
        <v>108.19203406302633</v>
      </c>
      <c r="L539" s="115">
        <f t="shared" si="138"/>
        <v>241.95747214388126</v>
      </c>
      <c r="M539" s="115">
        <f t="shared" si="139"/>
        <v>284.05841957684601</v>
      </c>
      <c r="N539" s="115">
        <f t="shared" si="140"/>
        <v>310.16391031510483</v>
      </c>
      <c r="O539" s="115">
        <f t="shared" si="141"/>
        <v>259.05346929179541</v>
      </c>
      <c r="P539" s="115">
        <f t="shared" si="142"/>
        <v>289.79939184077182</v>
      </c>
      <c r="Q539" s="115">
        <f t="shared" si="143"/>
        <v>34.407145058974947</v>
      </c>
    </row>
    <row r="540" spans="1:17" x14ac:dyDescent="0.25">
      <c r="A540" s="114">
        <f t="shared" si="151"/>
        <v>44580</v>
      </c>
      <c r="B540">
        <f t="shared" si="144"/>
        <v>5.5</v>
      </c>
      <c r="C540" s="109">
        <f t="shared" si="145"/>
        <v>19.066666666666666</v>
      </c>
      <c r="D540" s="109">
        <f t="shared" si="146"/>
        <v>72.86666666666666</v>
      </c>
      <c r="E540" s="107">
        <f t="shared" si="147"/>
        <v>44580.177083333336</v>
      </c>
      <c r="F540" s="106">
        <f t="shared" si="149"/>
        <v>44580.301905218665</v>
      </c>
      <c r="G540" t="str">
        <f t="shared" si="148"/>
        <v>Wednesday</v>
      </c>
      <c r="H540" s="129">
        <v>0.40625</v>
      </c>
      <c r="I540" s="115">
        <f t="shared" si="135"/>
        <v>316.96956563720488</v>
      </c>
      <c r="J540" s="115">
        <f t="shared" si="136"/>
        <v>274.8886955636176</v>
      </c>
      <c r="K540" s="115">
        <f t="shared" si="137"/>
        <v>108.23502045418434</v>
      </c>
      <c r="L540" s="115">
        <f t="shared" si="138"/>
        <v>241.95997884136153</v>
      </c>
      <c r="M540" s="115">
        <f t="shared" si="139"/>
        <v>284.05535774857572</v>
      </c>
      <c r="N540" s="115">
        <f t="shared" si="140"/>
        <v>310.16467032536508</v>
      </c>
      <c r="O540" s="115">
        <f t="shared" si="141"/>
        <v>259.05204019640757</v>
      </c>
      <c r="P540" s="115">
        <f t="shared" si="142"/>
        <v>289.79979866715138</v>
      </c>
      <c r="Q540" s="115">
        <f t="shared" si="143"/>
        <v>34.40696105900561</v>
      </c>
    </row>
    <row r="541" spans="1:17" x14ac:dyDescent="0.25">
      <c r="A541" s="114">
        <f t="shared" si="151"/>
        <v>44580</v>
      </c>
      <c r="B541">
        <f t="shared" si="144"/>
        <v>5.5</v>
      </c>
      <c r="C541" s="109">
        <f t="shared" si="145"/>
        <v>19.066666666666666</v>
      </c>
      <c r="D541" s="109">
        <f t="shared" si="146"/>
        <v>72.86666666666666</v>
      </c>
      <c r="E541" s="107">
        <f t="shared" si="147"/>
        <v>44580.180555555555</v>
      </c>
      <c r="F541" s="106">
        <f t="shared" si="149"/>
        <v>44580.301905218665</v>
      </c>
      <c r="G541" t="str">
        <f t="shared" si="148"/>
        <v>Wednesday</v>
      </c>
      <c r="H541" s="129">
        <v>0.40972222222222199</v>
      </c>
      <c r="I541" s="115">
        <f t="shared" ref="I541:I604" si="152">(Asdt(C541,D541,E541))</f>
        <v>318.54056115684864</v>
      </c>
      <c r="J541" s="115">
        <f t="shared" ref="J541:J604" si="153">(Planet(E541,0))</f>
        <v>274.89222896777045</v>
      </c>
      <c r="K541" s="115">
        <f t="shared" ref="K541:K604" si="154">(Planet(E541,1))</f>
        <v>108.27800893275138</v>
      </c>
      <c r="L541" s="115">
        <f t="shared" ref="L541:L604" si="155">(Planet(E541,4))</f>
        <v>241.9624855459997</v>
      </c>
      <c r="M541" s="115">
        <f t="shared" ref="M541:M604" si="156">(Planet(E541,2))</f>
        <v>284.05229398068911</v>
      </c>
      <c r="N541" s="115">
        <f t="shared" ref="N541:N604" si="157">(Planet(E541,5))</f>
        <v>310.16543034785769</v>
      </c>
      <c r="O541" s="115">
        <f t="shared" ref="O541:O604" si="158">Planet(E541,3)</f>
        <v>259.05061152972075</v>
      </c>
      <c r="P541" s="115">
        <f t="shared" ref="P541:P604" si="159">Planet(E541,6)</f>
        <v>289.80020549718978</v>
      </c>
      <c r="Q541" s="115">
        <f t="shared" ref="Q541:Q604" si="160">Planet(E541,10)</f>
        <v>34.406777059052835</v>
      </c>
    </row>
    <row r="542" spans="1:17" x14ac:dyDescent="0.25">
      <c r="A542" s="114">
        <f t="shared" si="151"/>
        <v>44580</v>
      </c>
      <c r="B542">
        <f t="shared" si="144"/>
        <v>5.5</v>
      </c>
      <c r="C542" s="109">
        <f t="shared" si="145"/>
        <v>19.066666666666666</v>
      </c>
      <c r="D542" s="109">
        <f t="shared" si="146"/>
        <v>72.86666666666666</v>
      </c>
      <c r="E542" s="107">
        <f t="shared" si="147"/>
        <v>44580.184027777781</v>
      </c>
      <c r="F542" s="106">
        <f t="shared" si="149"/>
        <v>44580.301905218665</v>
      </c>
      <c r="G542" t="str">
        <f t="shared" si="148"/>
        <v>Wednesday</v>
      </c>
      <c r="H542" s="129">
        <v>0.41319444444444398</v>
      </c>
      <c r="I542" s="115">
        <f t="shared" si="152"/>
        <v>320.11739096716269</v>
      </c>
      <c r="J542" s="115">
        <f t="shared" si="153"/>
        <v>274.89576237073851</v>
      </c>
      <c r="K542" s="115">
        <f t="shared" si="154"/>
        <v>108.32099951050576</v>
      </c>
      <c r="L542" s="115">
        <f t="shared" si="155"/>
        <v>241.96499225865819</v>
      </c>
      <c r="M542" s="115">
        <f t="shared" si="156"/>
        <v>284.04922827298122</v>
      </c>
      <c r="N542" s="115">
        <f t="shared" si="157"/>
        <v>310.16619038305885</v>
      </c>
      <c r="O542" s="115">
        <f t="shared" si="158"/>
        <v>259.04918329131482</v>
      </c>
      <c r="P542" s="115">
        <f t="shared" si="159"/>
        <v>289.80061233110609</v>
      </c>
      <c r="Q542" s="115">
        <f t="shared" si="160"/>
        <v>34.406593059083463</v>
      </c>
    </row>
    <row r="543" spans="1:17" x14ac:dyDescent="0.25">
      <c r="A543" s="114">
        <f t="shared" si="151"/>
        <v>44580</v>
      </c>
      <c r="B543">
        <f t="shared" si="144"/>
        <v>5.5</v>
      </c>
      <c r="C543" s="109">
        <f t="shared" si="145"/>
        <v>19.066666666666666</v>
      </c>
      <c r="D543" s="109">
        <f t="shared" si="146"/>
        <v>72.86666666666666</v>
      </c>
      <c r="E543" s="107">
        <f t="shared" si="147"/>
        <v>44580.1875</v>
      </c>
      <c r="F543" s="106">
        <f t="shared" si="149"/>
        <v>44580.301905218665</v>
      </c>
      <c r="G543" t="str">
        <f t="shared" si="148"/>
        <v>Wednesday</v>
      </c>
      <c r="H543" s="129">
        <v>0.41666666666666702</v>
      </c>
      <c r="I543" s="115">
        <f t="shared" si="152"/>
        <v>321.69959068444064</v>
      </c>
      <c r="J543" s="115">
        <f t="shared" si="153"/>
        <v>274.89929577152606</v>
      </c>
      <c r="K543" s="115">
        <f t="shared" si="154"/>
        <v>108.36399217628933</v>
      </c>
      <c r="L543" s="115">
        <f t="shared" si="155"/>
        <v>241.96749897887761</v>
      </c>
      <c r="M543" s="115">
        <f t="shared" si="156"/>
        <v>284.04616062750006</v>
      </c>
      <c r="N543" s="115">
        <f t="shared" si="157"/>
        <v>310.16695043100316</v>
      </c>
      <c r="O543" s="115">
        <f t="shared" si="158"/>
        <v>259.04775548170483</v>
      </c>
      <c r="P543" s="115">
        <f t="shared" si="159"/>
        <v>289.8010191690463</v>
      </c>
      <c r="Q543" s="115">
        <f t="shared" si="160"/>
        <v>34.406409059147229</v>
      </c>
    </row>
    <row r="544" spans="1:17" x14ac:dyDescent="0.25">
      <c r="A544" s="114">
        <f t="shared" si="151"/>
        <v>44580</v>
      </c>
      <c r="B544">
        <f t="shared" si="144"/>
        <v>5.5</v>
      </c>
      <c r="C544" s="109">
        <f t="shared" si="145"/>
        <v>19.066666666666666</v>
      </c>
      <c r="D544" s="109">
        <f t="shared" si="146"/>
        <v>72.86666666666666</v>
      </c>
      <c r="E544" s="107">
        <f t="shared" si="147"/>
        <v>44580.190972222226</v>
      </c>
      <c r="F544" s="106">
        <f t="shared" si="149"/>
        <v>44580.301905218665</v>
      </c>
      <c r="G544" t="str">
        <f t="shared" si="148"/>
        <v>Wednesday</v>
      </c>
      <c r="H544" s="129">
        <v>0.42013888888888901</v>
      </c>
      <c r="I544" s="115">
        <f t="shared" si="152"/>
        <v>323.28667610696647</v>
      </c>
      <c r="J544" s="115">
        <f t="shared" si="153"/>
        <v>274.90282917061211</v>
      </c>
      <c r="K544" s="115">
        <f t="shared" si="154"/>
        <v>108.40698693615195</v>
      </c>
      <c r="L544" s="115">
        <f t="shared" si="155"/>
        <v>241.97000570664287</v>
      </c>
      <c r="M544" s="115">
        <f t="shared" si="156"/>
        <v>284.0430910448037</v>
      </c>
      <c r="N544" s="115">
        <f t="shared" si="157"/>
        <v>310.1677104917481</v>
      </c>
      <c r="O544" s="115">
        <f t="shared" si="158"/>
        <v>259.04632810078056</v>
      </c>
      <c r="P544" s="115">
        <f t="shared" si="159"/>
        <v>289.80142601097259</v>
      </c>
      <c r="Q544" s="115">
        <f t="shared" si="160"/>
        <v>34.406225059177849</v>
      </c>
    </row>
    <row r="545" spans="1:17" x14ac:dyDescent="0.25">
      <c r="A545" s="114">
        <f t="shared" si="151"/>
        <v>44580</v>
      </c>
      <c r="B545">
        <f t="shared" si="144"/>
        <v>5.5</v>
      </c>
      <c r="C545" s="109">
        <f t="shared" si="145"/>
        <v>19.066666666666666</v>
      </c>
      <c r="D545" s="109">
        <f t="shared" si="146"/>
        <v>72.86666666666666</v>
      </c>
      <c r="E545" s="107">
        <f t="shared" si="147"/>
        <v>44580.194444444445</v>
      </c>
      <c r="F545" s="106">
        <f t="shared" si="149"/>
        <v>44580.301905218665</v>
      </c>
      <c r="G545" t="str">
        <f t="shared" si="148"/>
        <v>Wednesday</v>
      </c>
      <c r="H545" s="129">
        <v>0.42361111111111099</v>
      </c>
      <c r="I545" s="115">
        <f t="shared" si="152"/>
        <v>324.87814413050569</v>
      </c>
      <c r="J545" s="115">
        <f t="shared" si="153"/>
        <v>274.90636256851752</v>
      </c>
      <c r="K545" s="115">
        <f t="shared" si="154"/>
        <v>108.44998379621975</v>
      </c>
      <c r="L545" s="115">
        <f t="shared" si="155"/>
        <v>241.97251244247084</v>
      </c>
      <c r="M545" s="115">
        <f t="shared" si="156"/>
        <v>284.04001952514363</v>
      </c>
      <c r="N545" s="115">
        <f t="shared" si="157"/>
        <v>310.16847056527371</v>
      </c>
      <c r="O545" s="115">
        <f t="shared" si="158"/>
        <v>259.04490114839581</v>
      </c>
      <c r="P545" s="115">
        <f t="shared" si="159"/>
        <v>289.80183285665191</v>
      </c>
      <c r="Q545" s="115">
        <f t="shared" si="160"/>
        <v>34.406041059175408</v>
      </c>
    </row>
    <row r="546" spans="1:17" x14ac:dyDescent="0.25">
      <c r="A546" s="114">
        <f t="shared" si="151"/>
        <v>44580</v>
      </c>
      <c r="B546">
        <f t="shared" si="144"/>
        <v>5.5</v>
      </c>
      <c r="C546" s="109">
        <f t="shared" si="145"/>
        <v>19.066666666666666</v>
      </c>
      <c r="D546" s="109">
        <f t="shared" si="146"/>
        <v>72.86666666666666</v>
      </c>
      <c r="E546" s="107">
        <f t="shared" si="147"/>
        <v>44580.197916666672</v>
      </c>
      <c r="F546" s="106">
        <f t="shared" si="149"/>
        <v>44580.301905218665</v>
      </c>
      <c r="G546" t="str">
        <f t="shared" si="148"/>
        <v>Wednesday</v>
      </c>
      <c r="H546" s="129">
        <v>0.42708333333333298</v>
      </c>
      <c r="I546" s="115">
        <f t="shared" si="152"/>
        <v>326.47347380163831</v>
      </c>
      <c r="J546" s="115">
        <f t="shared" si="153"/>
        <v>274.90989596416955</v>
      </c>
      <c r="K546" s="115">
        <f t="shared" si="154"/>
        <v>108.49298274525604</v>
      </c>
      <c r="L546" s="115">
        <f t="shared" si="155"/>
        <v>241.97501918550245</v>
      </c>
      <c r="M546" s="115">
        <f t="shared" si="156"/>
        <v>284.03694607069667</v>
      </c>
      <c r="N546" s="115">
        <f t="shared" si="157"/>
        <v>310.16923065115566</v>
      </c>
      <c r="O546" s="115">
        <f t="shared" si="158"/>
        <v>259.04347462506644</v>
      </c>
      <c r="P546" s="115">
        <f t="shared" si="159"/>
        <v>289.80223970658267</v>
      </c>
      <c r="Q546" s="115">
        <f t="shared" si="160"/>
        <v>34.405857059255744</v>
      </c>
    </row>
    <row r="547" spans="1:17" x14ac:dyDescent="0.25">
      <c r="A547" s="114">
        <f t="shared" si="151"/>
        <v>44580</v>
      </c>
      <c r="B547">
        <f t="shared" si="144"/>
        <v>5.5</v>
      </c>
      <c r="C547" s="109">
        <f t="shared" si="145"/>
        <v>19.066666666666666</v>
      </c>
      <c r="D547" s="109">
        <f t="shared" si="146"/>
        <v>72.86666666666666</v>
      </c>
      <c r="E547" s="107">
        <f t="shared" si="147"/>
        <v>44580.201388888891</v>
      </c>
      <c r="F547" s="106">
        <f t="shared" si="149"/>
        <v>44580.301905218665</v>
      </c>
      <c r="G547" t="str">
        <f t="shared" si="148"/>
        <v>Wednesday</v>
      </c>
      <c r="H547" s="129">
        <v>0.43055555555555503</v>
      </c>
      <c r="I547" s="115">
        <f t="shared" si="152"/>
        <v>328.07212966673472</v>
      </c>
      <c r="J547" s="115">
        <f t="shared" si="153"/>
        <v>274.91342935854613</v>
      </c>
      <c r="K547" s="115">
        <f t="shared" si="154"/>
        <v>108.53598379511189</v>
      </c>
      <c r="L547" s="115">
        <f t="shared" si="155"/>
        <v>241.97752593649287</v>
      </c>
      <c r="M547" s="115">
        <f t="shared" si="156"/>
        <v>284.03387068165978</v>
      </c>
      <c r="N547" s="115">
        <f t="shared" si="157"/>
        <v>310.16999074950809</v>
      </c>
      <c r="O547" s="115">
        <f t="shared" si="158"/>
        <v>259.04204853052346</v>
      </c>
      <c r="P547" s="115">
        <f t="shared" si="159"/>
        <v>289.80264655994085</v>
      </c>
      <c r="Q547" s="115">
        <f t="shared" si="160"/>
        <v>34.405673059269809</v>
      </c>
    </row>
    <row r="548" spans="1:17" x14ac:dyDescent="0.25">
      <c r="A548" s="114">
        <f t="shared" si="151"/>
        <v>44580</v>
      </c>
      <c r="B548">
        <f t="shared" si="144"/>
        <v>5.5</v>
      </c>
      <c r="C548" s="109">
        <f t="shared" si="145"/>
        <v>19.066666666666666</v>
      </c>
      <c r="D548" s="109">
        <f t="shared" si="146"/>
        <v>72.86666666666666</v>
      </c>
      <c r="E548" s="107">
        <f t="shared" si="147"/>
        <v>44580.204861111117</v>
      </c>
      <c r="F548" s="106">
        <f t="shared" si="149"/>
        <v>44580.301905218665</v>
      </c>
      <c r="G548" t="str">
        <f t="shared" si="148"/>
        <v>Wednesday</v>
      </c>
      <c r="H548" s="129">
        <v>0.43402777777777801</v>
      </c>
      <c r="I548" s="115">
        <f t="shared" si="152"/>
        <v>329.67356204331344</v>
      </c>
      <c r="J548" s="115">
        <f t="shared" si="153"/>
        <v>274.91696275078846</v>
      </c>
      <c r="K548" s="115">
        <f t="shared" si="154"/>
        <v>108.57898693456052</v>
      </c>
      <c r="L548" s="115">
        <f t="shared" si="155"/>
        <v>241.98003269488621</v>
      </c>
      <c r="M548" s="115">
        <f t="shared" si="156"/>
        <v>284.0307933593304</v>
      </c>
      <c r="N548" s="115">
        <f t="shared" si="157"/>
        <v>310.17075086094138</v>
      </c>
      <c r="O548" s="115">
        <f t="shared" si="158"/>
        <v>259.04062286522725</v>
      </c>
      <c r="P548" s="115">
        <f t="shared" si="159"/>
        <v>289.8030534171765</v>
      </c>
      <c r="Q548" s="115">
        <f t="shared" si="160"/>
        <v>34.405489059317027</v>
      </c>
    </row>
    <row r="549" spans="1:17" x14ac:dyDescent="0.25">
      <c r="A549" s="114">
        <f t="shared" si="151"/>
        <v>44580</v>
      </c>
      <c r="B549">
        <f t="shared" si="144"/>
        <v>5.5</v>
      </c>
      <c r="C549" s="109">
        <f t="shared" si="145"/>
        <v>19.066666666666666</v>
      </c>
      <c r="D549" s="109">
        <f t="shared" si="146"/>
        <v>72.86666666666666</v>
      </c>
      <c r="E549" s="107">
        <f t="shared" si="147"/>
        <v>44580.208333333336</v>
      </c>
      <c r="F549" s="106">
        <f t="shared" si="149"/>
        <v>44580.301905218665</v>
      </c>
      <c r="G549" t="str">
        <f t="shared" si="148"/>
        <v>Wednesday</v>
      </c>
      <c r="H549" s="129">
        <v>0.4375</v>
      </c>
      <c r="I549" s="115">
        <f t="shared" si="152"/>
        <v>331.27721083722804</v>
      </c>
      <c r="J549" s="115">
        <f t="shared" si="153"/>
        <v>274.92049614179814</v>
      </c>
      <c r="K549" s="115">
        <f t="shared" si="154"/>
        <v>108.62199217539697</v>
      </c>
      <c r="L549" s="115">
        <f t="shared" si="155"/>
        <v>241.98253946121244</v>
      </c>
      <c r="M549" s="115">
        <f t="shared" si="156"/>
        <v>284.02771410430074</v>
      </c>
      <c r="N549" s="115">
        <f t="shared" si="157"/>
        <v>310.17151098478638</v>
      </c>
      <c r="O549" s="115">
        <f t="shared" si="158"/>
        <v>259.03919762869145</v>
      </c>
      <c r="P549" s="115">
        <f t="shared" si="159"/>
        <v>289.80346027889777</v>
      </c>
      <c r="Q549" s="115">
        <f t="shared" si="160"/>
        <v>34.405305059347654</v>
      </c>
    </row>
    <row r="550" spans="1:17" x14ac:dyDescent="0.25">
      <c r="A550" s="114">
        <f t="shared" si="151"/>
        <v>44580</v>
      </c>
      <c r="B550">
        <f t="shared" si="144"/>
        <v>5.5</v>
      </c>
      <c r="C550" s="109">
        <f t="shared" si="145"/>
        <v>19.066666666666666</v>
      </c>
      <c r="D550" s="109">
        <f t="shared" si="146"/>
        <v>72.86666666666666</v>
      </c>
      <c r="E550" s="107">
        <f t="shared" si="147"/>
        <v>44580.211805555555</v>
      </c>
      <c r="F550" s="106">
        <f t="shared" si="149"/>
        <v>44580.301905218665</v>
      </c>
      <c r="G550" t="str">
        <f t="shared" si="148"/>
        <v>Wednesday</v>
      </c>
      <c r="H550" s="129">
        <v>0.44097222222222199</v>
      </c>
      <c r="I550" s="115">
        <f t="shared" si="152"/>
        <v>332.88250603533498</v>
      </c>
      <c r="J550" s="115">
        <f t="shared" si="153"/>
        <v>274.92402953062606</v>
      </c>
      <c r="K550" s="115">
        <f t="shared" si="154"/>
        <v>108.66499950653291</v>
      </c>
      <c r="L550" s="115">
        <f t="shared" si="155"/>
        <v>241.98504623495359</v>
      </c>
      <c r="M550" s="115">
        <f t="shared" si="156"/>
        <v>284.02463291818498</v>
      </c>
      <c r="N550" s="115">
        <f t="shared" si="157"/>
        <v>310.17227112098368</v>
      </c>
      <c r="O550" s="115">
        <f t="shared" si="158"/>
        <v>259.03777282161565</v>
      </c>
      <c r="P550" s="115">
        <f t="shared" si="159"/>
        <v>289.80386714414124</v>
      </c>
      <c r="Q550" s="115">
        <f t="shared" si="160"/>
        <v>34.405121059394865</v>
      </c>
    </row>
    <row r="551" spans="1:17" x14ac:dyDescent="0.25">
      <c r="A551" s="114">
        <f t="shared" si="151"/>
        <v>44580</v>
      </c>
      <c r="B551">
        <f t="shared" si="144"/>
        <v>5.5</v>
      </c>
      <c r="C551" s="109">
        <f t="shared" si="145"/>
        <v>19.066666666666666</v>
      </c>
      <c r="D551" s="109">
        <f t="shared" si="146"/>
        <v>72.86666666666666</v>
      </c>
      <c r="E551" s="107">
        <f t="shared" si="147"/>
        <v>44580.215277777781</v>
      </c>
      <c r="F551" s="106">
        <f t="shared" si="149"/>
        <v>44580.301905218665</v>
      </c>
      <c r="G551" t="str">
        <f t="shared" si="148"/>
        <v>Wednesday</v>
      </c>
      <c r="H551" s="129">
        <v>0.44444444444444398</v>
      </c>
      <c r="I551" s="115">
        <f t="shared" si="152"/>
        <v>334.48887171058573</v>
      </c>
      <c r="J551" s="115">
        <f t="shared" si="153"/>
        <v>274.92756291835406</v>
      </c>
      <c r="K551" s="115">
        <f t="shared" si="154"/>
        <v>108.70800893972113</v>
      </c>
      <c r="L551" s="115">
        <f t="shared" si="155"/>
        <v>241.98755301677647</v>
      </c>
      <c r="M551" s="115">
        <f t="shared" si="156"/>
        <v>284.02154980100568</v>
      </c>
      <c r="N551" s="115">
        <f t="shared" si="157"/>
        <v>310.17303127066043</v>
      </c>
      <c r="O551" s="115">
        <f t="shared" si="158"/>
        <v>259.0363484436707</v>
      </c>
      <c r="P551" s="115">
        <f t="shared" si="159"/>
        <v>289.80427401386282</v>
      </c>
      <c r="Q551" s="115">
        <f t="shared" si="160"/>
        <v>34.404937059375825</v>
      </c>
    </row>
    <row r="552" spans="1:17" x14ac:dyDescent="0.25">
      <c r="A552" s="114">
        <f t="shared" si="151"/>
        <v>44580</v>
      </c>
      <c r="B552">
        <f t="shared" si="144"/>
        <v>5.5</v>
      </c>
      <c r="C552" s="109">
        <f t="shared" si="145"/>
        <v>19.066666666666666</v>
      </c>
      <c r="D552" s="109">
        <f t="shared" si="146"/>
        <v>72.86666666666666</v>
      </c>
      <c r="E552" s="107">
        <f t="shared" si="147"/>
        <v>44580.21875</v>
      </c>
      <c r="F552" s="106">
        <f t="shared" si="149"/>
        <v>44580.301905218665</v>
      </c>
      <c r="G552" t="str">
        <f t="shared" si="148"/>
        <v>Wednesday</v>
      </c>
      <c r="H552" s="129">
        <v>0.44791666666666602</v>
      </c>
      <c r="I552" s="115">
        <f t="shared" si="152"/>
        <v>336.09572665719355</v>
      </c>
      <c r="J552" s="115">
        <f t="shared" si="153"/>
        <v>274.93109630364523</v>
      </c>
      <c r="K552" s="115">
        <f t="shared" si="154"/>
        <v>108.75102046378021</v>
      </c>
      <c r="L552" s="115">
        <f t="shared" si="155"/>
        <v>241.99005980561705</v>
      </c>
      <c r="M552" s="115">
        <f t="shared" si="156"/>
        <v>284.01846475489941</v>
      </c>
      <c r="N552" s="115">
        <f t="shared" si="157"/>
        <v>310.17379143207478</v>
      </c>
      <c r="O552" s="115">
        <f t="shared" si="158"/>
        <v>259.03492449526073</v>
      </c>
      <c r="P552" s="115">
        <f t="shared" si="159"/>
        <v>289.80468088646171</v>
      </c>
      <c r="Q552" s="115">
        <f t="shared" si="160"/>
        <v>34.404753059439585</v>
      </c>
    </row>
    <row r="553" spans="1:17" x14ac:dyDescent="0.25">
      <c r="A553" s="114">
        <f t="shared" si="151"/>
        <v>44580</v>
      </c>
      <c r="B553">
        <f t="shared" si="144"/>
        <v>5.5</v>
      </c>
      <c r="C553" s="109">
        <f t="shared" si="145"/>
        <v>19.066666666666666</v>
      </c>
      <c r="D553" s="109">
        <f t="shared" si="146"/>
        <v>72.86666666666666</v>
      </c>
      <c r="E553" s="107">
        <f t="shared" si="147"/>
        <v>44580.222222222226</v>
      </c>
      <c r="F553" s="106">
        <f t="shared" si="149"/>
        <v>44580.301905218665</v>
      </c>
      <c r="G553" t="str">
        <f t="shared" si="148"/>
        <v>Wednesday</v>
      </c>
      <c r="H553" s="129">
        <v>0.45138888888888801</v>
      </c>
      <c r="I553" s="115">
        <f t="shared" si="152"/>
        <v>337.70248828718576</v>
      </c>
      <c r="J553" s="115">
        <f t="shared" si="153"/>
        <v>274.93462968736048</v>
      </c>
      <c r="K553" s="115">
        <f t="shared" si="154"/>
        <v>108.79403408477414</v>
      </c>
      <c r="L553" s="115">
        <f t="shared" si="155"/>
        <v>241.99256660228932</v>
      </c>
      <c r="M553" s="115">
        <f t="shared" si="156"/>
        <v>284.01537778019139</v>
      </c>
      <c r="N553" s="115">
        <f t="shared" si="157"/>
        <v>310.17455160650042</v>
      </c>
      <c r="O553" s="115">
        <f t="shared" si="158"/>
        <v>259.03350097618375</v>
      </c>
      <c r="P553" s="115">
        <f t="shared" si="159"/>
        <v>289.80508776335813</v>
      </c>
      <c r="Q553" s="115">
        <f t="shared" si="160"/>
        <v>34.404569059486803</v>
      </c>
    </row>
    <row r="554" spans="1:17" x14ac:dyDescent="0.25">
      <c r="A554" s="114">
        <f t="shared" si="151"/>
        <v>44580</v>
      </c>
      <c r="B554">
        <f t="shared" si="144"/>
        <v>5.5</v>
      </c>
      <c r="C554" s="109">
        <f t="shared" si="145"/>
        <v>19.066666666666666</v>
      </c>
      <c r="D554" s="109">
        <f t="shared" si="146"/>
        <v>72.86666666666666</v>
      </c>
      <c r="E554" s="107">
        <f t="shared" si="147"/>
        <v>44580.225694444445</v>
      </c>
      <c r="F554" s="106">
        <f t="shared" si="149"/>
        <v>44580.301905218665</v>
      </c>
      <c r="G554" t="str">
        <f t="shared" si="148"/>
        <v>Wednesday</v>
      </c>
      <c r="H554" s="129">
        <v>0.45486111111110999</v>
      </c>
      <c r="I554" s="115">
        <f t="shared" si="152"/>
        <v>339.30857440141381</v>
      </c>
      <c r="J554" s="115">
        <f t="shared" si="153"/>
        <v>274.93816306983149</v>
      </c>
      <c r="K554" s="115">
        <f t="shared" si="154"/>
        <v>108.83704980877421</v>
      </c>
      <c r="L554" s="115">
        <f t="shared" si="155"/>
        <v>241.99507340693964</v>
      </c>
      <c r="M554" s="115">
        <f t="shared" si="156"/>
        <v>284.01228887745344</v>
      </c>
      <c r="N554" s="115">
        <f t="shared" si="157"/>
        <v>310.17531179386066</v>
      </c>
      <c r="O554" s="115">
        <f t="shared" si="158"/>
        <v>259.03207788659682</v>
      </c>
      <c r="P554" s="115">
        <f t="shared" si="159"/>
        <v>289.80549464439127</v>
      </c>
      <c r="Q554" s="115">
        <f t="shared" si="160"/>
        <v>34.404385059500925</v>
      </c>
    </row>
    <row r="555" spans="1:17" x14ac:dyDescent="0.25">
      <c r="A555" s="114">
        <f t="shared" si="151"/>
        <v>44580</v>
      </c>
      <c r="B555">
        <f t="shared" si="144"/>
        <v>5.5</v>
      </c>
      <c r="C555" s="109">
        <f t="shared" si="145"/>
        <v>19.066666666666666</v>
      </c>
      <c r="D555" s="109">
        <f t="shared" si="146"/>
        <v>72.86666666666666</v>
      </c>
      <c r="E555" s="107">
        <f t="shared" si="147"/>
        <v>44580.229166666672</v>
      </c>
      <c r="F555" s="106">
        <f t="shared" si="149"/>
        <v>44580.301905218665</v>
      </c>
      <c r="G555" t="str">
        <f t="shared" si="148"/>
        <v>Wednesday</v>
      </c>
      <c r="H555" s="129">
        <v>0.45833333333333198</v>
      </c>
      <c r="I555" s="115">
        <f t="shared" si="152"/>
        <v>340.91340494761783</v>
      </c>
      <c r="J555" s="115">
        <f t="shared" si="153"/>
        <v>274.94169645012983</v>
      </c>
      <c r="K555" s="115">
        <f t="shared" si="154"/>
        <v>108.8800676245942</v>
      </c>
      <c r="L555" s="115">
        <f t="shared" si="155"/>
        <v>241.99758021889036</v>
      </c>
      <c r="M555" s="115">
        <f t="shared" si="156"/>
        <v>284.00919804857421</v>
      </c>
      <c r="N555" s="115">
        <f t="shared" si="157"/>
        <v>310.17607199327477</v>
      </c>
      <c r="O555" s="115">
        <f t="shared" si="158"/>
        <v>259.03065522664991</v>
      </c>
      <c r="P555" s="115">
        <f t="shared" si="159"/>
        <v>289.80590152905808</v>
      </c>
      <c r="Q555" s="115">
        <f t="shared" si="160"/>
        <v>34.404201059564656</v>
      </c>
    </row>
    <row r="556" spans="1:17" x14ac:dyDescent="0.25">
      <c r="A556" s="114">
        <f t="shared" si="151"/>
        <v>44580</v>
      </c>
      <c r="B556">
        <f t="shared" si="144"/>
        <v>5.5</v>
      </c>
      <c r="C556" s="109">
        <f t="shared" si="145"/>
        <v>19.066666666666666</v>
      </c>
      <c r="D556" s="109">
        <f t="shared" si="146"/>
        <v>72.86666666666666</v>
      </c>
      <c r="E556" s="107">
        <f t="shared" si="147"/>
        <v>44580.232638888891</v>
      </c>
      <c r="F556" s="106">
        <f t="shared" si="149"/>
        <v>44580.301905218665</v>
      </c>
      <c r="G556" t="str">
        <f t="shared" si="148"/>
        <v>Wednesday</v>
      </c>
      <c r="H556" s="129">
        <v>0.46180555555555403</v>
      </c>
      <c r="I556" s="115">
        <f t="shared" si="152"/>
        <v>342.51640591480083</v>
      </c>
      <c r="J556" s="115">
        <f t="shared" si="153"/>
        <v>274.94522982919227</v>
      </c>
      <c r="K556" s="115">
        <f t="shared" si="154"/>
        <v>108.92308754404014</v>
      </c>
      <c r="L556" s="115">
        <f t="shared" si="155"/>
        <v>242.00008703892198</v>
      </c>
      <c r="M556" s="115">
        <f t="shared" si="156"/>
        <v>284.00610529371875</v>
      </c>
      <c r="N556" s="115">
        <f t="shared" si="157"/>
        <v>310.17683220581654</v>
      </c>
      <c r="O556" s="115">
        <f t="shared" si="158"/>
        <v>259.02923299637831</v>
      </c>
      <c r="P556" s="115">
        <f t="shared" si="159"/>
        <v>289.80630841814531</v>
      </c>
      <c r="Q556" s="115">
        <f t="shared" si="160"/>
        <v>34.404017059595283</v>
      </c>
    </row>
    <row r="557" spans="1:17" x14ac:dyDescent="0.25">
      <c r="A557" s="114">
        <f t="shared" si="151"/>
        <v>44580</v>
      </c>
      <c r="B557">
        <f t="shared" si="144"/>
        <v>5.5</v>
      </c>
      <c r="C557" s="109">
        <f t="shared" si="145"/>
        <v>19.066666666666666</v>
      </c>
      <c r="D557" s="109">
        <f t="shared" si="146"/>
        <v>72.86666666666666</v>
      </c>
      <c r="E557" s="107">
        <f t="shared" si="147"/>
        <v>44580.236111111117</v>
      </c>
      <c r="F557" s="106">
        <f t="shared" si="149"/>
        <v>44580.301905218665</v>
      </c>
      <c r="G557" t="str">
        <f t="shared" si="148"/>
        <v>Wednesday</v>
      </c>
      <c r="H557" s="129">
        <v>0.46527777777777601</v>
      </c>
      <c r="I557" s="115">
        <f t="shared" si="152"/>
        <v>344.1170099445323</v>
      </c>
      <c r="J557" s="115">
        <f t="shared" si="153"/>
        <v>274.94876320619886</v>
      </c>
      <c r="K557" s="115">
        <f t="shared" si="154"/>
        <v>108.96610955596155</v>
      </c>
      <c r="L557" s="115">
        <f t="shared" si="155"/>
        <v>242.00259386637785</v>
      </c>
      <c r="M557" s="115">
        <f t="shared" si="156"/>
        <v>284.00301061451188</v>
      </c>
      <c r="N557" s="115">
        <f t="shared" si="157"/>
        <v>310.17759243102546</v>
      </c>
      <c r="O557" s="115">
        <f t="shared" si="158"/>
        <v>259.0278111959459</v>
      </c>
      <c r="P557" s="115">
        <f t="shared" si="159"/>
        <v>289.80671531059369</v>
      </c>
      <c r="Q557" s="115">
        <f t="shared" si="160"/>
        <v>34.403833059625946</v>
      </c>
    </row>
    <row r="558" spans="1:17" x14ac:dyDescent="0.25">
      <c r="A558" s="114">
        <f t="shared" si="151"/>
        <v>44580</v>
      </c>
      <c r="B558">
        <f t="shared" si="144"/>
        <v>5.5</v>
      </c>
      <c r="C558" s="109">
        <f t="shared" si="145"/>
        <v>19.066666666666666</v>
      </c>
      <c r="D558" s="109">
        <f t="shared" si="146"/>
        <v>72.86666666666666</v>
      </c>
      <c r="E558" s="107">
        <f t="shared" si="147"/>
        <v>44580.239583333336</v>
      </c>
      <c r="F558" s="106">
        <f t="shared" si="149"/>
        <v>44580.301905218665</v>
      </c>
      <c r="G558" t="str">
        <f t="shared" si="148"/>
        <v>Wednesday</v>
      </c>
      <c r="H558" s="129">
        <v>0.468749999999998</v>
      </c>
      <c r="I558" s="115">
        <f t="shared" si="152"/>
        <v>345.71466031384898</v>
      </c>
      <c r="J558" s="115">
        <f t="shared" si="153"/>
        <v>274.9522965817257</v>
      </c>
      <c r="K558" s="115">
        <f t="shared" si="154"/>
        <v>109.00913367210464</v>
      </c>
      <c r="L558" s="115">
        <f t="shared" si="155"/>
        <v>242.00510070148331</v>
      </c>
      <c r="M558" s="115">
        <f t="shared" si="156"/>
        <v>283.99991401130018</v>
      </c>
      <c r="N558" s="115">
        <f t="shared" si="157"/>
        <v>310.17835266856764</v>
      </c>
      <c r="O558" s="115">
        <f t="shared" si="158"/>
        <v>259.02638982526645</v>
      </c>
      <c r="P558" s="115">
        <f t="shared" si="159"/>
        <v>289.80712220715185</v>
      </c>
      <c r="Q558" s="115">
        <f t="shared" si="160"/>
        <v>34.40364905965663</v>
      </c>
    </row>
    <row r="559" spans="1:17" x14ac:dyDescent="0.25">
      <c r="A559" s="114">
        <f t="shared" si="151"/>
        <v>44580</v>
      </c>
      <c r="B559">
        <f t="shared" si="144"/>
        <v>5.5</v>
      </c>
      <c r="C559" s="109">
        <f t="shared" si="145"/>
        <v>19.066666666666666</v>
      </c>
      <c r="D559" s="109">
        <f t="shared" si="146"/>
        <v>72.86666666666666</v>
      </c>
      <c r="E559" s="107">
        <f t="shared" si="147"/>
        <v>44580.243055555555</v>
      </c>
      <c r="F559" s="106">
        <f t="shared" si="149"/>
        <v>44580.301905218665</v>
      </c>
      <c r="G559" t="str">
        <f t="shared" si="148"/>
        <v>Wednesday</v>
      </c>
      <c r="H559" s="129">
        <v>0.47222222222221999</v>
      </c>
      <c r="I559" s="115">
        <f t="shared" si="152"/>
        <v>347.3088113980553</v>
      </c>
      <c r="J559" s="115">
        <f t="shared" si="153"/>
        <v>274.95582995519283</v>
      </c>
      <c r="K559" s="115">
        <f t="shared" si="154"/>
        <v>109.05215988131387</v>
      </c>
      <c r="L559" s="115">
        <f t="shared" si="155"/>
        <v>242.0076075440677</v>
      </c>
      <c r="M559" s="115">
        <f t="shared" si="156"/>
        <v>283.99681548582237</v>
      </c>
      <c r="N559" s="115">
        <f t="shared" si="157"/>
        <v>310.17911291869643</v>
      </c>
      <c r="O559" s="115">
        <f t="shared" si="158"/>
        <v>259.02496888460689</v>
      </c>
      <c r="P559" s="115">
        <f t="shared" si="159"/>
        <v>289.8075291072106</v>
      </c>
      <c r="Q559" s="115">
        <f t="shared" si="160"/>
        <v>34.403465059703848</v>
      </c>
    </row>
    <row r="560" spans="1:17" x14ac:dyDescent="0.25">
      <c r="A560" s="114">
        <f t="shared" si="151"/>
        <v>44580</v>
      </c>
      <c r="B560">
        <f t="shared" si="144"/>
        <v>5.5</v>
      </c>
      <c r="C560" s="109">
        <f t="shared" si="145"/>
        <v>19.066666666666666</v>
      </c>
      <c r="D560" s="109">
        <f t="shared" si="146"/>
        <v>72.86666666666666</v>
      </c>
      <c r="E560" s="107">
        <f t="shared" si="147"/>
        <v>44580.246527777781</v>
      </c>
      <c r="F560" s="106">
        <f t="shared" si="149"/>
        <v>44580.301905218665</v>
      </c>
      <c r="G560" t="str">
        <f t="shared" si="148"/>
        <v>Wednesday</v>
      </c>
      <c r="H560" s="129">
        <v>0.47569444444444198</v>
      </c>
      <c r="I560" s="115">
        <f t="shared" si="152"/>
        <v>348.89893244738266</v>
      </c>
      <c r="J560" s="115">
        <f t="shared" si="153"/>
        <v>274.95936332743105</v>
      </c>
      <c r="K560" s="115">
        <f t="shared" si="154"/>
        <v>109.09518819539848</v>
      </c>
      <c r="L560" s="115">
        <f t="shared" si="155"/>
        <v>242.01011439468215</v>
      </c>
      <c r="M560" s="115">
        <f t="shared" si="156"/>
        <v>283.99371503826535</v>
      </c>
      <c r="N560" s="115">
        <f t="shared" si="157"/>
        <v>310.17987318169827</v>
      </c>
      <c r="O560" s="115">
        <f t="shared" si="158"/>
        <v>259.0235483739495</v>
      </c>
      <c r="P560" s="115">
        <f t="shared" si="159"/>
        <v>289.80793601170001</v>
      </c>
      <c r="Q560" s="115">
        <f t="shared" si="160"/>
        <v>34.40328105971787</v>
      </c>
    </row>
    <row r="561" spans="1:17" x14ac:dyDescent="0.25">
      <c r="A561" s="114">
        <f t="shared" si="151"/>
        <v>44580</v>
      </c>
      <c r="B561">
        <f t="shared" si="144"/>
        <v>5.5</v>
      </c>
      <c r="C561" s="109">
        <f t="shared" si="145"/>
        <v>19.066666666666666</v>
      </c>
      <c r="D561" s="109">
        <f t="shared" si="146"/>
        <v>72.86666666666666</v>
      </c>
      <c r="E561" s="107">
        <f t="shared" si="147"/>
        <v>44580.25</v>
      </c>
      <c r="F561" s="106">
        <f t="shared" si="149"/>
        <v>44580.301905218665</v>
      </c>
      <c r="G561" t="str">
        <f t="shared" si="148"/>
        <v>Wednesday</v>
      </c>
      <c r="H561" s="129">
        <v>0.47916666666666402</v>
      </c>
      <c r="I561" s="115">
        <f t="shared" si="152"/>
        <v>350.48450782447907</v>
      </c>
      <c r="J561" s="115">
        <f t="shared" si="153"/>
        <v>274.96289669749603</v>
      </c>
      <c r="K561" s="115">
        <f t="shared" si="154"/>
        <v>109.1382186031754</v>
      </c>
      <c r="L561" s="115">
        <f t="shared" si="155"/>
        <v>242.01262125257057</v>
      </c>
      <c r="M561" s="115">
        <f t="shared" si="156"/>
        <v>283.99061267036114</v>
      </c>
      <c r="N561" s="115">
        <f t="shared" si="157"/>
        <v>310.18063345713222</v>
      </c>
      <c r="O561" s="115">
        <f t="shared" si="158"/>
        <v>259.0221282934483</v>
      </c>
      <c r="P561" s="115">
        <f t="shared" si="159"/>
        <v>289.80834292012139</v>
      </c>
      <c r="Q561" s="115">
        <f t="shared" si="160"/>
        <v>34.403097059781629</v>
      </c>
    </row>
    <row r="562" spans="1:17" x14ac:dyDescent="0.25">
      <c r="A562" s="114">
        <f t="shared" si="151"/>
        <v>44580</v>
      </c>
      <c r="B562">
        <f t="shared" si="144"/>
        <v>5.5</v>
      </c>
      <c r="C562" s="109">
        <f t="shared" si="145"/>
        <v>19.066666666666666</v>
      </c>
      <c r="D562" s="109">
        <f t="shared" si="146"/>
        <v>72.86666666666666</v>
      </c>
      <c r="E562" s="107">
        <f t="shared" si="147"/>
        <v>44580.253472222226</v>
      </c>
      <c r="F562" s="106">
        <f t="shared" si="149"/>
        <v>44580.301905218665</v>
      </c>
      <c r="G562" t="str">
        <f t="shared" si="148"/>
        <v>Wednesday</v>
      </c>
      <c r="H562" s="129">
        <v>0.48263888888888601</v>
      </c>
      <c r="I562" s="115">
        <f t="shared" si="152"/>
        <v>352.0650402972143</v>
      </c>
      <c r="J562" s="115">
        <f t="shared" si="153"/>
        <v>274.96643006590517</v>
      </c>
      <c r="K562" s="115">
        <f t="shared" si="154"/>
        <v>109.18125111070124</v>
      </c>
      <c r="L562" s="115">
        <f t="shared" si="155"/>
        <v>242.01512811829087</v>
      </c>
      <c r="M562" s="115">
        <f t="shared" si="156"/>
        <v>283.98750838261913</v>
      </c>
      <c r="N562" s="115">
        <f t="shared" si="157"/>
        <v>310.18139374556182</v>
      </c>
      <c r="O562" s="115">
        <f t="shared" si="158"/>
        <v>259.02070864319671</v>
      </c>
      <c r="P562" s="115">
        <f t="shared" si="159"/>
        <v>289.80874983185043</v>
      </c>
      <c r="Q562" s="115">
        <f t="shared" si="160"/>
        <v>34.402913059828855</v>
      </c>
    </row>
    <row r="563" spans="1:17" x14ac:dyDescent="0.25">
      <c r="A563" s="114">
        <f t="shared" si="151"/>
        <v>44580</v>
      </c>
      <c r="B563">
        <f t="shared" si="144"/>
        <v>5.5</v>
      </c>
      <c r="C563" s="109">
        <f t="shared" si="145"/>
        <v>19.066666666666666</v>
      </c>
      <c r="D563" s="109">
        <f t="shared" si="146"/>
        <v>72.86666666666666</v>
      </c>
      <c r="E563" s="107">
        <f t="shared" si="147"/>
        <v>44580.256944444445</v>
      </c>
      <c r="F563" s="106">
        <f t="shared" si="149"/>
        <v>44580.301905218665</v>
      </c>
      <c r="G563" t="str">
        <f t="shared" si="148"/>
        <v>Wednesday</v>
      </c>
      <c r="H563" s="129">
        <v>0.486111111111108</v>
      </c>
      <c r="I563" s="115">
        <f t="shared" si="152"/>
        <v>353.64005205204921</v>
      </c>
      <c r="J563" s="115">
        <f t="shared" si="153"/>
        <v>274.96996343302368</v>
      </c>
      <c r="K563" s="115">
        <f t="shared" si="154"/>
        <v>109.22428572403851</v>
      </c>
      <c r="L563" s="115">
        <f t="shared" si="155"/>
        <v>242.01763499189198</v>
      </c>
      <c r="M563" s="115">
        <f t="shared" si="156"/>
        <v>283.98440217594458</v>
      </c>
      <c r="N563" s="115">
        <f t="shared" si="157"/>
        <v>310.18215404605047</v>
      </c>
      <c r="O563" s="115">
        <f t="shared" si="158"/>
        <v>259.01928942305659</v>
      </c>
      <c r="P563" s="115">
        <f t="shared" si="159"/>
        <v>289.80915674828117</v>
      </c>
      <c r="Q563" s="115">
        <f t="shared" si="160"/>
        <v>34.402729059842954</v>
      </c>
    </row>
    <row r="564" spans="1:17" x14ac:dyDescent="0.25">
      <c r="A564" s="114">
        <f t="shared" si="151"/>
        <v>44580</v>
      </c>
      <c r="B564">
        <f t="shared" si="144"/>
        <v>5.5</v>
      </c>
      <c r="C564" s="109">
        <f t="shared" si="145"/>
        <v>19.066666666666666</v>
      </c>
      <c r="D564" s="109">
        <f t="shared" si="146"/>
        <v>72.86666666666666</v>
      </c>
      <c r="E564" s="107">
        <f t="shared" si="147"/>
        <v>44580.260416666672</v>
      </c>
      <c r="F564" s="106">
        <f t="shared" si="149"/>
        <v>44580.301905218665</v>
      </c>
      <c r="G564" t="str">
        <f t="shared" si="148"/>
        <v>Wednesday</v>
      </c>
      <c r="H564" s="129">
        <v>0.48958333333332998</v>
      </c>
      <c r="I564" s="115">
        <f t="shared" si="152"/>
        <v>355.20908554813661</v>
      </c>
      <c r="J564" s="115">
        <f t="shared" si="153"/>
        <v>274.97349679791188</v>
      </c>
      <c r="K564" s="115">
        <f t="shared" si="154"/>
        <v>109.26732243199055</v>
      </c>
      <c r="L564" s="115">
        <f t="shared" si="155"/>
        <v>242.02014187264174</v>
      </c>
      <c r="M564" s="115">
        <f t="shared" si="156"/>
        <v>283.98129405194629</v>
      </c>
      <c r="N564" s="115">
        <f t="shared" si="157"/>
        <v>310.18291435970878</v>
      </c>
      <c r="O564" s="115">
        <f t="shared" si="158"/>
        <v>259.01787063351128</v>
      </c>
      <c r="P564" s="115">
        <f t="shared" si="159"/>
        <v>289.80956366857248</v>
      </c>
      <c r="Q564" s="115">
        <f t="shared" si="160"/>
        <v>34.402545059890201</v>
      </c>
    </row>
    <row r="565" spans="1:17" x14ac:dyDescent="0.25">
      <c r="A565" s="114">
        <f t="shared" si="151"/>
        <v>44580</v>
      </c>
      <c r="B565">
        <f t="shared" si="144"/>
        <v>5.5</v>
      </c>
      <c r="C565" s="109">
        <f t="shared" si="145"/>
        <v>19.066666666666666</v>
      </c>
      <c r="D565" s="109">
        <f t="shared" si="146"/>
        <v>72.86666666666666</v>
      </c>
      <c r="E565" s="107">
        <f t="shared" si="147"/>
        <v>44580.263888888891</v>
      </c>
      <c r="F565" s="106">
        <f t="shared" si="149"/>
        <v>44580.301905218665</v>
      </c>
      <c r="G565" t="str">
        <f t="shared" si="148"/>
        <v>Wednesday</v>
      </c>
      <c r="H565" s="129">
        <v>0.49305555555555203</v>
      </c>
      <c r="I565" s="115">
        <f t="shared" si="152"/>
        <v>356.77170631778955</v>
      </c>
      <c r="J565" s="115">
        <f t="shared" si="153"/>
        <v>274.97703016162586</v>
      </c>
      <c r="K565" s="115">
        <f t="shared" si="154"/>
        <v>109.3103612463587</v>
      </c>
      <c r="L565" s="115">
        <f t="shared" si="155"/>
        <v>242.02264876156778</v>
      </c>
      <c r="M565" s="115">
        <f t="shared" si="156"/>
        <v>283.97818401062671</v>
      </c>
      <c r="N565" s="115">
        <f t="shared" si="157"/>
        <v>310.1836746858267</v>
      </c>
      <c r="O565" s="115">
        <f t="shared" si="158"/>
        <v>259.01645227420204</v>
      </c>
      <c r="P565" s="115">
        <f t="shared" si="159"/>
        <v>289.80997059216924</v>
      </c>
      <c r="Q565" s="115">
        <f t="shared" si="160"/>
        <v>34.402361059904187</v>
      </c>
    </row>
    <row r="566" spans="1:17" x14ac:dyDescent="0.25">
      <c r="A566" s="114">
        <f t="shared" si="151"/>
        <v>44580</v>
      </c>
      <c r="B566">
        <f t="shared" si="144"/>
        <v>5.5</v>
      </c>
      <c r="C566" s="109">
        <f t="shared" si="145"/>
        <v>19.066666666666666</v>
      </c>
      <c r="D566" s="109">
        <f t="shared" si="146"/>
        <v>72.86666666666666</v>
      </c>
      <c r="E566" s="107">
        <f t="shared" si="147"/>
        <v>44580.267361111117</v>
      </c>
      <c r="F566" s="106">
        <f t="shared" si="149"/>
        <v>44580.301905218665</v>
      </c>
      <c r="G566" t="str">
        <f t="shared" si="148"/>
        <v>Wednesday</v>
      </c>
      <c r="H566" s="129">
        <v>0.49652777777777402</v>
      </c>
      <c r="I566" s="115">
        <f t="shared" si="152"/>
        <v>358.32750242631261</v>
      </c>
      <c r="J566" s="115">
        <f t="shared" si="153"/>
        <v>274.98056352316189</v>
      </c>
      <c r="K566" s="115">
        <f t="shared" si="154"/>
        <v>109.35340215594884</v>
      </c>
      <c r="L566" s="115">
        <f t="shared" si="155"/>
        <v>242.02515565777418</v>
      </c>
      <c r="M566" s="115">
        <f t="shared" si="156"/>
        <v>283.9750720540456</v>
      </c>
      <c r="N566" s="115">
        <f t="shared" si="157"/>
        <v>310.18443502435582</v>
      </c>
      <c r="O566" s="115">
        <f t="shared" si="158"/>
        <v>259.01503434561681</v>
      </c>
      <c r="P566" s="115">
        <f t="shared" si="159"/>
        <v>289.81037751962549</v>
      </c>
      <c r="Q566" s="115">
        <f t="shared" si="160"/>
        <v>34.402177059934871</v>
      </c>
    </row>
    <row r="567" spans="1:17" x14ac:dyDescent="0.25">
      <c r="A567" s="114">
        <f t="shared" si="151"/>
        <v>44580</v>
      </c>
      <c r="B567">
        <f t="shared" si="144"/>
        <v>5.5</v>
      </c>
      <c r="C567" s="109">
        <f t="shared" si="145"/>
        <v>19.066666666666666</v>
      </c>
      <c r="D567" s="109">
        <f t="shared" si="146"/>
        <v>72.86666666666666</v>
      </c>
      <c r="E567" s="107">
        <f t="shared" si="147"/>
        <v>44580.270833333336</v>
      </c>
      <c r="F567" s="106">
        <f t="shared" si="149"/>
        <v>44580.301905218665</v>
      </c>
      <c r="G567" t="str">
        <f t="shared" si="148"/>
        <v>Wednesday</v>
      </c>
      <c r="H567" s="129">
        <v>0.499999999999996</v>
      </c>
      <c r="I567" s="115">
        <f t="shared" si="152"/>
        <v>359.87608711356205</v>
      </c>
      <c r="J567" s="115">
        <f t="shared" si="153"/>
        <v>274.98409688346527</v>
      </c>
      <c r="K567" s="115">
        <f t="shared" si="154"/>
        <v>109.39644517263724</v>
      </c>
      <c r="L567" s="115">
        <f t="shared" si="155"/>
        <v>242.02766256191742</v>
      </c>
      <c r="M567" s="115">
        <f t="shared" si="156"/>
        <v>283.97195818209894</v>
      </c>
      <c r="N567" s="115">
        <f t="shared" si="157"/>
        <v>310.1851953759915</v>
      </c>
      <c r="O567" s="115">
        <f t="shared" si="158"/>
        <v>259.01361684745979</v>
      </c>
      <c r="P567" s="115">
        <f t="shared" si="159"/>
        <v>289.81078445179674</v>
      </c>
      <c r="Q567" s="115">
        <f t="shared" si="160"/>
        <v>34.40199305998209</v>
      </c>
    </row>
    <row r="568" spans="1:17" x14ac:dyDescent="0.25">
      <c r="A568" s="114">
        <f t="shared" si="151"/>
        <v>44580</v>
      </c>
      <c r="B568">
        <f t="shared" si="144"/>
        <v>5.5</v>
      </c>
      <c r="C568" s="109">
        <f t="shared" si="145"/>
        <v>19.066666666666666</v>
      </c>
      <c r="D568" s="109">
        <f t="shared" si="146"/>
        <v>72.86666666666666</v>
      </c>
      <c r="E568" s="107">
        <f t="shared" si="147"/>
        <v>44580.274305555555</v>
      </c>
      <c r="F568" s="106">
        <f t="shared" si="149"/>
        <v>44580.301905218665</v>
      </c>
      <c r="G568" t="str">
        <f t="shared" si="148"/>
        <v>Wednesday</v>
      </c>
      <c r="H568" s="129">
        <v>0.50347222222221799</v>
      </c>
      <c r="I568" s="115">
        <f t="shared" si="152"/>
        <v>1.4170979175823746</v>
      </c>
      <c r="J568" s="115">
        <f t="shared" si="153"/>
        <v>274.98763024171484</v>
      </c>
      <c r="K568" s="115">
        <f t="shared" si="154"/>
        <v>109.43949028515408</v>
      </c>
      <c r="L568" s="115">
        <f t="shared" si="155"/>
        <v>242.03016947369744</v>
      </c>
      <c r="M568" s="115">
        <f t="shared" si="156"/>
        <v>283.96884239683231</v>
      </c>
      <c r="N568" s="115">
        <f t="shared" si="157"/>
        <v>310.18595573978661</v>
      </c>
      <c r="O568" s="115">
        <f t="shared" si="158"/>
        <v>259.01219978023806</v>
      </c>
      <c r="P568" s="115">
        <f t="shared" si="159"/>
        <v>289.81119138693674</v>
      </c>
      <c r="Q568" s="115">
        <f t="shared" si="160"/>
        <v>34.401809060029322</v>
      </c>
    </row>
    <row r="569" spans="1:17" x14ac:dyDescent="0.25">
      <c r="A569" s="114">
        <f t="shared" si="151"/>
        <v>44580</v>
      </c>
      <c r="B569">
        <f t="shared" si="144"/>
        <v>5.5</v>
      </c>
      <c r="C569" s="109">
        <f t="shared" si="145"/>
        <v>19.066666666666666</v>
      </c>
      <c r="D569" s="109">
        <f t="shared" si="146"/>
        <v>72.86666666666666</v>
      </c>
      <c r="E569" s="107">
        <f t="shared" si="147"/>
        <v>44580.277777777781</v>
      </c>
      <c r="F569" s="106">
        <f t="shared" si="149"/>
        <v>44580.301905218665</v>
      </c>
      <c r="G569" t="str">
        <f t="shared" si="148"/>
        <v>Wednesday</v>
      </c>
      <c r="H569" s="129">
        <v>0.50694444444443998</v>
      </c>
      <c r="I569" s="115">
        <f t="shared" si="152"/>
        <v>2.9501989432051872</v>
      </c>
      <c r="J569" s="115">
        <f t="shared" si="153"/>
        <v>274.99116359860813</v>
      </c>
      <c r="K569" s="115">
        <f t="shared" si="154"/>
        <v>109.48253750534701</v>
      </c>
      <c r="L569" s="115">
        <f t="shared" si="155"/>
        <v>242.03267639324099</v>
      </c>
      <c r="M569" s="115">
        <f t="shared" si="156"/>
        <v>283.96572469840743</v>
      </c>
      <c r="N569" s="115">
        <f t="shared" si="157"/>
        <v>310.18671611661489</v>
      </c>
      <c r="O569" s="115">
        <f t="shared" si="158"/>
        <v>259.01078314356579</v>
      </c>
      <c r="P569" s="115">
        <f t="shared" si="159"/>
        <v>289.81159832654191</v>
      </c>
      <c r="Q569" s="115">
        <f t="shared" si="160"/>
        <v>34.401625060043401</v>
      </c>
    </row>
    <row r="570" spans="1:17" x14ac:dyDescent="0.25">
      <c r="A570" s="114">
        <f t="shared" si="151"/>
        <v>44580</v>
      </c>
      <c r="B570">
        <f t="shared" si="144"/>
        <v>5.5</v>
      </c>
      <c r="C570" s="109">
        <f t="shared" si="145"/>
        <v>19.066666666666666</v>
      </c>
      <c r="D570" s="109">
        <f t="shared" si="146"/>
        <v>72.86666666666666</v>
      </c>
      <c r="E570" s="107">
        <f t="shared" si="147"/>
        <v>44580.28125</v>
      </c>
      <c r="F570" s="106">
        <f t="shared" si="149"/>
        <v>44580.301905218665</v>
      </c>
      <c r="G570" t="str">
        <f t="shared" si="148"/>
        <v>Wednesday</v>
      </c>
      <c r="H570" s="129">
        <v>0.51041666666666197</v>
      </c>
      <c r="I570" s="115">
        <f t="shared" si="152"/>
        <v>4.4750796523378291</v>
      </c>
      <c r="J570" s="115">
        <f t="shared" si="153"/>
        <v>274.99469695321164</v>
      </c>
      <c r="K570" s="115">
        <f t="shared" si="154"/>
        <v>109.5255868219602</v>
      </c>
      <c r="L570" s="115">
        <f t="shared" si="155"/>
        <v>242.03518331986632</v>
      </c>
      <c r="M570" s="115">
        <f t="shared" si="156"/>
        <v>283.96260508863293</v>
      </c>
      <c r="N570" s="115">
        <f t="shared" si="157"/>
        <v>310.18747650529076</v>
      </c>
      <c r="O570" s="115">
        <f t="shared" si="158"/>
        <v>259.00936693801583</v>
      </c>
      <c r="P570" s="115">
        <f t="shared" si="159"/>
        <v>289.81200526989744</v>
      </c>
      <c r="Q570" s="115">
        <f t="shared" si="160"/>
        <v>34.401441060090562</v>
      </c>
    </row>
    <row r="571" spans="1:17" x14ac:dyDescent="0.25">
      <c r="A571" s="114">
        <f t="shared" si="151"/>
        <v>44580</v>
      </c>
      <c r="B571">
        <f t="shared" si="144"/>
        <v>5.5</v>
      </c>
      <c r="C571" s="109">
        <f t="shared" si="145"/>
        <v>19.066666666666666</v>
      </c>
      <c r="D571" s="109">
        <f t="shared" si="146"/>
        <v>72.86666666666666</v>
      </c>
      <c r="E571" s="107">
        <f t="shared" si="147"/>
        <v>44580.284722222226</v>
      </c>
      <c r="F571" s="106">
        <f t="shared" si="149"/>
        <v>44580.301905218665</v>
      </c>
      <c r="G571" t="str">
        <f t="shared" si="148"/>
        <v>Wednesday</v>
      </c>
      <c r="H571" s="129">
        <v>0.51388888888888395</v>
      </c>
      <c r="I571" s="115">
        <f t="shared" si="152"/>
        <v>5.9914565727137123</v>
      </c>
      <c r="J571" s="115">
        <f t="shared" si="153"/>
        <v>274.99823030623605</v>
      </c>
      <c r="K571" s="115">
        <f t="shared" si="154"/>
        <v>109.56863824111659</v>
      </c>
      <c r="L571" s="115">
        <f t="shared" si="155"/>
        <v>242.03769025436497</v>
      </c>
      <c r="M571" s="115">
        <f t="shared" si="156"/>
        <v>283.9594835679128</v>
      </c>
      <c r="N571" s="115">
        <f t="shared" si="157"/>
        <v>310.1882369072618</v>
      </c>
      <c r="O571" s="115">
        <f t="shared" si="158"/>
        <v>259.0079511633794</v>
      </c>
      <c r="P571" s="115">
        <f t="shared" si="159"/>
        <v>289.81241221694768</v>
      </c>
      <c r="Q571" s="115">
        <f t="shared" si="160"/>
        <v>34.401257060137787</v>
      </c>
    </row>
    <row r="572" spans="1:17" x14ac:dyDescent="0.25">
      <c r="A572" s="114">
        <f t="shared" si="151"/>
        <v>44580</v>
      </c>
      <c r="B572">
        <f t="shared" si="144"/>
        <v>5.5</v>
      </c>
      <c r="C572" s="109">
        <f t="shared" si="145"/>
        <v>19.066666666666666</v>
      </c>
      <c r="D572" s="109">
        <f t="shared" si="146"/>
        <v>72.86666666666666</v>
      </c>
      <c r="E572" s="107">
        <f t="shared" si="147"/>
        <v>44580.288194444445</v>
      </c>
      <c r="F572" s="106">
        <f t="shared" si="149"/>
        <v>44580.301905218665</v>
      </c>
      <c r="G572" t="str">
        <f t="shared" si="148"/>
        <v>Wednesday</v>
      </c>
      <c r="H572" s="129">
        <v>0.51736111111110605</v>
      </c>
      <c r="I572" s="115">
        <f t="shared" si="152"/>
        <v>7.4990727914633943</v>
      </c>
      <c r="J572" s="115">
        <f t="shared" si="153"/>
        <v>275.00176365802236</v>
      </c>
      <c r="K572" s="115">
        <f t="shared" si="154"/>
        <v>109.61169176887265</v>
      </c>
      <c r="L572" s="115">
        <f t="shared" si="155"/>
        <v>242.04019719691394</v>
      </c>
      <c r="M572" s="115">
        <f t="shared" si="156"/>
        <v>283.95636013706718</v>
      </c>
      <c r="N572" s="115">
        <f t="shared" si="157"/>
        <v>310.18899732190755</v>
      </c>
      <c r="O572" s="115">
        <f t="shared" si="158"/>
        <v>259.00653581958335</v>
      </c>
      <c r="P572" s="115">
        <f t="shared" si="159"/>
        <v>289.81281916814459</v>
      </c>
      <c r="Q572" s="115">
        <f t="shared" si="160"/>
        <v>34.401073060151894</v>
      </c>
    </row>
    <row r="573" spans="1:17" x14ac:dyDescent="0.25">
      <c r="A573" s="114">
        <f t="shared" si="151"/>
        <v>44580</v>
      </c>
      <c r="B573">
        <f t="shared" si="144"/>
        <v>5.5</v>
      </c>
      <c r="C573" s="109">
        <f t="shared" si="145"/>
        <v>19.066666666666666</v>
      </c>
      <c r="D573" s="109">
        <f t="shared" si="146"/>
        <v>72.86666666666666</v>
      </c>
      <c r="E573" s="107">
        <f t="shared" si="147"/>
        <v>44580.291666666672</v>
      </c>
      <c r="F573" s="106">
        <f t="shared" si="149"/>
        <v>44580.301905218665</v>
      </c>
      <c r="G573" t="str">
        <f t="shared" si="148"/>
        <v>Wednesday</v>
      </c>
      <c r="H573" s="129">
        <v>0.52083333333332804</v>
      </c>
      <c r="I573" s="115">
        <f t="shared" si="152"/>
        <v>8.9976973082993013</v>
      </c>
      <c r="J573" s="115">
        <f t="shared" si="153"/>
        <v>275.00529700763093</v>
      </c>
      <c r="K573" s="115">
        <f t="shared" si="154"/>
        <v>109.65474739402593</v>
      </c>
      <c r="L573" s="115">
        <f t="shared" si="155"/>
        <v>242.04270414676597</v>
      </c>
      <c r="M573" s="115">
        <f t="shared" si="156"/>
        <v>283.95323479768876</v>
      </c>
      <c r="N573" s="115">
        <f t="shared" si="157"/>
        <v>310.18975774898513</v>
      </c>
      <c r="O573" s="115">
        <f t="shared" si="158"/>
        <v>259.00512090709356</v>
      </c>
      <c r="P573" s="115">
        <f t="shared" si="159"/>
        <v>289.81322612299897</v>
      </c>
      <c r="Q573" s="115">
        <f t="shared" si="160"/>
        <v>34.40088906019912</v>
      </c>
    </row>
    <row r="574" spans="1:17" x14ac:dyDescent="0.25">
      <c r="A574" s="114">
        <f t="shared" si="151"/>
        <v>44580</v>
      </c>
      <c r="B574">
        <f t="shared" si="144"/>
        <v>5.5</v>
      </c>
      <c r="C574" s="109">
        <f t="shared" si="145"/>
        <v>19.066666666666666</v>
      </c>
      <c r="D574" s="109">
        <f t="shared" si="146"/>
        <v>72.86666666666666</v>
      </c>
      <c r="E574" s="107">
        <f t="shared" si="147"/>
        <v>44580.295138888891</v>
      </c>
      <c r="F574" s="106">
        <f t="shared" si="149"/>
        <v>44580.301905218665</v>
      </c>
      <c r="G574" t="str">
        <f t="shared" si="148"/>
        <v>Wednesday</v>
      </c>
      <c r="H574" s="129">
        <v>0.52430555555555003</v>
      </c>
      <c r="I574" s="115">
        <f t="shared" si="152"/>
        <v>10.487126268746444</v>
      </c>
      <c r="J574" s="115">
        <f t="shared" si="153"/>
        <v>275.00883035607507</v>
      </c>
      <c r="K574" s="115">
        <f t="shared" si="154"/>
        <v>109.6978051283631</v>
      </c>
      <c r="L574" s="115">
        <f t="shared" si="155"/>
        <v>242.04521110473112</v>
      </c>
      <c r="M574" s="115">
        <f t="shared" si="156"/>
        <v>283.95010755002738</v>
      </c>
      <c r="N574" s="115">
        <f t="shared" si="157"/>
        <v>310.19051818876568</v>
      </c>
      <c r="O574" s="115">
        <f t="shared" si="158"/>
        <v>259.00370642560216</v>
      </c>
      <c r="P574" s="115">
        <f t="shared" si="159"/>
        <v>289.81363308229265</v>
      </c>
      <c r="Q574" s="115">
        <f t="shared" si="160"/>
        <v>34.400705060246317</v>
      </c>
    </row>
    <row r="575" spans="1:17" x14ac:dyDescent="0.25">
      <c r="A575" s="114">
        <f t="shared" si="151"/>
        <v>44580</v>
      </c>
      <c r="B575">
        <f t="shared" ref="B575:B638" si="161">B574</f>
        <v>5.5</v>
      </c>
      <c r="C575" s="109">
        <f t="shared" ref="C575:C638" si="162">C574</f>
        <v>19.066666666666666</v>
      </c>
      <c r="D575" s="109">
        <f t="shared" ref="D575:D638" si="163">D574</f>
        <v>72.86666666666666</v>
      </c>
      <c r="E575" s="107">
        <f t="shared" ref="E575:E638" si="164">A575+H575-B575/24</f>
        <v>44580.298611111117</v>
      </c>
      <c r="F575" s="106">
        <f t="shared" si="149"/>
        <v>44580.301905218665</v>
      </c>
      <c r="G575" t="str">
        <f t="shared" ref="G575:G638" si="165">CHOOSE(WEEKDAY(E575),"Sunday","Monday","Tuesday","Wednesday","Thursday","Friday","Saturday")</f>
        <v>Wednesday</v>
      </c>
      <c r="H575" s="129">
        <v>0.52777777777777202</v>
      </c>
      <c r="I575" s="115">
        <f t="shared" si="152"/>
        <v>11.967181039995975</v>
      </c>
      <c r="J575" s="115">
        <f t="shared" si="153"/>
        <v>275.01236370221875</v>
      </c>
      <c r="K575" s="115">
        <f t="shared" si="154"/>
        <v>109.74086496068554</v>
      </c>
      <c r="L575" s="115">
        <f t="shared" si="155"/>
        <v>242.04771806970456</v>
      </c>
      <c r="M575" s="115">
        <f t="shared" si="156"/>
        <v>283.94697839614611</v>
      </c>
      <c r="N575" s="115">
        <f t="shared" si="157"/>
        <v>310.19127864104865</v>
      </c>
      <c r="O575" s="115">
        <f t="shared" si="158"/>
        <v>259.00229237555214</v>
      </c>
      <c r="P575" s="115">
        <f t="shared" si="159"/>
        <v>289.8140400447212</v>
      </c>
      <c r="Q575" s="115">
        <f t="shared" si="160"/>
        <v>34.400521060293478</v>
      </c>
    </row>
    <row r="576" spans="1:17" x14ac:dyDescent="0.25">
      <c r="A576" s="114">
        <f t="shared" si="151"/>
        <v>44580</v>
      </c>
      <c r="B576">
        <f t="shared" si="161"/>
        <v>5.5</v>
      </c>
      <c r="C576" s="109">
        <f t="shared" si="162"/>
        <v>19.066666666666666</v>
      </c>
      <c r="D576" s="109">
        <f t="shared" si="163"/>
        <v>72.86666666666666</v>
      </c>
      <c r="E576" s="107">
        <f t="shared" si="164"/>
        <v>44580.302083333336</v>
      </c>
      <c r="F576" s="106">
        <f t="shared" si="149"/>
        <v>44580.301905218665</v>
      </c>
      <c r="G576" t="str">
        <f t="shared" si="165"/>
        <v>Wednesday</v>
      </c>
      <c r="H576" s="129">
        <v>0.531249999999994</v>
      </c>
      <c r="I576" s="115">
        <f t="shared" si="152"/>
        <v>13.437709372169891</v>
      </c>
      <c r="J576" s="115">
        <f t="shared" si="153"/>
        <v>275.01589704767321</v>
      </c>
      <c r="K576" s="115">
        <f t="shared" si="154"/>
        <v>109.78392690855468</v>
      </c>
      <c r="L576" s="115">
        <f t="shared" si="155"/>
        <v>242.05022504323671</v>
      </c>
      <c r="M576" s="115">
        <f t="shared" si="156"/>
        <v>283.94384733550282</v>
      </c>
      <c r="N576" s="115">
        <f t="shared" si="157"/>
        <v>310.19203910616631</v>
      </c>
      <c r="O576" s="115">
        <f t="shared" si="158"/>
        <v>259.0008787565618</v>
      </c>
      <c r="P576" s="115">
        <f t="shared" si="159"/>
        <v>289.81444701167192</v>
      </c>
      <c r="Q576" s="115">
        <f t="shared" si="160"/>
        <v>34.400337060241363</v>
      </c>
    </row>
    <row r="577" spans="1:17" x14ac:dyDescent="0.25">
      <c r="A577" s="114">
        <f t="shared" si="151"/>
        <v>44580</v>
      </c>
      <c r="B577">
        <f t="shared" si="161"/>
        <v>5.5</v>
      </c>
      <c r="C577" s="109">
        <f t="shared" si="162"/>
        <v>19.066666666666666</v>
      </c>
      <c r="D577" s="109">
        <f t="shared" si="163"/>
        <v>72.86666666666666</v>
      </c>
      <c r="E577" s="107">
        <f t="shared" si="164"/>
        <v>44580.305555555555</v>
      </c>
      <c r="F577" s="106">
        <f t="shared" si="149"/>
        <v>44580.301905218665</v>
      </c>
      <c r="G577" t="str">
        <f t="shared" si="165"/>
        <v>Wednesday</v>
      </c>
      <c r="H577" s="129">
        <v>0.53472222222221599</v>
      </c>
      <c r="I577" s="115">
        <f t="shared" si="152"/>
        <v>14.898583270554926</v>
      </c>
      <c r="J577" s="115">
        <f t="shared" si="153"/>
        <v>275.01943039047035</v>
      </c>
      <c r="K577" s="115">
        <f t="shared" si="154"/>
        <v>109.82699094928041</v>
      </c>
      <c r="L577" s="115">
        <f t="shared" si="155"/>
        <v>242.05273202370432</v>
      </c>
      <c r="M577" s="115">
        <f t="shared" si="156"/>
        <v>283.9407143708936</v>
      </c>
      <c r="N577" s="115">
        <f t="shared" si="157"/>
        <v>310.19279958353178</v>
      </c>
      <c r="O577" s="115">
        <f t="shared" si="158"/>
        <v>258.99946556940387</v>
      </c>
      <c r="P577" s="115">
        <f t="shared" si="159"/>
        <v>289.81485398207678</v>
      </c>
      <c r="Q577" s="115">
        <f t="shared" si="160"/>
        <v>34.400153060305101</v>
      </c>
    </row>
    <row r="578" spans="1:17" x14ac:dyDescent="0.25">
      <c r="A578" s="114">
        <f t="shared" si="151"/>
        <v>44580</v>
      </c>
      <c r="B578">
        <f t="shared" si="161"/>
        <v>5.5</v>
      </c>
      <c r="C578" s="109">
        <f t="shared" si="162"/>
        <v>19.066666666666666</v>
      </c>
      <c r="D578" s="109">
        <f t="shared" si="163"/>
        <v>72.86666666666666</v>
      </c>
      <c r="E578" s="107">
        <f t="shared" si="164"/>
        <v>44580.309027777781</v>
      </c>
      <c r="F578" s="106">
        <f t="shared" si="149"/>
        <v>44580.301905218665</v>
      </c>
      <c r="G578" t="str">
        <f t="shared" si="165"/>
        <v>Wednesday</v>
      </c>
      <c r="H578" s="129">
        <v>0.53819444444443798</v>
      </c>
      <c r="I578" s="115">
        <f t="shared" si="152"/>
        <v>16.349699928467427</v>
      </c>
      <c r="J578" s="115">
        <f t="shared" si="153"/>
        <v>275.02296373203876</v>
      </c>
      <c r="K578" s="115">
        <f t="shared" si="154"/>
        <v>109.8700571004791</v>
      </c>
      <c r="L578" s="115">
        <f t="shared" si="155"/>
        <v>242.05523901217052</v>
      </c>
      <c r="M578" s="115">
        <f t="shared" si="156"/>
        <v>283.93757950196851</v>
      </c>
      <c r="N578" s="115">
        <f t="shared" si="157"/>
        <v>310.19356007386574</v>
      </c>
      <c r="O578" s="115">
        <f t="shared" si="158"/>
        <v>258.99805281358709</v>
      </c>
      <c r="P578" s="115">
        <f t="shared" si="159"/>
        <v>289.81526095607489</v>
      </c>
      <c r="Q578" s="115">
        <f t="shared" si="160"/>
        <v>34.399969060319187</v>
      </c>
    </row>
    <row r="579" spans="1:17" x14ac:dyDescent="0.25">
      <c r="A579" s="114">
        <f t="shared" si="151"/>
        <v>44580</v>
      </c>
      <c r="B579">
        <f t="shared" si="161"/>
        <v>5.5</v>
      </c>
      <c r="C579" s="109">
        <f t="shared" si="162"/>
        <v>19.066666666666666</v>
      </c>
      <c r="D579" s="109">
        <f t="shared" si="163"/>
        <v>72.86666666666666</v>
      </c>
      <c r="E579" s="107">
        <f t="shared" si="164"/>
        <v>44580.3125</v>
      </c>
      <c r="F579" s="106">
        <f t="shared" ref="F579:F642" si="166">sunrise(C579,D579,E579)+B579/24</f>
        <v>44580.301905218665</v>
      </c>
      <c r="G579" t="str">
        <f t="shared" si="165"/>
        <v>Wednesday</v>
      </c>
      <c r="H579" s="129">
        <v>0.54166666666665997</v>
      </c>
      <c r="I579" s="115">
        <f t="shared" si="152"/>
        <v>17.79097943903021</v>
      </c>
      <c r="J579" s="115">
        <f t="shared" si="153"/>
        <v>275.02649707144229</v>
      </c>
      <c r="K579" s="115">
        <f t="shared" si="154"/>
        <v>109.91312535084458</v>
      </c>
      <c r="L579" s="115">
        <f t="shared" si="155"/>
        <v>242.05774600793967</v>
      </c>
      <c r="M579" s="115">
        <f t="shared" si="156"/>
        <v>283.93444273067814</v>
      </c>
      <c r="N579" s="115">
        <f t="shared" si="157"/>
        <v>310.19432057660424</v>
      </c>
      <c r="O579" s="115">
        <f t="shared" si="158"/>
        <v>258.99664048959346</v>
      </c>
      <c r="P579" s="115">
        <f t="shared" si="159"/>
        <v>289.81566793405631</v>
      </c>
      <c r="Q579" s="115">
        <f t="shared" si="160"/>
        <v>34.399785060366433</v>
      </c>
    </row>
    <row r="580" spans="1:17" x14ac:dyDescent="0.25">
      <c r="A580" s="114">
        <f t="shared" si="151"/>
        <v>44580</v>
      </c>
      <c r="B580">
        <f t="shared" si="161"/>
        <v>5.5</v>
      </c>
      <c r="C580" s="109">
        <f t="shared" si="162"/>
        <v>19.066666666666666</v>
      </c>
      <c r="D580" s="109">
        <f t="shared" si="163"/>
        <v>72.86666666666666</v>
      </c>
      <c r="E580" s="107">
        <f t="shared" si="164"/>
        <v>44580.315972222226</v>
      </c>
      <c r="F580" s="106">
        <f t="shared" si="166"/>
        <v>44580.301905218665</v>
      </c>
      <c r="G580" t="str">
        <f t="shared" si="165"/>
        <v>Wednesday</v>
      </c>
      <c r="H580" s="129">
        <v>0.54513888888888196</v>
      </c>
      <c r="I580" s="115">
        <f t="shared" si="152"/>
        <v>19.222365358303232</v>
      </c>
      <c r="J580" s="115">
        <f t="shared" si="153"/>
        <v>275.0300304092533</v>
      </c>
      <c r="K580" s="115">
        <f t="shared" si="154"/>
        <v>109.95619570647968</v>
      </c>
      <c r="L580" s="115">
        <f t="shared" si="155"/>
        <v>242.06025301163103</v>
      </c>
      <c r="M580" s="115">
        <f t="shared" si="156"/>
        <v>283.93130405751236</v>
      </c>
      <c r="N580" s="115">
        <f t="shared" si="157"/>
        <v>310.19508109200302</v>
      </c>
      <c r="O580" s="115">
        <f t="shared" si="158"/>
        <v>258.99522859733031</v>
      </c>
      <c r="P580" s="115">
        <f t="shared" si="159"/>
        <v>289.81607491669092</v>
      </c>
      <c r="Q580" s="115">
        <f t="shared" si="160"/>
        <v>34.39960106044672</v>
      </c>
    </row>
    <row r="581" spans="1:17" x14ac:dyDescent="0.25">
      <c r="A581" s="114">
        <f t="shared" si="151"/>
        <v>44580</v>
      </c>
      <c r="B581">
        <f t="shared" si="161"/>
        <v>5.5</v>
      </c>
      <c r="C581" s="109">
        <f t="shared" si="162"/>
        <v>19.066666666666666</v>
      </c>
      <c r="D581" s="109">
        <f t="shared" si="163"/>
        <v>72.86666666666666</v>
      </c>
      <c r="E581" s="107">
        <f t="shared" si="164"/>
        <v>44580.319444444445</v>
      </c>
      <c r="F581" s="106">
        <f t="shared" si="166"/>
        <v>44580.301905218665</v>
      </c>
      <c r="G581" t="str">
        <f t="shared" si="165"/>
        <v>Wednesday</v>
      </c>
      <c r="H581" s="129">
        <v>0.54861111111110406</v>
      </c>
      <c r="I581" s="115">
        <f t="shared" si="152"/>
        <v>20.643823260243447</v>
      </c>
      <c r="J581" s="115">
        <f t="shared" si="153"/>
        <v>275.03356374560434</v>
      </c>
      <c r="K581" s="115">
        <f t="shared" si="154"/>
        <v>109.99926817344932</v>
      </c>
      <c r="L581" s="115">
        <f t="shared" si="155"/>
        <v>242.06276002284181</v>
      </c>
      <c r="M581" s="115">
        <f t="shared" si="156"/>
        <v>283.92816348325505</v>
      </c>
      <c r="N581" s="115">
        <f t="shared" si="157"/>
        <v>310.19584162001667</v>
      </c>
      <c r="O581" s="115">
        <f t="shared" si="158"/>
        <v>258.99381713667839</v>
      </c>
      <c r="P581" s="115">
        <f t="shared" si="159"/>
        <v>289.81648190275985</v>
      </c>
      <c r="Q581" s="115">
        <f t="shared" si="160"/>
        <v>34.399417060444286</v>
      </c>
    </row>
    <row r="582" spans="1:17" x14ac:dyDescent="0.25">
      <c r="A582" s="114">
        <f t="shared" si="151"/>
        <v>44580</v>
      </c>
      <c r="B582">
        <f t="shared" si="161"/>
        <v>5.5</v>
      </c>
      <c r="C582" s="109">
        <f t="shared" si="162"/>
        <v>19.066666666666666</v>
      </c>
      <c r="D582" s="109">
        <f t="shared" si="163"/>
        <v>72.86666666666666</v>
      </c>
      <c r="E582" s="107">
        <f t="shared" si="164"/>
        <v>44580.322916666672</v>
      </c>
      <c r="F582" s="106">
        <f t="shared" si="166"/>
        <v>44580.301905218665</v>
      </c>
      <c r="G582" t="str">
        <f t="shared" si="165"/>
        <v>Wednesday</v>
      </c>
      <c r="H582" s="129">
        <v>0.55208333333332604</v>
      </c>
      <c r="I582" s="115">
        <f t="shared" si="152"/>
        <v>22.055339256773735</v>
      </c>
      <c r="J582" s="115">
        <f t="shared" si="153"/>
        <v>275.03709707989668</v>
      </c>
      <c r="K582" s="115">
        <f t="shared" si="154"/>
        <v>110.04234274053545</v>
      </c>
      <c r="L582" s="115">
        <f t="shared" si="155"/>
        <v>242.06526704160134</v>
      </c>
      <c r="M582" s="115">
        <f t="shared" si="156"/>
        <v>283.92502100943659</v>
      </c>
      <c r="N582" s="115">
        <f t="shared" si="157"/>
        <v>310.19660216054973</v>
      </c>
      <c r="O582" s="115">
        <f t="shared" si="158"/>
        <v>258.99240610796051</v>
      </c>
      <c r="P582" s="115">
        <f t="shared" si="159"/>
        <v>289.81688889192066</v>
      </c>
      <c r="Q582" s="115">
        <f t="shared" si="160"/>
        <v>34.399233060491454</v>
      </c>
    </row>
    <row r="583" spans="1:17" x14ac:dyDescent="0.25">
      <c r="A583" s="114">
        <f t="shared" si="151"/>
        <v>44580</v>
      </c>
      <c r="B583">
        <f t="shared" si="161"/>
        <v>5.5</v>
      </c>
      <c r="C583" s="109">
        <f t="shared" si="162"/>
        <v>19.066666666666666</v>
      </c>
      <c r="D583" s="109">
        <f t="shared" si="163"/>
        <v>72.86666666666666</v>
      </c>
      <c r="E583" s="107">
        <f t="shared" si="164"/>
        <v>44580.326388888891</v>
      </c>
      <c r="F583" s="106">
        <f t="shared" si="166"/>
        <v>44580.301905218665</v>
      </c>
      <c r="G583" t="str">
        <f t="shared" si="165"/>
        <v>Wednesday</v>
      </c>
      <c r="H583" s="129">
        <v>0.55555555555554803</v>
      </c>
      <c r="I583" s="115">
        <f t="shared" si="152"/>
        <v>23.456920383834465</v>
      </c>
      <c r="J583" s="115">
        <f t="shared" si="153"/>
        <v>275.0406304129657</v>
      </c>
      <c r="K583" s="115">
        <f t="shared" si="154"/>
        <v>110.08541941956827</v>
      </c>
      <c r="L583" s="115">
        <f t="shared" si="155"/>
        <v>242.06777406841118</v>
      </c>
      <c r="M583" s="115">
        <f t="shared" si="156"/>
        <v>283.92187663652203</v>
      </c>
      <c r="N583" s="115">
        <f t="shared" si="157"/>
        <v>310.19736271394618</v>
      </c>
      <c r="O583" s="115">
        <f t="shared" si="158"/>
        <v>258.9909955111749</v>
      </c>
      <c r="P583" s="115">
        <f t="shared" si="159"/>
        <v>289.81729588630765</v>
      </c>
      <c r="Q583" s="115">
        <f t="shared" si="160"/>
        <v>34.399049060522131</v>
      </c>
    </row>
    <row r="584" spans="1:17" x14ac:dyDescent="0.25">
      <c r="A584" s="114">
        <f t="shared" si="151"/>
        <v>44580</v>
      </c>
      <c r="B584">
        <f t="shared" si="161"/>
        <v>5.5</v>
      </c>
      <c r="C584" s="109">
        <f t="shared" si="162"/>
        <v>19.066666666666666</v>
      </c>
      <c r="D584" s="109">
        <f t="shared" si="163"/>
        <v>72.86666666666666</v>
      </c>
      <c r="E584" s="107">
        <f t="shared" si="164"/>
        <v>44580.329861111117</v>
      </c>
      <c r="F584" s="106">
        <f t="shared" si="166"/>
        <v>44580.301905218665</v>
      </c>
      <c r="G584" t="str">
        <f t="shared" si="165"/>
        <v>Wednesday</v>
      </c>
      <c r="H584" s="129">
        <v>0.55902777777777002</v>
      </c>
      <c r="I584" s="115">
        <f t="shared" si="152"/>
        <v>24.848592103808201</v>
      </c>
      <c r="J584" s="115">
        <f t="shared" si="153"/>
        <v>275.04416374385579</v>
      </c>
      <c r="K584" s="115">
        <f t="shared" si="154"/>
        <v>110.12849819931732</v>
      </c>
      <c r="L584" s="115">
        <f t="shared" si="155"/>
        <v>242.07028110252676</v>
      </c>
      <c r="M584" s="115">
        <f t="shared" si="156"/>
        <v>283.9187303661605</v>
      </c>
      <c r="N584" s="115">
        <f t="shared" si="157"/>
        <v>310.19812327973113</v>
      </c>
      <c r="O584" s="115">
        <f t="shared" si="158"/>
        <v>258.98958534645249</v>
      </c>
      <c r="P584" s="115">
        <f t="shared" si="159"/>
        <v>289.81770288418988</v>
      </c>
      <c r="Q584" s="115">
        <f t="shared" si="160"/>
        <v>34.398865060569342</v>
      </c>
    </row>
    <row r="585" spans="1:17" x14ac:dyDescent="0.25">
      <c r="A585" s="114">
        <f t="shared" si="151"/>
        <v>44580</v>
      </c>
      <c r="B585">
        <f t="shared" si="161"/>
        <v>5.5</v>
      </c>
      <c r="C585" s="109">
        <f t="shared" si="162"/>
        <v>19.066666666666666</v>
      </c>
      <c r="D585" s="109">
        <f t="shared" si="163"/>
        <v>72.86666666666666</v>
      </c>
      <c r="E585" s="107">
        <f t="shared" si="164"/>
        <v>44580.333333333336</v>
      </c>
      <c r="F585" s="106">
        <f t="shared" si="166"/>
        <v>44580.301905218665</v>
      </c>
      <c r="G585" t="str">
        <f t="shared" si="165"/>
        <v>Wednesday</v>
      </c>
      <c r="H585" s="129">
        <v>0.56249999999999201</v>
      </c>
      <c r="I585" s="115">
        <f t="shared" si="152"/>
        <v>26.23039881379313</v>
      </c>
      <c r="J585" s="115">
        <f t="shared" si="153"/>
        <v>275.04769707353415</v>
      </c>
      <c r="K585" s="115">
        <f t="shared" si="154"/>
        <v>110.17157909164732</v>
      </c>
      <c r="L585" s="115">
        <f t="shared" si="155"/>
        <v>242.07278814461935</v>
      </c>
      <c r="M585" s="115">
        <f t="shared" si="156"/>
        <v>283.91558219856523</v>
      </c>
      <c r="N585" s="115">
        <f t="shared" si="157"/>
        <v>310.19888385816864</v>
      </c>
      <c r="O585" s="115">
        <f t="shared" si="158"/>
        <v>258.98817561383555</v>
      </c>
      <c r="P585" s="115">
        <f t="shared" si="159"/>
        <v>289.8181098856744</v>
      </c>
      <c r="Q585" s="115">
        <f t="shared" si="160"/>
        <v>34.398681060583392</v>
      </c>
    </row>
    <row r="586" spans="1:17" x14ac:dyDescent="0.25">
      <c r="A586" s="114">
        <f t="shared" si="151"/>
        <v>44580</v>
      </c>
      <c r="B586">
        <f t="shared" si="161"/>
        <v>5.5</v>
      </c>
      <c r="C586" s="109">
        <f t="shared" si="162"/>
        <v>19.066666666666666</v>
      </c>
      <c r="D586" s="109">
        <f t="shared" si="163"/>
        <v>72.86666666666666</v>
      </c>
      <c r="E586" s="107">
        <f t="shared" si="164"/>
        <v>44580.336805555555</v>
      </c>
      <c r="F586" s="106">
        <f t="shared" si="166"/>
        <v>44580.301905218665</v>
      </c>
      <c r="G586" t="str">
        <f t="shared" si="165"/>
        <v>Wednesday</v>
      </c>
      <c r="H586" s="129">
        <v>0.56597222222221399</v>
      </c>
      <c r="I586" s="115">
        <f t="shared" si="152"/>
        <v>27.602401339976797</v>
      </c>
      <c r="J586" s="115">
        <f t="shared" si="153"/>
        <v>275.05123040108276</v>
      </c>
      <c r="K586" s="115">
        <f t="shared" si="154"/>
        <v>110.2146620852679</v>
      </c>
      <c r="L586" s="115">
        <f t="shared" si="155"/>
        <v>242.07529519415129</v>
      </c>
      <c r="M586" s="115">
        <f t="shared" si="156"/>
        <v>283.91243213556203</v>
      </c>
      <c r="N586" s="115">
        <f t="shared" si="157"/>
        <v>310.19964444936784</v>
      </c>
      <c r="O586" s="115">
        <f t="shared" si="158"/>
        <v>258.98676631341732</v>
      </c>
      <c r="P586" s="115">
        <f t="shared" si="159"/>
        <v>289.81851689135044</v>
      </c>
      <c r="Q586" s="115">
        <f t="shared" si="160"/>
        <v>34.398497060647195</v>
      </c>
    </row>
    <row r="587" spans="1:17" x14ac:dyDescent="0.25">
      <c r="A587" s="114">
        <f t="shared" si="151"/>
        <v>44580</v>
      </c>
      <c r="B587">
        <f t="shared" si="161"/>
        <v>5.5</v>
      </c>
      <c r="C587" s="109">
        <f t="shared" si="162"/>
        <v>19.066666666666666</v>
      </c>
      <c r="D587" s="109">
        <f t="shared" si="163"/>
        <v>72.86666666666666</v>
      </c>
      <c r="E587" s="107">
        <f t="shared" si="164"/>
        <v>44580.340277777781</v>
      </c>
      <c r="F587" s="106">
        <f t="shared" si="166"/>
        <v>44580.301905218665</v>
      </c>
      <c r="G587" t="str">
        <f t="shared" si="165"/>
        <v>Wednesday</v>
      </c>
      <c r="H587" s="129">
        <v>0.56944444444443598</v>
      </c>
      <c r="I587" s="115">
        <f t="shared" si="152"/>
        <v>28.964677404059096</v>
      </c>
      <c r="J587" s="115">
        <f t="shared" si="153"/>
        <v>275.05476372728009</v>
      </c>
      <c r="K587" s="115">
        <f t="shared" si="154"/>
        <v>110.25774719203655</v>
      </c>
      <c r="L587" s="115">
        <f t="shared" si="155"/>
        <v>242.07780225141468</v>
      </c>
      <c r="M587" s="115">
        <f t="shared" si="156"/>
        <v>283.90928017755795</v>
      </c>
      <c r="N587" s="115">
        <f t="shared" si="157"/>
        <v>310.20040505300062</v>
      </c>
      <c r="O587" s="115">
        <f t="shared" si="158"/>
        <v>258.98535744520581</v>
      </c>
      <c r="P587" s="115">
        <f t="shared" si="159"/>
        <v>289.81892390043106</v>
      </c>
      <c r="Q587" s="115">
        <f t="shared" si="160"/>
        <v>34.398313060661266</v>
      </c>
    </row>
    <row r="588" spans="1:17" x14ac:dyDescent="0.25">
      <c r="A588" s="114">
        <f t="shared" si="151"/>
        <v>44580</v>
      </c>
      <c r="B588">
        <f t="shared" si="161"/>
        <v>5.5</v>
      </c>
      <c r="C588" s="109">
        <f t="shared" si="162"/>
        <v>19.066666666666666</v>
      </c>
      <c r="D588" s="109">
        <f t="shared" si="163"/>
        <v>72.86666666666666</v>
      </c>
      <c r="E588" s="107">
        <f t="shared" si="164"/>
        <v>44580.34375</v>
      </c>
      <c r="F588" s="106">
        <f t="shared" si="166"/>
        <v>44580.301905218665</v>
      </c>
      <c r="G588" t="str">
        <f t="shared" si="165"/>
        <v>Wednesday</v>
      </c>
      <c r="H588" s="129">
        <v>0.57291666666665797</v>
      </c>
      <c r="I588" s="115">
        <f t="shared" si="152"/>
        <v>30.317319143283257</v>
      </c>
      <c r="J588" s="115">
        <f t="shared" si="153"/>
        <v>275.05829705137205</v>
      </c>
      <c r="K588" s="115">
        <f t="shared" si="154"/>
        <v>110.30083440071725</v>
      </c>
      <c r="L588" s="115">
        <f t="shared" si="155"/>
        <v>242.08030931616167</v>
      </c>
      <c r="M588" s="115">
        <f t="shared" si="156"/>
        <v>283.90612632600676</v>
      </c>
      <c r="N588" s="115">
        <f t="shared" si="157"/>
        <v>310.20116566929653</v>
      </c>
      <c r="O588" s="115">
        <f t="shared" si="158"/>
        <v>258.98394900955532</v>
      </c>
      <c r="P588" s="115">
        <f t="shared" si="159"/>
        <v>289.81933091345758</v>
      </c>
      <c r="Q588" s="115">
        <f t="shared" si="160"/>
        <v>34.398129060691922</v>
      </c>
    </row>
    <row r="589" spans="1:17" x14ac:dyDescent="0.25">
      <c r="A589" s="114">
        <f t="shared" si="151"/>
        <v>44580</v>
      </c>
      <c r="B589">
        <f t="shared" si="161"/>
        <v>5.5</v>
      </c>
      <c r="C589" s="109">
        <f t="shared" si="162"/>
        <v>19.066666666666666</v>
      </c>
      <c r="D589" s="109">
        <f t="shared" si="163"/>
        <v>72.86666666666666</v>
      </c>
      <c r="E589" s="107">
        <f t="shared" si="164"/>
        <v>44580.347222222226</v>
      </c>
      <c r="F589" s="106">
        <f t="shared" si="166"/>
        <v>44580.301905218665</v>
      </c>
      <c r="G589" t="str">
        <f t="shared" si="165"/>
        <v>Wednesday</v>
      </c>
      <c r="H589" s="129">
        <v>0.57638888888887996</v>
      </c>
      <c r="I589" s="115">
        <f t="shared" si="152"/>
        <v>31.660433386713244</v>
      </c>
      <c r="J589" s="115">
        <f t="shared" si="153"/>
        <v>275.06183037376587</v>
      </c>
      <c r="K589" s="115">
        <f t="shared" si="154"/>
        <v>110.34392371741615</v>
      </c>
      <c r="L589" s="115">
        <f t="shared" si="155"/>
        <v>242.08281638862059</v>
      </c>
      <c r="M589" s="115">
        <f t="shared" si="156"/>
        <v>283.90297058180465</v>
      </c>
      <c r="N589" s="115">
        <f t="shared" si="157"/>
        <v>310.2019262981716</v>
      </c>
      <c r="O589" s="115">
        <f t="shared" si="158"/>
        <v>258.98254100634369</v>
      </c>
      <c r="P589" s="115">
        <f t="shared" si="159"/>
        <v>289.8197379306045</v>
      </c>
      <c r="Q589" s="115">
        <f t="shared" si="160"/>
        <v>34.397945060739154</v>
      </c>
    </row>
    <row r="590" spans="1:17" x14ac:dyDescent="0.25">
      <c r="A590" s="114">
        <f t="shared" si="151"/>
        <v>44580</v>
      </c>
      <c r="B590">
        <f t="shared" si="161"/>
        <v>5.5</v>
      </c>
      <c r="C590" s="109">
        <f t="shared" si="162"/>
        <v>19.066666666666666</v>
      </c>
      <c r="D590" s="109">
        <f t="shared" si="163"/>
        <v>72.86666666666666</v>
      </c>
      <c r="E590" s="107">
        <f t="shared" si="164"/>
        <v>44580.350694444445</v>
      </c>
      <c r="F590" s="106">
        <f t="shared" si="166"/>
        <v>44580.301905218665</v>
      </c>
      <c r="G590" t="str">
        <f t="shared" si="165"/>
        <v>Wednesday</v>
      </c>
      <c r="H590" s="129">
        <v>0.57986111111110095</v>
      </c>
      <c r="I590" s="115">
        <f t="shared" si="152"/>
        <v>32.99414011866596</v>
      </c>
      <c r="J590" s="115">
        <f t="shared" si="153"/>
        <v>275.06536369492994</v>
      </c>
      <c r="K590" s="115">
        <f t="shared" si="154"/>
        <v>110.38701514814178</v>
      </c>
      <c r="L590" s="115">
        <f t="shared" si="155"/>
        <v>242.0853234690214</v>
      </c>
      <c r="M590" s="115">
        <f t="shared" si="156"/>
        <v>283.89981294550563</v>
      </c>
      <c r="N590" s="115">
        <f t="shared" si="157"/>
        <v>310.20268693967842</v>
      </c>
      <c r="O590" s="115">
        <f t="shared" si="158"/>
        <v>258.98113343547601</v>
      </c>
      <c r="P590" s="115">
        <f t="shared" si="159"/>
        <v>289.82014495187337</v>
      </c>
      <c r="Q590" s="115">
        <f t="shared" si="160"/>
        <v>34.397761060769746</v>
      </c>
    </row>
    <row r="591" spans="1:17" x14ac:dyDescent="0.25">
      <c r="A591" s="114">
        <f t="shared" si="151"/>
        <v>44580</v>
      </c>
      <c r="B591">
        <f t="shared" si="161"/>
        <v>5.5</v>
      </c>
      <c r="C591" s="109">
        <f t="shared" si="162"/>
        <v>19.066666666666666</v>
      </c>
      <c r="D591" s="109">
        <f t="shared" si="163"/>
        <v>72.86666666666666</v>
      </c>
      <c r="E591" s="107">
        <f t="shared" si="164"/>
        <v>44580.354166666672</v>
      </c>
      <c r="F591" s="106">
        <f t="shared" si="166"/>
        <v>44580.301905218665</v>
      </c>
      <c r="G591" t="str">
        <f t="shared" si="165"/>
        <v>Wednesday</v>
      </c>
      <c r="H591" s="129">
        <v>0.58333333333332305</v>
      </c>
      <c r="I591" s="115">
        <f t="shared" si="152"/>
        <v>34.318570977067751</v>
      </c>
      <c r="J591" s="115">
        <f t="shared" si="153"/>
        <v>275.06889701398438</v>
      </c>
      <c r="K591" s="115">
        <f t="shared" si="154"/>
        <v>110.43010868174503</v>
      </c>
      <c r="L591" s="115">
        <f t="shared" si="155"/>
        <v>242.08783055686777</v>
      </c>
      <c r="M591" s="115">
        <f t="shared" si="156"/>
        <v>283.89665341875633</v>
      </c>
      <c r="N591" s="115">
        <f t="shared" si="157"/>
        <v>310.20344759378537</v>
      </c>
      <c r="O591" s="115">
        <f t="shared" si="158"/>
        <v>258.97972629739996</v>
      </c>
      <c r="P591" s="115">
        <f t="shared" si="159"/>
        <v>289.8205519766251</v>
      </c>
      <c r="Q591" s="115">
        <f t="shared" si="160"/>
        <v>34.397577060817</v>
      </c>
    </row>
    <row r="592" spans="1:17" x14ac:dyDescent="0.25">
      <c r="A592" s="114">
        <f t="shared" si="151"/>
        <v>44580</v>
      </c>
      <c r="B592">
        <f t="shared" si="161"/>
        <v>5.5</v>
      </c>
      <c r="C592" s="109">
        <f t="shared" si="162"/>
        <v>19.066666666666666</v>
      </c>
      <c r="D592" s="109">
        <f t="shared" si="163"/>
        <v>72.86666666666666</v>
      </c>
      <c r="E592" s="107">
        <f t="shared" si="164"/>
        <v>44580.357638888891</v>
      </c>
      <c r="F592" s="106">
        <f t="shared" si="166"/>
        <v>44580.301905218665</v>
      </c>
      <c r="G592" t="str">
        <f t="shared" si="165"/>
        <v>Wednesday</v>
      </c>
      <c r="H592" s="129">
        <v>0.58680555555554503</v>
      </c>
      <c r="I592" s="115">
        <f t="shared" si="152"/>
        <v>35.633869563691036</v>
      </c>
      <c r="J592" s="115">
        <f t="shared" si="153"/>
        <v>275.07243033180953</v>
      </c>
      <c r="K592" s="115">
        <f t="shared" si="154"/>
        <v>110.47320432995399</v>
      </c>
      <c r="L592" s="115">
        <f t="shared" si="155"/>
        <v>242.09033765262433</v>
      </c>
      <c r="M592" s="115">
        <f t="shared" si="156"/>
        <v>283.89349200203657</v>
      </c>
      <c r="N592" s="115">
        <f t="shared" si="157"/>
        <v>310.20420826060678</v>
      </c>
      <c r="O592" s="115">
        <f t="shared" si="158"/>
        <v>258.97831959190717</v>
      </c>
      <c r="P592" s="115">
        <f t="shared" si="159"/>
        <v>289.8209590057096</v>
      </c>
      <c r="Q592" s="115">
        <f t="shared" si="160"/>
        <v>34.397393060847598</v>
      </c>
    </row>
    <row r="593" spans="1:17" x14ac:dyDescent="0.25">
      <c r="A593" s="114">
        <f t="shared" si="151"/>
        <v>44580</v>
      </c>
      <c r="B593">
        <f t="shared" si="161"/>
        <v>5.5</v>
      </c>
      <c r="C593" s="109">
        <f t="shared" si="162"/>
        <v>19.066666666666666</v>
      </c>
      <c r="D593" s="109">
        <f t="shared" si="163"/>
        <v>72.86666666666666</v>
      </c>
      <c r="E593" s="107">
        <f t="shared" si="164"/>
        <v>44580.361111111117</v>
      </c>
      <c r="F593" s="106">
        <f t="shared" si="166"/>
        <v>44580.301905218665</v>
      </c>
      <c r="G593" t="str">
        <f t="shared" si="165"/>
        <v>Wednesday</v>
      </c>
      <c r="H593" s="129">
        <v>0.59027777777776702</v>
      </c>
      <c r="I593" s="115">
        <f t="shared" si="152"/>
        <v>36.940189103905432</v>
      </c>
      <c r="J593" s="115">
        <f t="shared" si="153"/>
        <v>275.07596364728676</v>
      </c>
      <c r="K593" s="115">
        <f t="shared" si="154"/>
        <v>110.51630208156909</v>
      </c>
      <c r="L593" s="115">
        <f t="shared" si="155"/>
        <v>242.09284475556606</v>
      </c>
      <c r="M593" s="115">
        <f t="shared" si="156"/>
        <v>283.89032869701504</v>
      </c>
      <c r="N593" s="115">
        <f t="shared" si="157"/>
        <v>310.20496893986081</v>
      </c>
      <c r="O593" s="115">
        <f t="shared" si="158"/>
        <v>258.97691331937375</v>
      </c>
      <c r="P593" s="115">
        <f t="shared" si="159"/>
        <v>289.82136603788791</v>
      </c>
      <c r="Q593" s="115">
        <f t="shared" si="160"/>
        <v>34.397209060878289</v>
      </c>
    </row>
    <row r="594" spans="1:17" x14ac:dyDescent="0.25">
      <c r="A594" s="114">
        <f t="shared" si="151"/>
        <v>44580</v>
      </c>
      <c r="B594">
        <f t="shared" si="161"/>
        <v>5.5</v>
      </c>
      <c r="C594" s="109">
        <f t="shared" si="162"/>
        <v>19.066666666666666</v>
      </c>
      <c r="D594" s="109">
        <f t="shared" si="163"/>
        <v>72.86666666666666</v>
      </c>
      <c r="E594" s="107">
        <f t="shared" si="164"/>
        <v>44580.364583333336</v>
      </c>
      <c r="F594" s="106">
        <f t="shared" si="166"/>
        <v>44580.301905218665</v>
      </c>
      <c r="G594" t="str">
        <f t="shared" si="165"/>
        <v>Wednesday</v>
      </c>
      <c r="H594" s="129">
        <v>0.59374999999998901</v>
      </c>
      <c r="I594" s="115">
        <f t="shared" si="152"/>
        <v>38.237692976560254</v>
      </c>
      <c r="J594" s="115">
        <f t="shared" si="153"/>
        <v>275.07949696165161</v>
      </c>
      <c r="K594" s="115">
        <f t="shared" si="154"/>
        <v>110.55940194849464</v>
      </c>
      <c r="L594" s="115">
        <f t="shared" si="155"/>
        <v>242.09535186658326</v>
      </c>
      <c r="M594" s="115">
        <f t="shared" si="156"/>
        <v>283.88716350385437</v>
      </c>
      <c r="N594" s="115">
        <f t="shared" si="157"/>
        <v>310.20572963164824</v>
      </c>
      <c r="O594" s="115">
        <f t="shared" si="158"/>
        <v>258.97550747939528</v>
      </c>
      <c r="P594" s="115">
        <f t="shared" si="159"/>
        <v>289.82177307446125</v>
      </c>
      <c r="Q594" s="115">
        <f t="shared" si="160"/>
        <v>34.397025060908945</v>
      </c>
    </row>
    <row r="595" spans="1:17" x14ac:dyDescent="0.25">
      <c r="A595" s="114">
        <f t="shared" si="151"/>
        <v>44580</v>
      </c>
      <c r="B595">
        <f t="shared" si="161"/>
        <v>5.5</v>
      </c>
      <c r="C595" s="109">
        <f t="shared" si="162"/>
        <v>19.066666666666666</v>
      </c>
      <c r="D595" s="109">
        <f t="shared" si="163"/>
        <v>72.86666666666666</v>
      </c>
      <c r="E595" s="107">
        <f t="shared" si="164"/>
        <v>44580.368055555555</v>
      </c>
      <c r="F595" s="106">
        <f t="shared" si="166"/>
        <v>44580.301905218665</v>
      </c>
      <c r="G595" t="str">
        <f t="shared" si="165"/>
        <v>Wednesday</v>
      </c>
      <c r="H595" s="129">
        <v>0.597222222222211</v>
      </c>
      <c r="I595" s="115">
        <f t="shared" si="152"/>
        <v>39.526552458553667</v>
      </c>
      <c r="J595" s="115">
        <f t="shared" si="153"/>
        <v>275.08303027386728</v>
      </c>
      <c r="K595" s="115">
        <f t="shared" si="154"/>
        <v>110.60250391940511</v>
      </c>
      <c r="L595" s="115">
        <f t="shared" si="155"/>
        <v>242.09785898498922</v>
      </c>
      <c r="M595" s="115">
        <f t="shared" si="156"/>
        <v>283.88399642452634</v>
      </c>
      <c r="N595" s="115">
        <f t="shared" si="157"/>
        <v>310.20649033622664</v>
      </c>
      <c r="O595" s="115">
        <f t="shared" si="158"/>
        <v>258.97410207265341</v>
      </c>
      <c r="P595" s="115">
        <f t="shared" si="159"/>
        <v>289.82218011463362</v>
      </c>
      <c r="Q595" s="115">
        <f t="shared" si="160"/>
        <v>34.39684106097269</v>
      </c>
    </row>
    <row r="596" spans="1:17" x14ac:dyDescent="0.25">
      <c r="A596" s="114">
        <f t="shared" si="151"/>
        <v>44580</v>
      </c>
      <c r="B596">
        <f t="shared" si="161"/>
        <v>5.5</v>
      </c>
      <c r="C596" s="109">
        <f t="shared" si="162"/>
        <v>19.066666666666666</v>
      </c>
      <c r="D596" s="109">
        <f t="shared" si="163"/>
        <v>72.86666666666666</v>
      </c>
      <c r="E596" s="107">
        <f t="shared" si="164"/>
        <v>44580.371527777781</v>
      </c>
      <c r="F596" s="106">
        <f t="shared" si="166"/>
        <v>44580.301905218665</v>
      </c>
      <c r="G596" t="str">
        <f t="shared" si="165"/>
        <v>Wednesday</v>
      </c>
      <c r="H596" s="129">
        <v>0.60069444444443298</v>
      </c>
      <c r="I596" s="115">
        <f t="shared" si="152"/>
        <v>40.806947297692375</v>
      </c>
      <c r="J596" s="115">
        <f t="shared" si="153"/>
        <v>275.08656358482949</v>
      </c>
      <c r="K596" s="115">
        <f t="shared" si="154"/>
        <v>110.64560800616997</v>
      </c>
      <c r="L596" s="115">
        <f t="shared" si="155"/>
        <v>242.10036611138523</v>
      </c>
      <c r="M596" s="115">
        <f t="shared" si="156"/>
        <v>283.88082745912487</v>
      </c>
      <c r="N596" s="115">
        <f t="shared" si="157"/>
        <v>310.20725105352813</v>
      </c>
      <c r="O596" s="115">
        <f t="shared" si="158"/>
        <v>258.9726970987158</v>
      </c>
      <c r="P596" s="115">
        <f t="shared" si="159"/>
        <v>289.82258715891612</v>
      </c>
      <c r="Q596" s="115">
        <f t="shared" si="160"/>
        <v>34.396657060970192</v>
      </c>
    </row>
    <row r="597" spans="1:17" x14ac:dyDescent="0.25">
      <c r="A597" s="114">
        <f t="shared" si="151"/>
        <v>44580</v>
      </c>
      <c r="B597">
        <f t="shared" si="161"/>
        <v>5.5</v>
      </c>
      <c r="C597" s="109">
        <f t="shared" si="162"/>
        <v>19.066666666666666</v>
      </c>
      <c r="D597" s="109">
        <f t="shared" si="163"/>
        <v>72.86666666666666</v>
      </c>
      <c r="E597" s="107">
        <f t="shared" si="164"/>
        <v>44580.375</v>
      </c>
      <c r="F597" s="106">
        <f t="shared" si="166"/>
        <v>44580.301905218665</v>
      </c>
      <c r="G597" t="str">
        <f t="shared" si="165"/>
        <v>Wednesday</v>
      </c>
      <c r="H597" s="129">
        <v>0.60416666666665497</v>
      </c>
      <c r="I597" s="115">
        <f t="shared" si="152"/>
        <v>42.079063550666206</v>
      </c>
      <c r="J597" s="115">
        <f t="shared" si="153"/>
        <v>275.09009689375296</v>
      </c>
      <c r="K597" s="115">
        <f t="shared" si="154"/>
        <v>110.68871419754659</v>
      </c>
      <c r="L597" s="115">
        <f t="shared" si="155"/>
        <v>242.10287324521886</v>
      </c>
      <c r="M597" s="115">
        <f t="shared" si="156"/>
        <v>283.87765660954744</v>
      </c>
      <c r="N597" s="115">
        <f t="shared" si="157"/>
        <v>310.20801178333494</v>
      </c>
      <c r="O597" s="115">
        <f t="shared" si="158"/>
        <v>258.97129255813337</v>
      </c>
      <c r="P597" s="115">
        <f t="shared" si="159"/>
        <v>289.82299420760535</v>
      </c>
      <c r="Q597" s="115">
        <f t="shared" si="160"/>
        <v>34.396473061017424</v>
      </c>
    </row>
    <row r="598" spans="1:17" x14ac:dyDescent="0.25">
      <c r="A598" s="114">
        <f t="shared" si="151"/>
        <v>44580</v>
      </c>
      <c r="B598">
        <f t="shared" si="161"/>
        <v>5.5</v>
      </c>
      <c r="C598" s="109">
        <f t="shared" si="162"/>
        <v>19.066666666666666</v>
      </c>
      <c r="D598" s="109">
        <f t="shared" si="163"/>
        <v>72.86666666666666</v>
      </c>
      <c r="E598" s="107">
        <f t="shared" si="164"/>
        <v>44580.378472222226</v>
      </c>
      <c r="F598" s="106">
        <f t="shared" si="166"/>
        <v>44580.301905218665</v>
      </c>
      <c r="G598" t="str">
        <f t="shared" si="165"/>
        <v>Wednesday</v>
      </c>
      <c r="H598" s="129">
        <v>0.60763888888887696</v>
      </c>
      <c r="I598" s="115">
        <f t="shared" si="152"/>
        <v>43.343094038069196</v>
      </c>
      <c r="J598" s="115">
        <f t="shared" si="153"/>
        <v>275.09363020085419</v>
      </c>
      <c r="K598" s="115">
        <f t="shared" si="154"/>
        <v>110.7318224996161</v>
      </c>
      <c r="L598" s="115">
        <f t="shared" si="155"/>
        <v>242.10538038661389</v>
      </c>
      <c r="M598" s="115">
        <f t="shared" si="156"/>
        <v>283.87448387632685</v>
      </c>
      <c r="N598" s="115">
        <f t="shared" si="157"/>
        <v>310.2087725256817</v>
      </c>
      <c r="O598" s="115">
        <f t="shared" si="158"/>
        <v>258.96988845070126</v>
      </c>
      <c r="P598" s="115">
        <f t="shared" si="159"/>
        <v>289.82340125938077</v>
      </c>
      <c r="Q598" s="115">
        <f t="shared" si="160"/>
        <v>34.396289061081205</v>
      </c>
    </row>
    <row r="599" spans="1:17" x14ac:dyDescent="0.25">
      <c r="A599" s="114">
        <f t="shared" si="151"/>
        <v>44580</v>
      </c>
      <c r="B599">
        <f t="shared" si="161"/>
        <v>5.5</v>
      </c>
      <c r="C599" s="109">
        <f t="shared" si="162"/>
        <v>19.066666666666666</v>
      </c>
      <c r="D599" s="109">
        <f t="shared" si="163"/>
        <v>72.86666666666666</v>
      </c>
      <c r="E599" s="107">
        <f t="shared" si="164"/>
        <v>44580.381944444445</v>
      </c>
      <c r="F599" s="106">
        <f t="shared" si="166"/>
        <v>44580.301905218665</v>
      </c>
      <c r="G599" t="str">
        <f t="shared" si="165"/>
        <v>Wednesday</v>
      </c>
      <c r="H599" s="129">
        <v>0.61111111111109895</v>
      </c>
      <c r="I599" s="115">
        <f t="shared" si="152"/>
        <v>44.599237118816532</v>
      </c>
      <c r="J599" s="115">
        <f t="shared" si="153"/>
        <v>275.09716350662353</v>
      </c>
      <c r="K599" s="115">
        <f t="shared" si="154"/>
        <v>110.77493291841516</v>
      </c>
      <c r="L599" s="115">
        <f t="shared" si="155"/>
        <v>242.10788753584333</v>
      </c>
      <c r="M599" s="115">
        <f t="shared" si="156"/>
        <v>283.87130926027152</v>
      </c>
      <c r="N599" s="115">
        <f t="shared" si="157"/>
        <v>310.20953328031641</v>
      </c>
      <c r="O599" s="115">
        <f t="shared" si="158"/>
        <v>258.96848477641413</v>
      </c>
      <c r="P599" s="115">
        <f t="shared" si="159"/>
        <v>289.82380831497761</v>
      </c>
      <c r="Q599" s="115">
        <f t="shared" si="160"/>
        <v>34.396105061095327</v>
      </c>
    </row>
    <row r="600" spans="1:17" x14ac:dyDescent="0.25">
      <c r="A600" s="114">
        <f t="shared" ref="A600:A609" si="167">A599</f>
        <v>44580</v>
      </c>
      <c r="B600">
        <f t="shared" si="161"/>
        <v>5.5</v>
      </c>
      <c r="C600" s="109">
        <f t="shared" si="162"/>
        <v>19.066666666666666</v>
      </c>
      <c r="D600" s="109">
        <f t="shared" si="163"/>
        <v>72.86666666666666</v>
      </c>
      <c r="E600" s="107">
        <f t="shared" si="164"/>
        <v>44580.385416666672</v>
      </c>
      <c r="F600" s="106">
        <f t="shared" si="166"/>
        <v>44580.301905218665</v>
      </c>
      <c r="G600" t="str">
        <f t="shared" si="165"/>
        <v>Wednesday</v>
      </c>
      <c r="H600" s="129">
        <v>0.61458333333332105</v>
      </c>
      <c r="I600" s="115">
        <f t="shared" si="152"/>
        <v>45.847695513340824</v>
      </c>
      <c r="J600" s="115">
        <f t="shared" si="153"/>
        <v>275.1006968103307</v>
      </c>
      <c r="K600" s="115">
        <f t="shared" si="154"/>
        <v>110.81804544271947</v>
      </c>
      <c r="L600" s="115">
        <f t="shared" si="155"/>
        <v>242.11039469247228</v>
      </c>
      <c r="M600" s="115">
        <f t="shared" si="156"/>
        <v>283.86813276309181</v>
      </c>
      <c r="N600" s="115">
        <f t="shared" si="157"/>
        <v>310.21029404785901</v>
      </c>
      <c r="O600" s="115">
        <f t="shared" si="158"/>
        <v>258.96708153553107</v>
      </c>
      <c r="P600" s="115">
        <f t="shared" si="159"/>
        <v>289.82421537492792</v>
      </c>
      <c r="Q600" s="115">
        <f t="shared" si="160"/>
        <v>34.395921061125925</v>
      </c>
    </row>
    <row r="601" spans="1:17" x14ac:dyDescent="0.25">
      <c r="A601" s="114">
        <f t="shared" si="167"/>
        <v>44580</v>
      </c>
      <c r="B601">
        <f t="shared" si="161"/>
        <v>5.5</v>
      </c>
      <c r="C601" s="109">
        <f t="shared" si="162"/>
        <v>19.066666666666666</v>
      </c>
      <c r="D601" s="109">
        <f t="shared" si="163"/>
        <v>72.86666666666666</v>
      </c>
      <c r="E601" s="107">
        <f t="shared" si="164"/>
        <v>44580.388888888891</v>
      </c>
      <c r="F601" s="106">
        <f t="shared" si="166"/>
        <v>44580.301905218665</v>
      </c>
      <c r="G601" t="str">
        <f t="shared" si="165"/>
        <v>Wednesday</v>
      </c>
      <c r="H601" s="129">
        <v>0.61805555555554303</v>
      </c>
      <c r="I601" s="115">
        <f t="shared" si="152"/>
        <v>47.088676848079771</v>
      </c>
      <c r="J601" s="115">
        <f t="shared" si="153"/>
        <v>275.10423011282569</v>
      </c>
      <c r="K601" s="115">
        <f t="shared" si="154"/>
        <v>110.86116008439176</v>
      </c>
      <c r="L601" s="115">
        <f t="shared" si="155"/>
        <v>242.11290185721302</v>
      </c>
      <c r="M601" s="115">
        <f t="shared" si="156"/>
        <v>283.86495438489158</v>
      </c>
      <c r="N601" s="115">
        <f t="shared" si="157"/>
        <v>310.21105482808821</v>
      </c>
      <c r="O601" s="115">
        <f t="shared" si="158"/>
        <v>258.9656787280847</v>
      </c>
      <c r="P601" s="115">
        <f t="shared" si="159"/>
        <v>289.82462243811341</v>
      </c>
      <c r="Q601" s="115">
        <f t="shared" si="160"/>
        <v>34.395737061173108</v>
      </c>
    </row>
    <row r="602" spans="1:17" x14ac:dyDescent="0.25">
      <c r="A602" s="114">
        <f t="shared" si="167"/>
        <v>44580</v>
      </c>
      <c r="B602">
        <f t="shared" si="161"/>
        <v>5.5</v>
      </c>
      <c r="C602" s="109">
        <f t="shared" si="162"/>
        <v>19.066666666666666</v>
      </c>
      <c r="D602" s="109">
        <f t="shared" si="163"/>
        <v>72.86666666666666</v>
      </c>
      <c r="E602" s="107">
        <f t="shared" si="164"/>
        <v>44580.392361111117</v>
      </c>
      <c r="F602" s="106">
        <f t="shared" si="166"/>
        <v>44580.301905218665</v>
      </c>
      <c r="G602" t="str">
        <f t="shared" si="165"/>
        <v>Wednesday</v>
      </c>
      <c r="H602" s="129">
        <v>0.62152777777776502</v>
      </c>
      <c r="I602" s="115">
        <f t="shared" si="152"/>
        <v>48.322391712223208</v>
      </c>
      <c r="J602" s="115">
        <f t="shared" si="153"/>
        <v>275.10776341313482</v>
      </c>
      <c r="K602" s="115">
        <f t="shared" si="154"/>
        <v>110.90427683215239</v>
      </c>
      <c r="L602" s="115">
        <f t="shared" si="155"/>
        <v>242.11540902926828</v>
      </c>
      <c r="M602" s="115">
        <f t="shared" si="156"/>
        <v>283.86177412762606</v>
      </c>
      <c r="N602" s="115">
        <f t="shared" si="157"/>
        <v>310.21181562062566</v>
      </c>
      <c r="O602" s="115">
        <f t="shared" si="158"/>
        <v>258.96427635425027</v>
      </c>
      <c r="P602" s="115">
        <f t="shared" si="159"/>
        <v>289.82502950597905</v>
      </c>
      <c r="Q602" s="115">
        <f t="shared" si="160"/>
        <v>34.395553061203763</v>
      </c>
    </row>
    <row r="603" spans="1:17" x14ac:dyDescent="0.25">
      <c r="A603" s="114">
        <f t="shared" si="167"/>
        <v>44580</v>
      </c>
      <c r="B603">
        <f t="shared" si="161"/>
        <v>5.5</v>
      </c>
      <c r="C603" s="109">
        <f t="shared" si="162"/>
        <v>19.066666666666666</v>
      </c>
      <c r="D603" s="109">
        <f t="shared" si="163"/>
        <v>72.86666666666666</v>
      </c>
      <c r="E603" s="107">
        <f t="shared" si="164"/>
        <v>44580.395833333336</v>
      </c>
      <c r="F603" s="106">
        <f t="shared" si="166"/>
        <v>44580.301905218665</v>
      </c>
      <c r="G603" t="str">
        <f t="shared" si="165"/>
        <v>Wednesday</v>
      </c>
      <c r="H603" s="129">
        <v>0.62499999999998701</v>
      </c>
      <c r="I603" s="115">
        <f t="shared" si="152"/>
        <v>49.549054427978973</v>
      </c>
      <c r="J603" s="115">
        <f t="shared" si="153"/>
        <v>275.11129671230015</v>
      </c>
      <c r="K603" s="115">
        <f t="shared" si="154"/>
        <v>110.94739569782431</v>
      </c>
      <c r="L603" s="115">
        <f t="shared" si="155"/>
        <v>242.1179162094063</v>
      </c>
      <c r="M603" s="115">
        <f t="shared" si="156"/>
        <v>283.85859199149047</v>
      </c>
      <c r="N603" s="115">
        <f t="shared" si="157"/>
        <v>310.21257642607964</v>
      </c>
      <c r="O603" s="115">
        <f t="shared" si="158"/>
        <v>258.96287441382509</v>
      </c>
      <c r="P603" s="115">
        <f t="shared" si="159"/>
        <v>289.82543657713717</v>
      </c>
      <c r="Q603" s="115">
        <f t="shared" si="160"/>
        <v>34.395369061201336</v>
      </c>
    </row>
    <row r="604" spans="1:17" x14ac:dyDescent="0.25">
      <c r="A604" s="114">
        <f t="shared" si="167"/>
        <v>44580</v>
      </c>
      <c r="B604">
        <f t="shared" si="161"/>
        <v>5.5</v>
      </c>
      <c r="C604" s="109">
        <f t="shared" si="162"/>
        <v>19.066666666666666</v>
      </c>
      <c r="D604" s="109">
        <f t="shared" si="163"/>
        <v>72.86666666666666</v>
      </c>
      <c r="E604" s="107">
        <f t="shared" si="164"/>
        <v>44580.399305555555</v>
      </c>
      <c r="F604" s="106">
        <f t="shared" si="166"/>
        <v>44580.301905218665</v>
      </c>
      <c r="G604" t="str">
        <f t="shared" si="165"/>
        <v>Wednesday</v>
      </c>
      <c r="H604" s="129">
        <v>0.628472222222209</v>
      </c>
      <c r="I604" s="115">
        <f t="shared" si="152"/>
        <v>50.768881195183504</v>
      </c>
      <c r="J604" s="115">
        <f t="shared" si="153"/>
        <v>275.11483000915393</v>
      </c>
      <c r="K604" s="115">
        <f t="shared" si="154"/>
        <v>110.99051667020652</v>
      </c>
      <c r="L604" s="115">
        <f t="shared" si="155"/>
        <v>242.12042339664634</v>
      </c>
      <c r="M604" s="115">
        <f t="shared" si="156"/>
        <v>283.85540797841162</v>
      </c>
      <c r="N604" s="115">
        <f t="shared" si="157"/>
        <v>310.2133372440282</v>
      </c>
      <c r="O604" s="115">
        <f t="shared" si="158"/>
        <v>258.96147290722007</v>
      </c>
      <c r="P604" s="115">
        <f t="shared" si="159"/>
        <v>289.82584365217218</v>
      </c>
      <c r="Q604" s="115">
        <f t="shared" si="160"/>
        <v>34.395185061281687</v>
      </c>
    </row>
    <row r="605" spans="1:17" x14ac:dyDescent="0.25">
      <c r="A605" s="114">
        <f t="shared" si="167"/>
        <v>44580</v>
      </c>
      <c r="B605">
        <f t="shared" si="161"/>
        <v>5.5</v>
      </c>
      <c r="C605" s="109">
        <f t="shared" si="162"/>
        <v>19.066666666666666</v>
      </c>
      <c r="D605" s="109">
        <f t="shared" si="163"/>
        <v>72.86666666666666</v>
      </c>
      <c r="E605" s="107">
        <f t="shared" si="164"/>
        <v>44580.402777777781</v>
      </c>
      <c r="F605" s="106">
        <f t="shared" si="166"/>
        <v>44580.301905218665</v>
      </c>
      <c r="G605" t="str">
        <f t="shared" si="165"/>
        <v>Wednesday</v>
      </c>
      <c r="H605" s="129">
        <v>0.63194444444443099</v>
      </c>
      <c r="I605" s="115">
        <f t="shared" ref="I605:I668" si="168">(Asdt(C605,D605,E605))</f>
        <v>51.982090909370953</v>
      </c>
      <c r="J605" s="115">
        <f t="shared" ref="J605:J668" si="169">(Planet(E605,0))</f>
        <v>275.11836330485414</v>
      </c>
      <c r="K605" s="115">
        <f t="shared" ref="K605:K668" si="170">(Planet(E605,1))</f>
        <v>111.03363976110239</v>
      </c>
      <c r="L605" s="115">
        <f t="shared" ref="L605:L668" si="171">(Planet(E605,4))</f>
        <v>242.12293059199163</v>
      </c>
      <c r="M605" s="115">
        <f t="shared" ref="M605:M668" si="172">(Planet(E605,2))</f>
        <v>283.85222208857465</v>
      </c>
      <c r="N605" s="115">
        <f t="shared" ref="N605:N668" si="173">(Planet(E605,5))</f>
        <v>310.21409807436072</v>
      </c>
      <c r="O605" s="115">
        <f t="shared" ref="O605:O668" si="174">Planet(E605,3)</f>
        <v>258.96007183433807</v>
      </c>
      <c r="P605" s="115">
        <f t="shared" ref="P605:P668" si="175">Planet(E605,6)</f>
        <v>289.82625073128918</v>
      </c>
      <c r="Q605" s="115">
        <f t="shared" ref="Q605:Q668" si="176">Planet(E605,10)</f>
        <v>34.39500106129573</v>
      </c>
    </row>
    <row r="606" spans="1:17" x14ac:dyDescent="0.25">
      <c r="A606" s="114">
        <f t="shared" si="167"/>
        <v>44580</v>
      </c>
      <c r="B606">
        <f t="shared" si="161"/>
        <v>5.5</v>
      </c>
      <c r="C606" s="109">
        <f t="shared" si="162"/>
        <v>19.066666666666666</v>
      </c>
      <c r="D606" s="109">
        <f t="shared" si="163"/>
        <v>72.86666666666666</v>
      </c>
      <c r="E606" s="107">
        <f t="shared" si="164"/>
        <v>44580.40625</v>
      </c>
      <c r="F606" s="106">
        <f t="shared" si="166"/>
        <v>44580.301905218665</v>
      </c>
      <c r="G606" t="str">
        <f t="shared" si="165"/>
        <v>Wednesday</v>
      </c>
      <c r="H606" s="129">
        <v>0.63541666666665297</v>
      </c>
      <c r="I606" s="115">
        <f t="shared" si="168"/>
        <v>53.188903391318831</v>
      </c>
      <c r="J606" s="115">
        <f t="shared" si="169"/>
        <v>275.12189659838833</v>
      </c>
      <c r="K606" s="115">
        <f t="shared" si="170"/>
        <v>111.07676495929309</v>
      </c>
      <c r="L606" s="115">
        <f t="shared" si="171"/>
        <v>242.12543779468362</v>
      </c>
      <c r="M606" s="115">
        <f t="shared" si="172"/>
        <v>283.84903432371561</v>
      </c>
      <c r="N606" s="115">
        <f t="shared" si="173"/>
        <v>310.21485891740451</v>
      </c>
      <c r="O606" s="115">
        <f t="shared" si="174"/>
        <v>258.95867119534876</v>
      </c>
      <c r="P606" s="115">
        <f t="shared" si="175"/>
        <v>289.82665781427841</v>
      </c>
      <c r="Q606" s="115">
        <f t="shared" si="176"/>
        <v>34.394817061342927</v>
      </c>
    </row>
    <row r="607" spans="1:17" x14ac:dyDescent="0.25">
      <c r="A607" s="114">
        <f t="shared" si="167"/>
        <v>44580</v>
      </c>
      <c r="B607">
        <f t="shared" si="161"/>
        <v>5.5</v>
      </c>
      <c r="C607" s="109">
        <f t="shared" si="162"/>
        <v>19.066666666666666</v>
      </c>
      <c r="D607" s="109">
        <f t="shared" si="163"/>
        <v>72.86666666666666</v>
      </c>
      <c r="E607" s="107">
        <f t="shared" si="164"/>
        <v>44580.409722222226</v>
      </c>
      <c r="F607" s="106">
        <f t="shared" si="166"/>
        <v>44580.301905218665</v>
      </c>
      <c r="G607" t="str">
        <f t="shared" si="165"/>
        <v>Wednesday</v>
      </c>
      <c r="H607" s="129">
        <v>0.63888888888887496</v>
      </c>
      <c r="I607" s="115">
        <f t="shared" si="168"/>
        <v>54.389540090788856</v>
      </c>
      <c r="J607" s="115">
        <f t="shared" si="169"/>
        <v>275.12542989021682</v>
      </c>
      <c r="K607" s="115">
        <f t="shared" si="170"/>
        <v>111.1198922708234</v>
      </c>
      <c r="L607" s="115">
        <f t="shared" si="171"/>
        <v>242.12794500499274</v>
      </c>
      <c r="M607" s="115">
        <f t="shared" si="172"/>
        <v>283.84584468438374</v>
      </c>
      <c r="N607" s="115">
        <f t="shared" si="173"/>
        <v>310.21561977301309</v>
      </c>
      <c r="O607" s="115">
        <f t="shared" si="174"/>
        <v>258.95727099035872</v>
      </c>
      <c r="P607" s="115">
        <f t="shared" si="175"/>
        <v>289.82706490094637</v>
      </c>
      <c r="Q607" s="115">
        <f t="shared" si="176"/>
        <v>34.394633061406701</v>
      </c>
    </row>
    <row r="608" spans="1:17" x14ac:dyDescent="0.25">
      <c r="A608" s="114">
        <f t="shared" si="167"/>
        <v>44580</v>
      </c>
      <c r="B608">
        <f t="shared" si="161"/>
        <v>5.5</v>
      </c>
      <c r="C608" s="109">
        <f t="shared" si="162"/>
        <v>19.066666666666666</v>
      </c>
      <c r="D608" s="109">
        <f t="shared" si="163"/>
        <v>72.86666666666666</v>
      </c>
      <c r="E608" s="107">
        <f t="shared" si="164"/>
        <v>44580.413194444445</v>
      </c>
      <c r="F608" s="106">
        <f t="shared" si="166"/>
        <v>44580.301905218665</v>
      </c>
      <c r="G608" t="str">
        <f t="shared" si="165"/>
        <v>Wednesday</v>
      </c>
      <c r="H608" s="129">
        <v>0.64236111111109695</v>
      </c>
      <c r="I608" s="115">
        <f t="shared" si="168"/>
        <v>55.584223193871274</v>
      </c>
      <c r="J608" s="115">
        <f t="shared" si="169"/>
        <v>275.12896318083233</v>
      </c>
      <c r="K608" s="115">
        <f t="shared" si="170"/>
        <v>111.16302170178231</v>
      </c>
      <c r="L608" s="115">
        <f t="shared" si="171"/>
        <v>242.13045222334091</v>
      </c>
      <c r="M608" s="115">
        <f t="shared" si="172"/>
        <v>283.84265317149971</v>
      </c>
      <c r="N608" s="115">
        <f t="shared" si="173"/>
        <v>310.21638064132338</v>
      </c>
      <c r="O608" s="115">
        <f t="shared" si="174"/>
        <v>258.95587121919311</v>
      </c>
      <c r="P608" s="115">
        <f t="shared" si="175"/>
        <v>289.8274719915691</v>
      </c>
      <c r="Q608" s="115">
        <f t="shared" si="176"/>
        <v>34.394449061420829</v>
      </c>
    </row>
    <row r="609" spans="1:17" x14ac:dyDescent="0.25">
      <c r="A609" s="114">
        <f t="shared" si="167"/>
        <v>44580</v>
      </c>
      <c r="B609">
        <f t="shared" si="161"/>
        <v>5.5</v>
      </c>
      <c r="C609" s="109">
        <f t="shared" si="162"/>
        <v>19.066666666666666</v>
      </c>
      <c r="D609" s="109">
        <f t="shared" si="163"/>
        <v>72.86666666666666</v>
      </c>
      <c r="E609" s="107">
        <f t="shared" si="164"/>
        <v>44580.416666666672</v>
      </c>
      <c r="F609" s="106">
        <f t="shared" si="166"/>
        <v>44580.301905218665</v>
      </c>
      <c r="G609" t="str">
        <f t="shared" si="165"/>
        <v>Wednesday</v>
      </c>
      <c r="H609" s="129">
        <v>0.64583333333331905</v>
      </c>
      <c r="I609" s="115">
        <f t="shared" si="168"/>
        <v>56.773174766129117</v>
      </c>
      <c r="J609" s="115">
        <f t="shared" si="169"/>
        <v>275.13249646933082</v>
      </c>
      <c r="K609" s="115">
        <f t="shared" si="170"/>
        <v>111.20615324086114</v>
      </c>
      <c r="L609" s="115">
        <f t="shared" si="171"/>
        <v>242.13295944918011</v>
      </c>
      <c r="M609" s="115">
        <f t="shared" si="172"/>
        <v>283.8394597866963</v>
      </c>
      <c r="N609" s="115">
        <f t="shared" si="173"/>
        <v>310.21714152224416</v>
      </c>
      <c r="O609" s="115">
        <f t="shared" si="174"/>
        <v>258.95447188229059</v>
      </c>
      <c r="P609" s="115">
        <f t="shared" si="175"/>
        <v>289.82787908593741</v>
      </c>
      <c r="Q609" s="115">
        <f t="shared" si="176"/>
        <v>34.394265061451485</v>
      </c>
    </row>
    <row r="610" spans="1:17" x14ac:dyDescent="0.25">
      <c r="A610" s="114">
        <f>A609+1</f>
        <v>44581</v>
      </c>
      <c r="B610">
        <f t="shared" si="161"/>
        <v>5.5</v>
      </c>
      <c r="C610" s="109">
        <f t="shared" si="162"/>
        <v>19.066666666666666</v>
      </c>
      <c r="D610" s="109">
        <f t="shared" si="163"/>
        <v>72.86666666666666</v>
      </c>
      <c r="E610" s="107">
        <f t="shared" si="164"/>
        <v>44581.15625</v>
      </c>
      <c r="F610" s="106">
        <f t="shared" si="166"/>
        <v>44581.301885113273</v>
      </c>
      <c r="G610" t="str">
        <f t="shared" si="165"/>
        <v>Thursday</v>
      </c>
      <c r="H610" s="129">
        <v>0.38541666666666669</v>
      </c>
      <c r="I610" s="115">
        <f t="shared" si="168"/>
        <v>308.88967296635843</v>
      </c>
      <c r="J610" s="115">
        <f t="shared" si="169"/>
        <v>275.88504864945116</v>
      </c>
      <c r="K610" s="115">
        <f t="shared" si="170"/>
        <v>120.44181523661481</v>
      </c>
      <c r="L610" s="115">
        <f t="shared" si="171"/>
        <v>242.66717344551546</v>
      </c>
      <c r="M610" s="115">
        <f t="shared" si="172"/>
        <v>283.11837677910358</v>
      </c>
      <c r="N610" s="115">
        <f t="shared" si="173"/>
        <v>310.37949444084262</v>
      </c>
      <c r="O610" s="115">
        <f t="shared" si="174"/>
        <v>258.66643558387148</v>
      </c>
      <c r="P610" s="115">
        <f t="shared" si="175"/>
        <v>289.91467705597853</v>
      </c>
      <c r="Q610" s="115">
        <f t="shared" si="176"/>
        <v>34.355073068940619</v>
      </c>
    </row>
    <row r="611" spans="1:17" x14ac:dyDescent="0.25">
      <c r="A611" s="114">
        <f>A610</f>
        <v>44581</v>
      </c>
      <c r="B611">
        <f t="shared" si="161"/>
        <v>5.5</v>
      </c>
      <c r="C611" s="109">
        <f t="shared" si="162"/>
        <v>19.066666666666666</v>
      </c>
      <c r="D611" s="109">
        <f t="shared" si="163"/>
        <v>72.86666666666666</v>
      </c>
      <c r="E611" s="107">
        <f t="shared" si="164"/>
        <v>44581.159722222226</v>
      </c>
      <c r="F611" s="106">
        <f t="shared" si="166"/>
        <v>44581.301885113273</v>
      </c>
      <c r="G611" t="str">
        <f t="shared" si="165"/>
        <v>Thursday</v>
      </c>
      <c r="H611" s="129">
        <v>0.3888888888888889</v>
      </c>
      <c r="I611" s="115">
        <f t="shared" si="168"/>
        <v>310.42363155785949</v>
      </c>
      <c r="J611" s="115">
        <f t="shared" si="169"/>
        <v>275.88858157988909</v>
      </c>
      <c r="K611" s="115">
        <f t="shared" si="170"/>
        <v>120.48540567248546</v>
      </c>
      <c r="L611" s="115">
        <f t="shared" si="171"/>
        <v>242.66968231436584</v>
      </c>
      <c r="M611" s="115">
        <f t="shared" si="172"/>
        <v>283.11480819644038</v>
      </c>
      <c r="N611" s="115">
        <f t="shared" si="173"/>
        <v>310.38025799337782</v>
      </c>
      <c r="O611" s="115">
        <f t="shared" si="174"/>
        <v>258.66513093949544</v>
      </c>
      <c r="P611" s="115">
        <f t="shared" si="175"/>
        <v>289.91508496019543</v>
      </c>
      <c r="Q611" s="115">
        <f t="shared" si="176"/>
        <v>34.354889068987852</v>
      </c>
    </row>
    <row r="612" spans="1:17" x14ac:dyDescent="0.25">
      <c r="A612" s="114">
        <f t="shared" ref="A612:A675" si="177">A611</f>
        <v>44581</v>
      </c>
      <c r="B612">
        <f t="shared" si="161"/>
        <v>5.5</v>
      </c>
      <c r="C612" s="109">
        <f t="shared" si="162"/>
        <v>19.066666666666666</v>
      </c>
      <c r="D612" s="109">
        <f t="shared" si="163"/>
        <v>72.86666666666666</v>
      </c>
      <c r="E612" s="107">
        <f t="shared" si="164"/>
        <v>44581.163194444445</v>
      </c>
      <c r="F612" s="106">
        <f t="shared" si="166"/>
        <v>44581.301885113273</v>
      </c>
      <c r="G612" t="str">
        <f t="shared" si="165"/>
        <v>Thursday</v>
      </c>
      <c r="H612" s="129">
        <v>0.39236111111111099</v>
      </c>
      <c r="I612" s="115">
        <f t="shared" si="168"/>
        <v>311.96546578396209</v>
      </c>
      <c r="J612" s="115">
        <f t="shared" si="169"/>
        <v>275.89211450898244</v>
      </c>
      <c r="K612" s="115">
        <f t="shared" si="170"/>
        <v>120.52899828881181</v>
      </c>
      <c r="L612" s="115">
        <f t="shared" si="171"/>
        <v>242.67219119119832</v>
      </c>
      <c r="M612" s="115">
        <f t="shared" si="172"/>
        <v>283.11123798654046</v>
      </c>
      <c r="N612" s="115">
        <f t="shared" si="173"/>
        <v>310.38102155776284</v>
      </c>
      <c r="O612" s="115">
        <f t="shared" si="174"/>
        <v>258.66382674536686</v>
      </c>
      <c r="P612" s="115">
        <f t="shared" si="175"/>
        <v>289.91549286824096</v>
      </c>
      <c r="Q612" s="115">
        <f t="shared" si="176"/>
        <v>34.354705069018536</v>
      </c>
    </row>
    <row r="613" spans="1:17" x14ac:dyDescent="0.25">
      <c r="A613" s="114">
        <f t="shared" si="177"/>
        <v>44581</v>
      </c>
      <c r="B613">
        <f t="shared" si="161"/>
        <v>5.5</v>
      </c>
      <c r="C613" s="109">
        <f t="shared" si="162"/>
        <v>19.066666666666666</v>
      </c>
      <c r="D613" s="109">
        <f t="shared" si="163"/>
        <v>72.86666666666666</v>
      </c>
      <c r="E613" s="107">
        <f t="shared" si="164"/>
        <v>44581.166666666672</v>
      </c>
      <c r="F613" s="106">
        <f t="shared" si="166"/>
        <v>44581.301885113273</v>
      </c>
      <c r="G613" t="str">
        <f t="shared" si="165"/>
        <v>Thursday</v>
      </c>
      <c r="H613" s="129">
        <v>0.39583333333333298</v>
      </c>
      <c r="I613" s="115">
        <f t="shared" si="168"/>
        <v>313.51483615991691</v>
      </c>
      <c r="J613" s="115">
        <f t="shared" si="169"/>
        <v>275.89564743593644</v>
      </c>
      <c r="K613" s="115">
        <f t="shared" si="170"/>
        <v>120.57259307414947</v>
      </c>
      <c r="L613" s="115">
        <f t="shared" si="171"/>
        <v>242.67470007527481</v>
      </c>
      <c r="M613" s="115">
        <f t="shared" si="172"/>
        <v>283.10766615195945</v>
      </c>
      <c r="N613" s="115">
        <f t="shared" si="173"/>
        <v>310.38178513499741</v>
      </c>
      <c r="O613" s="115">
        <f t="shared" si="174"/>
        <v>258.66252300210778</v>
      </c>
      <c r="P613" s="115">
        <f t="shared" si="175"/>
        <v>289.91590077986376</v>
      </c>
      <c r="Q613" s="115">
        <f t="shared" si="176"/>
        <v>34.354521069082303</v>
      </c>
    </row>
    <row r="614" spans="1:17" x14ac:dyDescent="0.25">
      <c r="A614" s="114">
        <f t="shared" si="177"/>
        <v>44581</v>
      </c>
      <c r="B614">
        <f t="shared" si="161"/>
        <v>5.5</v>
      </c>
      <c r="C614" s="109">
        <f t="shared" si="162"/>
        <v>19.066666666666666</v>
      </c>
      <c r="D614" s="109">
        <f t="shared" si="163"/>
        <v>72.86666666666666</v>
      </c>
      <c r="E614" s="107">
        <f t="shared" si="164"/>
        <v>44581.170138888891</v>
      </c>
      <c r="F614" s="106">
        <f t="shared" si="166"/>
        <v>44581.301885113273</v>
      </c>
      <c r="G614" t="str">
        <f t="shared" si="165"/>
        <v>Thursday</v>
      </c>
      <c r="H614" s="129">
        <v>0.39930555555555503</v>
      </c>
      <c r="I614" s="115">
        <f t="shared" si="168"/>
        <v>315.07137834412646</v>
      </c>
      <c r="J614" s="115">
        <f t="shared" si="169"/>
        <v>275.89918036178329</v>
      </c>
      <c r="K614" s="115">
        <f t="shared" si="170"/>
        <v>120.61619004048852</v>
      </c>
      <c r="L614" s="115">
        <f t="shared" si="171"/>
        <v>242.67720896741525</v>
      </c>
      <c r="M614" s="115">
        <f t="shared" si="172"/>
        <v>283.10409269274476</v>
      </c>
      <c r="N614" s="115">
        <f t="shared" si="173"/>
        <v>310.38254872449426</v>
      </c>
      <c r="O614" s="115">
        <f t="shared" si="174"/>
        <v>258.66121970922234</v>
      </c>
      <c r="P614" s="115">
        <f t="shared" si="175"/>
        <v>289.91630869485181</v>
      </c>
      <c r="Q614" s="115">
        <f t="shared" si="176"/>
        <v>34.354337069079804</v>
      </c>
    </row>
    <row r="615" spans="1:17" x14ac:dyDescent="0.25">
      <c r="A615" s="114">
        <f t="shared" si="177"/>
        <v>44581</v>
      </c>
      <c r="B615">
        <f t="shared" si="161"/>
        <v>5.5</v>
      </c>
      <c r="C615" s="109">
        <f t="shared" si="162"/>
        <v>19.066666666666666</v>
      </c>
      <c r="D615" s="109">
        <f t="shared" si="163"/>
        <v>72.86666666666666</v>
      </c>
      <c r="E615" s="107">
        <f t="shared" si="164"/>
        <v>44581.173611111117</v>
      </c>
      <c r="F615" s="106">
        <f t="shared" si="166"/>
        <v>44581.301885113273</v>
      </c>
      <c r="G615" t="str">
        <f t="shared" si="165"/>
        <v>Thursday</v>
      </c>
      <c r="H615" s="129">
        <v>0.40277777777777801</v>
      </c>
      <c r="I615" s="115">
        <f t="shared" si="168"/>
        <v>316.63470211061752</v>
      </c>
      <c r="J615" s="115">
        <f t="shared" si="169"/>
        <v>275.90271328550483</v>
      </c>
      <c r="K615" s="115">
        <f t="shared" si="170"/>
        <v>120.65978917645084</v>
      </c>
      <c r="L615" s="115">
        <f t="shared" si="171"/>
        <v>242.67971786694648</v>
      </c>
      <c r="M615" s="115">
        <f t="shared" si="172"/>
        <v>283.10051761098799</v>
      </c>
      <c r="N615" s="115">
        <f t="shared" si="173"/>
        <v>310.38331232623449</v>
      </c>
      <c r="O615" s="115">
        <f t="shared" si="174"/>
        <v>258.65991686721469</v>
      </c>
      <c r="P615" s="115">
        <f t="shared" si="175"/>
        <v>289.91671661417899</v>
      </c>
      <c r="Q615" s="115">
        <f t="shared" si="176"/>
        <v>34.354153069127051</v>
      </c>
    </row>
    <row r="616" spans="1:17" x14ac:dyDescent="0.25">
      <c r="A616" s="114">
        <f t="shared" si="177"/>
        <v>44581</v>
      </c>
      <c r="B616">
        <f t="shared" si="161"/>
        <v>5.5</v>
      </c>
      <c r="C616" s="109">
        <f t="shared" si="162"/>
        <v>19.066666666666666</v>
      </c>
      <c r="D616" s="109">
        <f t="shared" si="163"/>
        <v>72.86666666666666</v>
      </c>
      <c r="E616" s="107">
        <f t="shared" si="164"/>
        <v>44581.177083333336</v>
      </c>
      <c r="F616" s="106">
        <f t="shared" si="166"/>
        <v>44581.301885113273</v>
      </c>
      <c r="G616" t="str">
        <f t="shared" si="165"/>
        <v>Thursday</v>
      </c>
      <c r="H616" s="129">
        <v>0.40625</v>
      </c>
      <c r="I616" s="115">
        <f t="shared" si="168"/>
        <v>318.20439382469601</v>
      </c>
      <c r="J616" s="115">
        <f t="shared" si="169"/>
        <v>275.90624620803862</v>
      </c>
      <c r="K616" s="115">
        <f t="shared" si="170"/>
        <v>120.70339049399473</v>
      </c>
      <c r="L616" s="115">
        <f t="shared" si="171"/>
        <v>242.68222677457425</v>
      </c>
      <c r="M616" s="115">
        <f t="shared" si="172"/>
        <v>283.09694090724918</v>
      </c>
      <c r="N616" s="115">
        <f t="shared" si="173"/>
        <v>310.38407594063625</v>
      </c>
      <c r="O616" s="115">
        <f t="shared" si="174"/>
        <v>258.65861447579437</v>
      </c>
      <c r="P616" s="115">
        <f t="shared" si="175"/>
        <v>289.91712453699461</v>
      </c>
      <c r="Q616" s="115">
        <f t="shared" si="176"/>
        <v>34.353969069157735</v>
      </c>
    </row>
    <row r="617" spans="1:17" x14ac:dyDescent="0.25">
      <c r="A617" s="114">
        <f t="shared" si="177"/>
        <v>44581</v>
      </c>
      <c r="B617">
        <f t="shared" si="161"/>
        <v>5.5</v>
      </c>
      <c r="C617" s="109">
        <f t="shared" si="162"/>
        <v>19.066666666666666</v>
      </c>
      <c r="D617" s="109">
        <f t="shared" si="163"/>
        <v>72.86666666666666</v>
      </c>
      <c r="E617" s="107">
        <f t="shared" si="164"/>
        <v>44581.180555555555</v>
      </c>
      <c r="F617" s="106">
        <f t="shared" si="166"/>
        <v>44581.301885113273</v>
      </c>
      <c r="G617" t="str">
        <f t="shared" si="165"/>
        <v>Thursday</v>
      </c>
      <c r="H617" s="129">
        <v>0.40972222222222199</v>
      </c>
      <c r="I617" s="115">
        <f t="shared" si="168"/>
        <v>319.78001575007744</v>
      </c>
      <c r="J617" s="115">
        <f t="shared" si="169"/>
        <v>275.90977912857477</v>
      </c>
      <c r="K617" s="115">
        <f t="shared" si="170"/>
        <v>120.74699398173699</v>
      </c>
      <c r="L617" s="115">
        <f t="shared" si="171"/>
        <v>242.68473568966709</v>
      </c>
      <c r="M617" s="115">
        <f t="shared" si="172"/>
        <v>283.093362583496</v>
      </c>
      <c r="N617" s="115">
        <f t="shared" si="173"/>
        <v>310.38483956739896</v>
      </c>
      <c r="O617" s="115">
        <f t="shared" si="174"/>
        <v>258.65731253535665</v>
      </c>
      <c r="P617" s="115">
        <f t="shared" si="175"/>
        <v>289.91753246363874</v>
      </c>
      <c r="Q617" s="115">
        <f t="shared" si="176"/>
        <v>34.353785069204967</v>
      </c>
    </row>
    <row r="618" spans="1:17" x14ac:dyDescent="0.25">
      <c r="A618" s="114">
        <f t="shared" si="177"/>
        <v>44581</v>
      </c>
      <c r="B618">
        <f t="shared" si="161"/>
        <v>5.5</v>
      </c>
      <c r="C618" s="109">
        <f t="shared" si="162"/>
        <v>19.066666666666666</v>
      </c>
      <c r="D618" s="109">
        <f t="shared" si="163"/>
        <v>72.86666666666666</v>
      </c>
      <c r="E618" s="107">
        <f t="shared" si="164"/>
        <v>44581.184027777781</v>
      </c>
      <c r="F618" s="106">
        <f t="shared" si="166"/>
        <v>44581.301885113273</v>
      </c>
      <c r="G618" t="str">
        <f t="shared" si="165"/>
        <v>Thursday</v>
      </c>
      <c r="H618" s="129">
        <v>0.41319444444444398</v>
      </c>
      <c r="I618" s="115">
        <f t="shared" si="168"/>
        <v>321.36110890045626</v>
      </c>
      <c r="J618" s="115">
        <f t="shared" si="169"/>
        <v>275.91331204769881</v>
      </c>
      <c r="K618" s="115">
        <f t="shared" si="170"/>
        <v>120.79059965166931</v>
      </c>
      <c r="L618" s="115">
        <f t="shared" si="171"/>
        <v>242.68724461249394</v>
      </c>
      <c r="M618" s="115">
        <f t="shared" si="172"/>
        <v>283.0897826401935</v>
      </c>
      <c r="N618" s="115">
        <f t="shared" si="173"/>
        <v>310.38560320617063</v>
      </c>
      <c r="O618" s="115">
        <f t="shared" si="174"/>
        <v>258.65601104575563</v>
      </c>
      <c r="P618" s="115">
        <f t="shared" si="175"/>
        <v>289.917940393187</v>
      </c>
      <c r="Q618" s="115">
        <f t="shared" si="176"/>
        <v>34.353601069235523</v>
      </c>
    </row>
    <row r="619" spans="1:17" x14ac:dyDescent="0.25">
      <c r="A619" s="114">
        <f t="shared" si="177"/>
        <v>44581</v>
      </c>
      <c r="B619">
        <f t="shared" si="161"/>
        <v>5.5</v>
      </c>
      <c r="C619" s="109">
        <f t="shared" si="162"/>
        <v>19.066666666666666</v>
      </c>
      <c r="D619" s="109">
        <f t="shared" si="163"/>
        <v>72.86666666666666</v>
      </c>
      <c r="E619" s="107">
        <f t="shared" si="164"/>
        <v>44581.1875</v>
      </c>
      <c r="F619" s="106">
        <f t="shared" si="166"/>
        <v>44581.301885113273</v>
      </c>
      <c r="G619" t="str">
        <f t="shared" si="165"/>
        <v>Thursday</v>
      </c>
      <c r="H619" s="129">
        <v>0.41666666666666702</v>
      </c>
      <c r="I619" s="115">
        <f t="shared" si="168"/>
        <v>322.94719268269841</v>
      </c>
      <c r="J619" s="115">
        <f t="shared" si="169"/>
        <v>275.91684496481588</v>
      </c>
      <c r="K619" s="115">
        <f t="shared" si="170"/>
        <v>120.8342074923243</v>
      </c>
      <c r="L619" s="115">
        <f t="shared" si="171"/>
        <v>242.6897535427477</v>
      </c>
      <c r="M619" s="115">
        <f t="shared" si="172"/>
        <v>283.08620107947996</v>
      </c>
      <c r="N619" s="115">
        <f t="shared" si="173"/>
        <v>310.38636685761549</v>
      </c>
      <c r="O619" s="115">
        <f t="shared" si="174"/>
        <v>258.65471000718742</v>
      </c>
      <c r="P619" s="115">
        <f t="shared" si="175"/>
        <v>289.91834832720065</v>
      </c>
      <c r="Q619" s="115">
        <f t="shared" si="176"/>
        <v>34.3534170692662</v>
      </c>
    </row>
    <row r="620" spans="1:17" x14ac:dyDescent="0.25">
      <c r="A620" s="114">
        <f t="shared" si="177"/>
        <v>44581</v>
      </c>
      <c r="B620">
        <f t="shared" si="161"/>
        <v>5.5</v>
      </c>
      <c r="C620" s="109">
        <f t="shared" si="162"/>
        <v>19.066666666666666</v>
      </c>
      <c r="D620" s="109">
        <f t="shared" si="163"/>
        <v>72.86666666666666</v>
      </c>
      <c r="E620" s="107">
        <f t="shared" si="164"/>
        <v>44581.190972222226</v>
      </c>
      <c r="F620" s="106">
        <f t="shared" si="166"/>
        <v>44581.301885113273</v>
      </c>
      <c r="G620" t="str">
        <f t="shared" si="165"/>
        <v>Thursday</v>
      </c>
      <c r="H620" s="129">
        <v>0.42013888888888901</v>
      </c>
      <c r="I620" s="115">
        <f t="shared" si="168"/>
        <v>324.53776789115858</v>
      </c>
      <c r="J620" s="115">
        <f t="shared" si="169"/>
        <v>275.92037788026926</v>
      </c>
      <c r="K620" s="115">
        <f t="shared" si="170"/>
        <v>120.87781750987844</v>
      </c>
      <c r="L620" s="115">
        <f t="shared" si="171"/>
        <v>242.69226248078863</v>
      </c>
      <c r="M620" s="115">
        <f t="shared" si="172"/>
        <v>283.08261790213334</v>
      </c>
      <c r="N620" s="115">
        <f t="shared" si="173"/>
        <v>310.38713052105777</v>
      </c>
      <c r="O620" s="115">
        <f t="shared" si="174"/>
        <v>258.65340941973238</v>
      </c>
      <c r="P620" s="115">
        <f t="shared" si="175"/>
        <v>289.91875626495539</v>
      </c>
      <c r="Q620" s="115">
        <f t="shared" si="176"/>
        <v>34.353233069296884</v>
      </c>
    </row>
    <row r="621" spans="1:17" x14ac:dyDescent="0.25">
      <c r="A621" s="114">
        <f t="shared" si="177"/>
        <v>44581</v>
      </c>
      <c r="B621">
        <f t="shared" si="161"/>
        <v>5.5</v>
      </c>
      <c r="C621" s="109">
        <f t="shared" si="162"/>
        <v>19.066666666666666</v>
      </c>
      <c r="D621" s="109">
        <f t="shared" si="163"/>
        <v>72.86666666666666</v>
      </c>
      <c r="E621" s="107">
        <f t="shared" si="164"/>
        <v>44581.194444444445</v>
      </c>
      <c r="F621" s="106">
        <f t="shared" si="166"/>
        <v>44581.301885113273</v>
      </c>
      <c r="G621" t="str">
        <f t="shared" si="165"/>
        <v>Thursday</v>
      </c>
      <c r="H621" s="129">
        <v>0.42361111111111099</v>
      </c>
      <c r="I621" s="115">
        <f t="shared" si="168"/>
        <v>326.1323177377061</v>
      </c>
      <c r="J621" s="115">
        <f t="shared" si="169"/>
        <v>275.92391079455689</v>
      </c>
      <c r="K621" s="115">
        <f t="shared" si="170"/>
        <v>120.92142971050471</v>
      </c>
      <c r="L621" s="115">
        <f t="shared" si="171"/>
        <v>242.69477142678085</v>
      </c>
      <c r="M621" s="115">
        <f t="shared" si="172"/>
        <v>283.07903310890765</v>
      </c>
      <c r="N621" s="115">
        <f t="shared" si="173"/>
        <v>310.38789419736167</v>
      </c>
      <c r="O621" s="115">
        <f t="shared" si="174"/>
        <v>258.65210928324097</v>
      </c>
      <c r="P621" s="115">
        <f t="shared" si="175"/>
        <v>289.91916420595334</v>
      </c>
      <c r="Q621" s="115">
        <f t="shared" si="176"/>
        <v>34.353049069327575</v>
      </c>
    </row>
    <row r="622" spans="1:17" x14ac:dyDescent="0.25">
      <c r="A622" s="114">
        <f t="shared" si="177"/>
        <v>44581</v>
      </c>
      <c r="B622">
        <f t="shared" si="161"/>
        <v>5.5</v>
      </c>
      <c r="C622" s="109">
        <f t="shared" si="162"/>
        <v>19.066666666666666</v>
      </c>
      <c r="D622" s="109">
        <f t="shared" si="163"/>
        <v>72.86666666666666</v>
      </c>
      <c r="E622" s="107">
        <f t="shared" si="164"/>
        <v>44581.197916666672</v>
      </c>
      <c r="F622" s="106">
        <f t="shared" si="166"/>
        <v>44581.301885113273</v>
      </c>
      <c r="G622" t="str">
        <f t="shared" si="165"/>
        <v>Thursday</v>
      </c>
      <c r="H622" s="129">
        <v>0.42708333333333298</v>
      </c>
      <c r="I622" s="115">
        <f t="shared" si="168"/>
        <v>327.73030903105041</v>
      </c>
      <c r="J622" s="115">
        <f t="shared" si="169"/>
        <v>275.92744370683653</v>
      </c>
      <c r="K622" s="115">
        <f t="shared" si="170"/>
        <v>120.96504408276593</v>
      </c>
      <c r="L622" s="115">
        <f t="shared" si="171"/>
        <v>242.69728038036229</v>
      </c>
      <c r="M622" s="115">
        <f t="shared" si="172"/>
        <v>283.07544670209421</v>
      </c>
      <c r="N622" s="115">
        <f t="shared" si="173"/>
        <v>310.38865788572559</v>
      </c>
      <c r="O622" s="115">
        <f t="shared" si="174"/>
        <v>258.65080959816044</v>
      </c>
      <c r="P622" s="115">
        <f t="shared" si="175"/>
        <v>289.91957215063951</v>
      </c>
      <c r="Q622" s="115">
        <f t="shared" si="176"/>
        <v>34.352865069374758</v>
      </c>
    </row>
    <row r="623" spans="1:17" x14ac:dyDescent="0.25">
      <c r="A623" s="114">
        <f t="shared" si="177"/>
        <v>44581</v>
      </c>
      <c r="B623">
        <f t="shared" si="161"/>
        <v>5.5</v>
      </c>
      <c r="C623" s="109">
        <f t="shared" si="162"/>
        <v>19.066666666666666</v>
      </c>
      <c r="D623" s="109">
        <f t="shared" si="163"/>
        <v>72.86666666666666</v>
      </c>
      <c r="E623" s="107">
        <f t="shared" si="164"/>
        <v>44581.201388888891</v>
      </c>
      <c r="F623" s="106">
        <f t="shared" si="166"/>
        <v>44581.301885113273</v>
      </c>
      <c r="G623" t="str">
        <f t="shared" si="165"/>
        <v>Thursday</v>
      </c>
      <c r="H623" s="129">
        <v>0.43055555555555503</v>
      </c>
      <c r="I623" s="115">
        <f t="shared" si="168"/>
        <v>329.33119562696123</v>
      </c>
      <c r="J623" s="115">
        <f t="shared" si="169"/>
        <v>275.93097661784236</v>
      </c>
      <c r="K623" s="115">
        <f t="shared" si="170"/>
        <v>121.00866063861619</v>
      </c>
      <c r="L623" s="115">
        <f t="shared" si="171"/>
        <v>242.69978934178519</v>
      </c>
      <c r="M623" s="115">
        <f t="shared" si="172"/>
        <v>283.07185868191016</v>
      </c>
      <c r="N623" s="115">
        <f t="shared" si="173"/>
        <v>310.38942158662377</v>
      </c>
      <c r="O623" s="115">
        <f t="shared" si="174"/>
        <v>258.64951036415493</v>
      </c>
      <c r="P623" s="115">
        <f t="shared" si="175"/>
        <v>289.91998009953932</v>
      </c>
      <c r="Q623" s="115">
        <f t="shared" si="176"/>
        <v>34.352681069388815</v>
      </c>
    </row>
    <row r="624" spans="1:17" x14ac:dyDescent="0.25">
      <c r="A624" s="114">
        <f t="shared" si="177"/>
        <v>44581</v>
      </c>
      <c r="B624">
        <f t="shared" si="161"/>
        <v>5.5</v>
      </c>
      <c r="C624" s="109">
        <f t="shared" si="162"/>
        <v>19.066666666666666</v>
      </c>
      <c r="D624" s="109">
        <f t="shared" si="163"/>
        <v>72.86666666666666</v>
      </c>
      <c r="E624" s="107">
        <f t="shared" si="164"/>
        <v>44581.204861111117</v>
      </c>
      <c r="F624" s="106">
        <f t="shared" si="166"/>
        <v>44581.301885113273</v>
      </c>
      <c r="G624" t="str">
        <f t="shared" si="165"/>
        <v>Thursday</v>
      </c>
      <c r="H624" s="129">
        <v>0.43402777777777801</v>
      </c>
      <c r="I624" s="115">
        <f t="shared" si="168"/>
        <v>330.93441879816015</v>
      </c>
      <c r="J624" s="115">
        <f t="shared" si="169"/>
        <v>275.93450952657628</v>
      </c>
      <c r="K624" s="115">
        <f t="shared" si="170"/>
        <v>121.0522793667035</v>
      </c>
      <c r="L624" s="115">
        <f t="shared" si="171"/>
        <v>242.70229831036966</v>
      </c>
      <c r="M624" s="115">
        <f t="shared" si="172"/>
        <v>283.06826905068215</v>
      </c>
      <c r="N624" s="115">
        <f t="shared" si="173"/>
        <v>310.39018529963579</v>
      </c>
      <c r="O624" s="115">
        <f t="shared" si="174"/>
        <v>258.64821158160754</v>
      </c>
      <c r="P624" s="115">
        <f t="shared" si="175"/>
        <v>289.92038805204822</v>
      </c>
      <c r="Q624" s="115">
        <f t="shared" si="176"/>
        <v>34.352497069469173</v>
      </c>
    </row>
    <row r="625" spans="1:17" x14ac:dyDescent="0.25">
      <c r="A625" s="114">
        <f t="shared" si="177"/>
        <v>44581</v>
      </c>
      <c r="B625">
        <f t="shared" si="161"/>
        <v>5.5</v>
      </c>
      <c r="C625" s="109">
        <f t="shared" si="162"/>
        <v>19.066666666666666</v>
      </c>
      <c r="D625" s="109">
        <f t="shared" si="163"/>
        <v>72.86666666666666</v>
      </c>
      <c r="E625" s="107">
        <f t="shared" si="164"/>
        <v>44581.208333333336</v>
      </c>
      <c r="F625" s="106">
        <f t="shared" si="166"/>
        <v>44581.301885113273</v>
      </c>
      <c r="G625" t="str">
        <f t="shared" si="165"/>
        <v>Thursday</v>
      </c>
      <c r="H625" s="129">
        <v>0.4375</v>
      </c>
      <c r="I625" s="115">
        <f t="shared" si="168"/>
        <v>332.53941113589821</v>
      </c>
      <c r="J625" s="115">
        <f t="shared" si="169"/>
        <v>275.93804243426791</v>
      </c>
      <c r="K625" s="115">
        <f t="shared" si="170"/>
        <v>121.09590027900499</v>
      </c>
      <c r="L625" s="115">
        <f t="shared" si="171"/>
        <v>242.70480728717831</v>
      </c>
      <c r="M625" s="115">
        <f t="shared" si="172"/>
        <v>283.06467780850028</v>
      </c>
      <c r="N625" s="115">
        <f t="shared" si="173"/>
        <v>310.39094902533418</v>
      </c>
      <c r="O625" s="115">
        <f t="shared" si="174"/>
        <v>258.64691325032209</v>
      </c>
      <c r="P625" s="115">
        <f t="shared" si="175"/>
        <v>289.92079600759672</v>
      </c>
      <c r="Q625" s="115">
        <f t="shared" si="176"/>
        <v>34.352313069483245</v>
      </c>
    </row>
    <row r="626" spans="1:17" x14ac:dyDescent="0.25">
      <c r="A626" s="114">
        <f t="shared" si="177"/>
        <v>44581</v>
      </c>
      <c r="B626">
        <f t="shared" si="161"/>
        <v>5.5</v>
      </c>
      <c r="C626" s="109">
        <f t="shared" si="162"/>
        <v>19.066666666666666</v>
      </c>
      <c r="D626" s="109">
        <f t="shared" si="163"/>
        <v>72.86666666666666</v>
      </c>
      <c r="E626" s="107">
        <f t="shared" si="164"/>
        <v>44581.211805555555</v>
      </c>
      <c r="F626" s="106">
        <f t="shared" si="166"/>
        <v>44581.301885113273</v>
      </c>
      <c r="G626" t="str">
        <f t="shared" si="165"/>
        <v>Thursday</v>
      </c>
      <c r="H626" s="129">
        <v>0.44097222222222199</v>
      </c>
      <c r="I626" s="115">
        <f t="shared" si="168"/>
        <v>334.14559710189332</v>
      </c>
      <c r="J626" s="115">
        <f t="shared" si="169"/>
        <v>275.94157533983309</v>
      </c>
      <c r="K626" s="115">
        <f t="shared" si="170"/>
        <v>121.13952336406103</v>
      </c>
      <c r="L626" s="115">
        <f t="shared" si="171"/>
        <v>242.7073162713298</v>
      </c>
      <c r="M626" s="115">
        <f t="shared" si="172"/>
        <v>283.06108495776948</v>
      </c>
      <c r="N626" s="115">
        <f t="shared" si="173"/>
        <v>310.39171276311725</v>
      </c>
      <c r="O626" s="115">
        <f t="shared" si="174"/>
        <v>258.6456153706996</v>
      </c>
      <c r="P626" s="115">
        <f t="shared" si="175"/>
        <v>289.92120396753273</v>
      </c>
      <c r="Q626" s="115">
        <f t="shared" si="176"/>
        <v>34.352129069513914</v>
      </c>
    </row>
    <row r="627" spans="1:17" x14ac:dyDescent="0.25">
      <c r="A627" s="114">
        <f t="shared" si="177"/>
        <v>44581</v>
      </c>
      <c r="B627">
        <f t="shared" si="161"/>
        <v>5.5</v>
      </c>
      <c r="C627" s="109">
        <f t="shared" si="162"/>
        <v>19.066666666666666</v>
      </c>
      <c r="D627" s="109">
        <f t="shared" si="163"/>
        <v>72.86666666666666</v>
      </c>
      <c r="E627" s="107">
        <f t="shared" si="164"/>
        <v>44581.215277777781</v>
      </c>
      <c r="F627" s="106">
        <f t="shared" si="166"/>
        <v>44581.301885113273</v>
      </c>
      <c r="G627" t="str">
        <f t="shared" si="165"/>
        <v>Thursday</v>
      </c>
      <c r="H627" s="129">
        <v>0.44444444444444398</v>
      </c>
      <c r="I627" s="115">
        <f t="shared" si="168"/>
        <v>335.75239709495622</v>
      </c>
      <c r="J627" s="115">
        <f t="shared" si="169"/>
        <v>275.94510824422071</v>
      </c>
      <c r="K627" s="115">
        <f t="shared" si="170"/>
        <v>121.18314863394177</v>
      </c>
      <c r="L627" s="115">
        <f t="shared" si="171"/>
        <v>242.70982526350107</v>
      </c>
      <c r="M627" s="115">
        <f t="shared" si="172"/>
        <v>283.05749049876152</v>
      </c>
      <c r="N627" s="115">
        <f t="shared" si="173"/>
        <v>310.39247651367151</v>
      </c>
      <c r="O627" s="115">
        <f t="shared" si="174"/>
        <v>258.64431794244274</v>
      </c>
      <c r="P627" s="115">
        <f t="shared" si="175"/>
        <v>289.92161193118744</v>
      </c>
      <c r="Q627" s="115">
        <f t="shared" si="176"/>
        <v>34.351945069544598</v>
      </c>
    </row>
    <row r="628" spans="1:17" x14ac:dyDescent="0.25">
      <c r="A628" s="114">
        <f t="shared" si="177"/>
        <v>44581</v>
      </c>
      <c r="B628">
        <f t="shared" si="161"/>
        <v>5.5</v>
      </c>
      <c r="C628" s="109">
        <f t="shared" si="162"/>
        <v>19.066666666666666</v>
      </c>
      <c r="D628" s="109">
        <f t="shared" si="163"/>
        <v>72.86666666666666</v>
      </c>
      <c r="E628" s="107">
        <f t="shared" si="164"/>
        <v>44581.21875</v>
      </c>
      <c r="F628" s="106">
        <f t="shared" si="166"/>
        <v>44581.301885113273</v>
      </c>
      <c r="G628" t="str">
        <f t="shared" si="165"/>
        <v>Thursday</v>
      </c>
      <c r="H628" s="129">
        <v>0.44791666666666602</v>
      </c>
      <c r="I628" s="115">
        <f t="shared" si="168"/>
        <v>337.35922810994794</v>
      </c>
      <c r="J628" s="115">
        <f t="shared" si="169"/>
        <v>275.94864114655644</v>
      </c>
      <c r="K628" s="115">
        <f t="shared" si="170"/>
        <v>121.22677607718475</v>
      </c>
      <c r="L628" s="115">
        <f t="shared" si="171"/>
        <v>242.71233426319708</v>
      </c>
      <c r="M628" s="115">
        <f t="shared" si="172"/>
        <v>283.05389443354215</v>
      </c>
      <c r="N628" s="115">
        <f t="shared" si="173"/>
        <v>310.39324027628572</v>
      </c>
      <c r="O628" s="115">
        <f t="shared" si="174"/>
        <v>258.64302096596822</v>
      </c>
      <c r="P628" s="115">
        <f t="shared" si="175"/>
        <v>289.92201989842869</v>
      </c>
      <c r="Q628" s="115">
        <f t="shared" si="176"/>
        <v>34.351761069591767</v>
      </c>
    </row>
    <row r="629" spans="1:17" x14ac:dyDescent="0.25">
      <c r="A629" s="114">
        <f t="shared" si="177"/>
        <v>44581</v>
      </c>
      <c r="B629">
        <f t="shared" si="161"/>
        <v>5.5</v>
      </c>
      <c r="C629" s="109">
        <f t="shared" si="162"/>
        <v>19.066666666666666</v>
      </c>
      <c r="D629" s="109">
        <f t="shared" si="163"/>
        <v>72.86666666666666</v>
      </c>
      <c r="E629" s="107">
        <f t="shared" si="164"/>
        <v>44581.222222222226</v>
      </c>
      <c r="F629" s="106">
        <f t="shared" si="166"/>
        <v>44581.301885113273</v>
      </c>
      <c r="G629" t="str">
        <f t="shared" si="165"/>
        <v>Thursday</v>
      </c>
      <c r="H629" s="129">
        <v>0.45138888888888801</v>
      </c>
      <c r="I629" s="115">
        <f t="shared" si="168"/>
        <v>338.96550766126012</v>
      </c>
      <c r="J629" s="115">
        <f t="shared" si="169"/>
        <v>275.95217404723502</v>
      </c>
      <c r="K629" s="115">
        <f t="shared" si="170"/>
        <v>121.27040569994682</v>
      </c>
      <c r="L629" s="115">
        <f t="shared" si="171"/>
        <v>242.71484327047281</v>
      </c>
      <c r="M629" s="115">
        <f t="shared" si="172"/>
        <v>283.05029676310181</v>
      </c>
      <c r="N629" s="115">
        <f t="shared" si="173"/>
        <v>310.39400405134609</v>
      </c>
      <c r="O629" s="115">
        <f t="shared" si="174"/>
        <v>258.64172444132544</v>
      </c>
      <c r="P629" s="115">
        <f t="shared" si="175"/>
        <v>289.92242786883344</v>
      </c>
      <c r="Q629" s="115">
        <f t="shared" si="176"/>
        <v>34.351577069639021</v>
      </c>
    </row>
    <row r="630" spans="1:17" x14ac:dyDescent="0.25">
      <c r="A630" s="114">
        <f t="shared" si="177"/>
        <v>44581</v>
      </c>
      <c r="B630">
        <f t="shared" si="161"/>
        <v>5.5</v>
      </c>
      <c r="C630" s="109">
        <f t="shared" si="162"/>
        <v>19.066666666666666</v>
      </c>
      <c r="D630" s="109">
        <f t="shared" si="163"/>
        <v>72.86666666666666</v>
      </c>
      <c r="E630" s="107">
        <f t="shared" si="164"/>
        <v>44581.225694444445</v>
      </c>
      <c r="F630" s="106">
        <f t="shared" si="166"/>
        <v>44581.301885113273</v>
      </c>
      <c r="G630" t="str">
        <f t="shared" si="165"/>
        <v>Thursday</v>
      </c>
      <c r="H630" s="129">
        <v>0.45486111111110999</v>
      </c>
      <c r="I630" s="115">
        <f t="shared" si="168"/>
        <v>340.57065554288494</v>
      </c>
      <c r="J630" s="115">
        <f t="shared" si="169"/>
        <v>275.95570694655322</v>
      </c>
      <c r="K630" s="115">
        <f t="shared" si="170"/>
        <v>121.31403750835118</v>
      </c>
      <c r="L630" s="115">
        <f t="shared" si="171"/>
        <v>242.71735228550938</v>
      </c>
      <c r="M630" s="115">
        <f t="shared" si="172"/>
        <v>283.04669748827814</v>
      </c>
      <c r="N630" s="115">
        <f t="shared" si="173"/>
        <v>310.3947678385839</v>
      </c>
      <c r="O630" s="115">
        <f t="shared" si="174"/>
        <v>258.64042836809</v>
      </c>
      <c r="P630" s="115">
        <f t="shared" si="175"/>
        <v>289.92283584312128</v>
      </c>
      <c r="Q630" s="115">
        <f t="shared" si="176"/>
        <v>34.351393069669633</v>
      </c>
    </row>
    <row r="631" spans="1:17" x14ac:dyDescent="0.25">
      <c r="A631" s="114">
        <f t="shared" si="177"/>
        <v>44581</v>
      </c>
      <c r="B631">
        <f t="shared" si="161"/>
        <v>5.5</v>
      </c>
      <c r="C631" s="109">
        <f t="shared" si="162"/>
        <v>19.066666666666666</v>
      </c>
      <c r="D631" s="109">
        <f t="shared" si="163"/>
        <v>72.86666666666666</v>
      </c>
      <c r="E631" s="107">
        <f t="shared" si="164"/>
        <v>44581.229166666672</v>
      </c>
      <c r="F631" s="106">
        <f t="shared" si="166"/>
        <v>44581.301885113273</v>
      </c>
      <c r="G631" t="str">
        <f t="shared" si="165"/>
        <v>Thursday</v>
      </c>
      <c r="H631" s="129">
        <v>0.45833333333333198</v>
      </c>
      <c r="I631" s="115">
        <f t="shared" si="168"/>
        <v>342.1740955779963</v>
      </c>
      <c r="J631" s="115">
        <f t="shared" si="169"/>
        <v>275.95923984388116</v>
      </c>
      <c r="K631" s="115">
        <f t="shared" si="170"/>
        <v>121.3576714910073</v>
      </c>
      <c r="L631" s="115">
        <f t="shared" si="171"/>
        <v>242.71986130812368</v>
      </c>
      <c r="M631" s="115">
        <f t="shared" si="172"/>
        <v>283.04309661095903</v>
      </c>
      <c r="N631" s="115">
        <f t="shared" si="173"/>
        <v>310.39553163833858</v>
      </c>
      <c r="O631" s="115">
        <f t="shared" si="174"/>
        <v>258.63913274691214</v>
      </c>
      <c r="P631" s="115">
        <f t="shared" si="175"/>
        <v>289.92324382137838</v>
      </c>
      <c r="Q631" s="115">
        <f t="shared" si="176"/>
        <v>34.351209069700317</v>
      </c>
    </row>
    <row r="632" spans="1:17" x14ac:dyDescent="0.25">
      <c r="A632" s="114">
        <f t="shared" si="177"/>
        <v>44581</v>
      </c>
      <c r="B632">
        <f t="shared" si="161"/>
        <v>5.5</v>
      </c>
      <c r="C632" s="109">
        <f t="shared" si="162"/>
        <v>19.066666666666666</v>
      </c>
      <c r="D632" s="109">
        <f t="shared" si="163"/>
        <v>72.86666666666666</v>
      </c>
      <c r="E632" s="107">
        <f t="shared" si="164"/>
        <v>44581.232638888891</v>
      </c>
      <c r="F632" s="106">
        <f t="shared" si="166"/>
        <v>44581.301885113273</v>
      </c>
      <c r="G632" t="str">
        <f t="shared" si="165"/>
        <v>Thursday</v>
      </c>
      <c r="H632" s="129">
        <v>0.46180555555555403</v>
      </c>
      <c r="I632" s="115">
        <f t="shared" si="168"/>
        <v>343.77525946724501</v>
      </c>
      <c r="J632" s="115">
        <f t="shared" si="169"/>
        <v>275.96277274002449</v>
      </c>
      <c r="K632" s="115">
        <f t="shared" si="170"/>
        <v>121.40130765991778</v>
      </c>
      <c r="L632" s="115">
        <f t="shared" si="171"/>
        <v>242.72237033876758</v>
      </c>
      <c r="M632" s="115">
        <f t="shared" si="172"/>
        <v>283.03949413172671</v>
      </c>
      <c r="N632" s="115">
        <f t="shared" si="173"/>
        <v>310.39629545067686</v>
      </c>
      <c r="O632" s="115">
        <f t="shared" si="174"/>
        <v>258.63783757736542</v>
      </c>
      <c r="P632" s="115">
        <f t="shared" si="175"/>
        <v>289.92365180313192</v>
      </c>
      <c r="Q632" s="115">
        <f t="shared" si="176"/>
        <v>34.351025069714446</v>
      </c>
    </row>
    <row r="633" spans="1:17" x14ac:dyDescent="0.25">
      <c r="A633" s="114">
        <f t="shared" si="177"/>
        <v>44581</v>
      </c>
      <c r="B633">
        <f t="shared" si="161"/>
        <v>5.5</v>
      </c>
      <c r="C633" s="109">
        <f t="shared" si="162"/>
        <v>19.066666666666666</v>
      </c>
      <c r="D633" s="109">
        <f t="shared" si="163"/>
        <v>72.86666666666666</v>
      </c>
      <c r="E633" s="107">
        <f t="shared" si="164"/>
        <v>44581.236111111117</v>
      </c>
      <c r="F633" s="106">
        <f t="shared" si="166"/>
        <v>44581.301885113273</v>
      </c>
      <c r="G633" t="str">
        <f t="shared" si="165"/>
        <v>Thursday</v>
      </c>
      <c r="H633" s="129">
        <v>0.46527777777777601</v>
      </c>
      <c r="I633" s="115">
        <f t="shared" si="168"/>
        <v>345.37358735521656</v>
      </c>
      <c r="J633" s="115">
        <f t="shared" si="169"/>
        <v>275.96630563405466</v>
      </c>
      <c r="K633" s="115">
        <f t="shared" si="170"/>
        <v>121.44494600367672</v>
      </c>
      <c r="L633" s="115">
        <f t="shared" si="171"/>
        <v>242.72487937676905</v>
      </c>
      <c r="M633" s="115">
        <f t="shared" si="172"/>
        <v>283.03589005277007</v>
      </c>
      <c r="N633" s="115">
        <f t="shared" si="173"/>
        <v>310.39705927497653</v>
      </c>
      <c r="O633" s="115">
        <f t="shared" si="174"/>
        <v>258.63654286012309</v>
      </c>
      <c r="P633" s="115">
        <f t="shared" si="175"/>
        <v>289.92405978887797</v>
      </c>
      <c r="Q633" s="115">
        <f t="shared" si="176"/>
        <v>34.350841069761628</v>
      </c>
    </row>
    <row r="634" spans="1:17" x14ac:dyDescent="0.25">
      <c r="A634" s="114">
        <f t="shared" si="177"/>
        <v>44581</v>
      </c>
      <c r="B634">
        <f t="shared" si="161"/>
        <v>5.5</v>
      </c>
      <c r="C634" s="109">
        <f t="shared" si="162"/>
        <v>19.066666666666666</v>
      </c>
      <c r="D634" s="109">
        <f t="shared" si="163"/>
        <v>72.86666666666666</v>
      </c>
      <c r="E634" s="107">
        <f t="shared" si="164"/>
        <v>44581.239583333336</v>
      </c>
      <c r="F634" s="106">
        <f t="shared" si="166"/>
        <v>44581.301885113273</v>
      </c>
      <c r="G634" t="str">
        <f t="shared" si="165"/>
        <v>Thursday</v>
      </c>
      <c r="H634" s="129">
        <v>0.468749999999998</v>
      </c>
      <c r="I634" s="115">
        <f t="shared" si="168"/>
        <v>346.96853173961898</v>
      </c>
      <c r="J634" s="115">
        <f t="shared" si="169"/>
        <v>275.96983852702908</v>
      </c>
      <c r="K634" s="115">
        <f t="shared" si="170"/>
        <v>121.48858653428317</v>
      </c>
      <c r="L634" s="115">
        <f t="shared" si="171"/>
        <v>242.72738842298025</v>
      </c>
      <c r="M634" s="115">
        <f t="shared" si="172"/>
        <v>283.03228437412332</v>
      </c>
      <c r="N634" s="115">
        <f t="shared" si="173"/>
        <v>310.39782311178999</v>
      </c>
      <c r="O634" s="115">
        <f t="shared" si="174"/>
        <v>258.63524859462166</v>
      </c>
      <c r="P634" s="115">
        <f t="shared" si="175"/>
        <v>289.92446777848812</v>
      </c>
      <c r="Q634" s="115">
        <f t="shared" si="176"/>
        <v>34.350657069792256</v>
      </c>
    </row>
    <row r="635" spans="1:17" x14ac:dyDescent="0.25">
      <c r="A635" s="114">
        <f t="shared" si="177"/>
        <v>44581</v>
      </c>
      <c r="B635">
        <f t="shared" si="161"/>
        <v>5.5</v>
      </c>
      <c r="C635" s="109">
        <f t="shared" si="162"/>
        <v>19.066666666666666</v>
      </c>
      <c r="D635" s="109">
        <f t="shared" si="163"/>
        <v>72.86666666666666</v>
      </c>
      <c r="E635" s="107">
        <f t="shared" si="164"/>
        <v>44581.243055555555</v>
      </c>
      <c r="F635" s="106">
        <f t="shared" si="166"/>
        <v>44581.301885113273</v>
      </c>
      <c r="G635" t="str">
        <f t="shared" si="165"/>
        <v>Thursday</v>
      </c>
      <c r="H635" s="129">
        <v>0.47222222222221999</v>
      </c>
      <c r="I635" s="115">
        <f t="shared" si="168"/>
        <v>348.55955785303854</v>
      </c>
      <c r="J635" s="115">
        <f t="shared" si="169"/>
        <v>275.97337141770754</v>
      </c>
      <c r="K635" s="115">
        <f t="shared" si="170"/>
        <v>121.53222924029623</v>
      </c>
      <c r="L635" s="115">
        <f t="shared" si="171"/>
        <v>242.72989747634276</v>
      </c>
      <c r="M635" s="115">
        <f t="shared" si="172"/>
        <v>283.02867709833276</v>
      </c>
      <c r="N635" s="115">
        <f t="shared" si="173"/>
        <v>310.39858696118301</v>
      </c>
      <c r="O635" s="115">
        <f t="shared" si="174"/>
        <v>258.63395478139176</v>
      </c>
      <c r="P635" s="115">
        <f t="shared" si="175"/>
        <v>289.92487577105766</v>
      </c>
      <c r="Q635" s="115">
        <f t="shared" si="176"/>
        <v>34.350473069839481</v>
      </c>
    </row>
    <row r="636" spans="1:17" x14ac:dyDescent="0.25">
      <c r="A636" s="114">
        <f t="shared" si="177"/>
        <v>44581</v>
      </c>
      <c r="B636">
        <f t="shared" si="161"/>
        <v>5.5</v>
      </c>
      <c r="C636" s="109">
        <f t="shared" si="162"/>
        <v>19.066666666666666</v>
      </c>
      <c r="D636" s="109">
        <f t="shared" si="163"/>
        <v>72.86666666666666</v>
      </c>
      <c r="E636" s="107">
        <f t="shared" si="164"/>
        <v>44581.246527777781</v>
      </c>
      <c r="F636" s="106">
        <f t="shared" si="166"/>
        <v>44581.301885113273</v>
      </c>
      <c r="G636" t="str">
        <f t="shared" si="165"/>
        <v>Thursday</v>
      </c>
      <c r="H636" s="129">
        <v>0.47569444444444198</v>
      </c>
      <c r="I636" s="115">
        <f t="shared" si="168"/>
        <v>350.1461473428667</v>
      </c>
      <c r="J636" s="115">
        <f t="shared" si="169"/>
        <v>275.97690430719837</v>
      </c>
      <c r="K636" s="115">
        <f t="shared" si="170"/>
        <v>121.57587413371392</v>
      </c>
      <c r="L636" s="115">
        <f t="shared" si="171"/>
        <v>242.73240653754067</v>
      </c>
      <c r="M636" s="115">
        <f t="shared" si="172"/>
        <v>283.0250682258303</v>
      </c>
      <c r="N636" s="115">
        <f t="shared" si="173"/>
        <v>310.3993508227166</v>
      </c>
      <c r="O636" s="115">
        <f t="shared" si="174"/>
        <v>258.63266142030665</v>
      </c>
      <c r="P636" s="115">
        <f t="shared" si="175"/>
        <v>289.92528376782366</v>
      </c>
      <c r="Q636" s="115">
        <f t="shared" si="176"/>
        <v>34.350289069870165</v>
      </c>
    </row>
    <row r="637" spans="1:17" x14ac:dyDescent="0.25">
      <c r="A637" s="114">
        <f t="shared" si="177"/>
        <v>44581</v>
      </c>
      <c r="B637">
        <f t="shared" si="161"/>
        <v>5.5</v>
      </c>
      <c r="C637" s="109">
        <f t="shared" si="162"/>
        <v>19.066666666666666</v>
      </c>
      <c r="D637" s="109">
        <f t="shared" si="163"/>
        <v>72.86666666666666</v>
      </c>
      <c r="E637" s="107">
        <f t="shared" si="164"/>
        <v>44581.25</v>
      </c>
      <c r="F637" s="106">
        <f t="shared" si="166"/>
        <v>44581.301885113273</v>
      </c>
      <c r="G637" t="str">
        <f t="shared" si="165"/>
        <v>Thursday</v>
      </c>
      <c r="H637" s="129">
        <v>0.47916666666666402</v>
      </c>
      <c r="I637" s="115">
        <f t="shared" si="168"/>
        <v>351.72779839711217</v>
      </c>
      <c r="J637" s="115">
        <f t="shared" si="169"/>
        <v>275.98043719463283</v>
      </c>
      <c r="K637" s="115">
        <f t="shared" si="170"/>
        <v>121.61952120315513</v>
      </c>
      <c r="L637" s="115">
        <f t="shared" si="171"/>
        <v>242.73491560637768</v>
      </c>
      <c r="M637" s="115">
        <f t="shared" si="172"/>
        <v>283.02145775838454</v>
      </c>
      <c r="N637" s="115">
        <f t="shared" si="173"/>
        <v>310.40011469638529</v>
      </c>
      <c r="O637" s="115">
        <f t="shared" si="174"/>
        <v>258.63136851146953</v>
      </c>
      <c r="P637" s="115">
        <f t="shared" si="175"/>
        <v>289.92569176770155</v>
      </c>
      <c r="Q637" s="115">
        <f t="shared" si="176"/>
        <v>34.350105069917412</v>
      </c>
    </row>
    <row r="638" spans="1:17" x14ac:dyDescent="0.25">
      <c r="A638" s="114">
        <f t="shared" si="177"/>
        <v>44581</v>
      </c>
      <c r="B638">
        <f t="shared" si="161"/>
        <v>5.5</v>
      </c>
      <c r="C638" s="109">
        <f t="shared" si="162"/>
        <v>19.066666666666666</v>
      </c>
      <c r="D638" s="109">
        <f t="shared" si="163"/>
        <v>72.86666666666666</v>
      </c>
      <c r="E638" s="107">
        <f t="shared" si="164"/>
        <v>44581.253472222226</v>
      </c>
      <c r="F638" s="106">
        <f t="shared" si="166"/>
        <v>44581.301885113273</v>
      </c>
      <c r="G638" t="str">
        <f t="shared" si="165"/>
        <v>Thursday</v>
      </c>
      <c r="H638" s="129">
        <v>0.48263888888888601</v>
      </c>
      <c r="I638" s="115">
        <f t="shared" si="168"/>
        <v>353.30402892435598</v>
      </c>
      <c r="J638" s="115">
        <f t="shared" si="169"/>
        <v>275.98397008042917</v>
      </c>
      <c r="K638" s="115">
        <f t="shared" si="170"/>
        <v>121.66317045473406</v>
      </c>
      <c r="L638" s="115">
        <f t="shared" si="171"/>
        <v>242.73742468284368</v>
      </c>
      <c r="M638" s="115">
        <f t="shared" si="172"/>
        <v>283.01784569713192</v>
      </c>
      <c r="N638" s="115">
        <f t="shared" si="173"/>
        <v>310.40087858255896</v>
      </c>
      <c r="O638" s="115">
        <f t="shared" si="174"/>
        <v>258.63007605503094</v>
      </c>
      <c r="P638" s="115">
        <f t="shared" si="175"/>
        <v>289.92609977144514</v>
      </c>
      <c r="Q638" s="115">
        <f t="shared" si="176"/>
        <v>34.349921069948024</v>
      </c>
    </row>
    <row r="639" spans="1:17" x14ac:dyDescent="0.25">
      <c r="A639" s="114">
        <f t="shared" si="177"/>
        <v>44581</v>
      </c>
      <c r="B639">
        <f t="shared" ref="B639:B685" si="178">B638</f>
        <v>5.5</v>
      </c>
      <c r="C639" s="109">
        <f t="shared" ref="C639:C685" si="179">C638</f>
        <v>19.066666666666666</v>
      </c>
      <c r="D639" s="109">
        <f t="shared" ref="D639:D685" si="180">D638</f>
        <v>72.86666666666666</v>
      </c>
      <c r="E639" s="107">
        <f t="shared" ref="E639:E685" si="181">A639+H639-B639/24</f>
        <v>44581.256944444445</v>
      </c>
      <c r="F639" s="106">
        <f t="shared" si="166"/>
        <v>44581.301885113273</v>
      </c>
      <c r="G639" t="str">
        <f t="shared" ref="G639:G685" si="182">CHOOSE(WEEKDAY(E639),"Sunday","Monday","Tuesday","Wednesday","Thursday","Friday","Saturday")</f>
        <v>Thursday</v>
      </c>
      <c r="H639" s="129">
        <v>0.486111111111108</v>
      </c>
      <c r="I639" s="115">
        <f t="shared" si="168"/>
        <v>354.87437743222739</v>
      </c>
      <c r="J639" s="115">
        <f t="shared" si="169"/>
        <v>275.98750296504386</v>
      </c>
      <c r="K639" s="115">
        <f t="shared" si="170"/>
        <v>121.70682189464539</v>
      </c>
      <c r="L639" s="115">
        <f t="shared" si="171"/>
        <v>242.73993376731434</v>
      </c>
      <c r="M639" s="115">
        <f t="shared" si="172"/>
        <v>283.01423204275073</v>
      </c>
      <c r="N639" s="115">
        <f t="shared" si="173"/>
        <v>310.40164248142014</v>
      </c>
      <c r="O639" s="115">
        <f t="shared" si="174"/>
        <v>258.6287840508819</v>
      </c>
      <c r="P639" s="115">
        <f t="shared" si="175"/>
        <v>289.92650777971062</v>
      </c>
      <c r="Q639" s="115">
        <f t="shared" si="176"/>
        <v>34.349737069995207</v>
      </c>
    </row>
    <row r="640" spans="1:17" x14ac:dyDescent="0.25">
      <c r="A640" s="114">
        <f t="shared" si="177"/>
        <v>44581</v>
      </c>
      <c r="B640">
        <f t="shared" si="178"/>
        <v>5.5</v>
      </c>
      <c r="C640" s="109">
        <f t="shared" si="179"/>
        <v>19.066666666666666</v>
      </c>
      <c r="D640" s="109">
        <f t="shared" si="180"/>
        <v>72.86666666666666</v>
      </c>
      <c r="E640" s="107">
        <f t="shared" si="181"/>
        <v>44581.260416666672</v>
      </c>
      <c r="F640" s="106">
        <f t="shared" si="166"/>
        <v>44581.301885113273</v>
      </c>
      <c r="G640" t="str">
        <f t="shared" si="182"/>
        <v>Thursday</v>
      </c>
      <c r="H640" s="129">
        <v>0.48958333333332998</v>
      </c>
      <c r="I640" s="115">
        <f t="shared" si="168"/>
        <v>356.43840376006125</v>
      </c>
      <c r="J640" s="115">
        <f t="shared" si="169"/>
        <v>275.99103584766027</v>
      </c>
      <c r="K640" s="115">
        <f t="shared" si="170"/>
        <v>121.75047551141363</v>
      </c>
      <c r="L640" s="115">
        <f t="shared" si="171"/>
        <v>242.74244285929348</v>
      </c>
      <c r="M640" s="115">
        <f t="shared" si="172"/>
        <v>283.01061679739513</v>
      </c>
      <c r="N640" s="115">
        <f t="shared" si="173"/>
        <v>310.4024063925105</v>
      </c>
      <c r="O640" s="115">
        <f t="shared" si="174"/>
        <v>258.62749249923598</v>
      </c>
      <c r="P640" s="115">
        <f t="shared" si="175"/>
        <v>289.92691579083873</v>
      </c>
      <c r="Q640" s="115">
        <f t="shared" si="176"/>
        <v>34.349553070009307</v>
      </c>
    </row>
    <row r="641" spans="1:17" x14ac:dyDescent="0.25">
      <c r="A641" s="114">
        <f t="shared" si="177"/>
        <v>44581</v>
      </c>
      <c r="B641">
        <f t="shared" si="178"/>
        <v>5.5</v>
      </c>
      <c r="C641" s="109">
        <f t="shared" si="179"/>
        <v>19.066666666666666</v>
      </c>
      <c r="D641" s="109">
        <f t="shared" si="180"/>
        <v>72.86666666666666</v>
      </c>
      <c r="E641" s="107">
        <f t="shared" si="181"/>
        <v>44581.263888888891</v>
      </c>
      <c r="F641" s="106">
        <f t="shared" si="166"/>
        <v>44581.301885113273</v>
      </c>
      <c r="G641" t="str">
        <f t="shared" si="182"/>
        <v>Thursday</v>
      </c>
      <c r="H641" s="129">
        <v>0.49305555555555203</v>
      </c>
      <c r="I641" s="115">
        <f t="shared" si="168"/>
        <v>357.99569172884162</v>
      </c>
      <c r="J641" s="115">
        <f t="shared" si="169"/>
        <v>275.99456872886026</v>
      </c>
      <c r="K641" s="115">
        <f t="shared" si="170"/>
        <v>121.79413131714099</v>
      </c>
      <c r="L641" s="115">
        <f t="shared" si="171"/>
        <v>242.74495195900565</v>
      </c>
      <c r="M641" s="115">
        <f t="shared" si="172"/>
        <v>283.00699996147779</v>
      </c>
      <c r="N641" s="115">
        <f t="shared" si="173"/>
        <v>310.40317031579883</v>
      </c>
      <c r="O641" s="115">
        <f t="shared" si="174"/>
        <v>258.62620139994442</v>
      </c>
      <c r="P641" s="115">
        <f t="shared" si="175"/>
        <v>289.92732380562677</v>
      </c>
      <c r="Q641" s="115">
        <f t="shared" si="176"/>
        <v>34.349369070056582</v>
      </c>
    </row>
    <row r="642" spans="1:17" x14ac:dyDescent="0.25">
      <c r="A642" s="114">
        <f t="shared" si="177"/>
        <v>44581</v>
      </c>
      <c r="B642">
        <f t="shared" si="178"/>
        <v>5.5</v>
      </c>
      <c r="C642" s="109">
        <f t="shared" si="179"/>
        <v>19.066666666666666</v>
      </c>
      <c r="D642" s="109">
        <f t="shared" si="180"/>
        <v>72.86666666666666</v>
      </c>
      <c r="E642" s="107">
        <f t="shared" si="181"/>
        <v>44581.267361111117</v>
      </c>
      <c r="F642" s="106">
        <f t="shared" si="166"/>
        <v>44581.301885113273</v>
      </c>
      <c r="G642" t="str">
        <f t="shared" si="182"/>
        <v>Thursday</v>
      </c>
      <c r="H642" s="129">
        <v>0.49652777777777402</v>
      </c>
      <c r="I642" s="115">
        <f t="shared" si="168"/>
        <v>359.54584847310059</v>
      </c>
      <c r="J642" s="115">
        <f t="shared" si="169"/>
        <v>275.99810160807738</v>
      </c>
      <c r="K642" s="115">
        <f t="shared" si="170"/>
        <v>121.83778930025588</v>
      </c>
      <c r="L642" s="115">
        <f t="shared" si="171"/>
        <v>242.7474610662828</v>
      </c>
      <c r="M642" s="115">
        <f t="shared" si="172"/>
        <v>283.00338153725613</v>
      </c>
      <c r="N642" s="115">
        <f t="shared" si="173"/>
        <v>310.40393425129071</v>
      </c>
      <c r="O642" s="115">
        <f t="shared" si="174"/>
        <v>258.62491075347197</v>
      </c>
      <c r="P642" s="115">
        <f t="shared" si="175"/>
        <v>289.92773182442107</v>
      </c>
      <c r="Q642" s="115">
        <f t="shared" si="176"/>
        <v>34.349185070087259</v>
      </c>
    </row>
    <row r="643" spans="1:17" x14ac:dyDescent="0.25">
      <c r="A643" s="114">
        <f t="shared" si="177"/>
        <v>44581</v>
      </c>
      <c r="B643">
        <f t="shared" si="178"/>
        <v>5.5</v>
      </c>
      <c r="C643" s="109">
        <f t="shared" si="179"/>
        <v>19.066666666666666</v>
      </c>
      <c r="D643" s="109">
        <f t="shared" si="180"/>
        <v>72.86666666666666</v>
      </c>
      <c r="E643" s="107">
        <f t="shared" si="181"/>
        <v>44581.270833333336</v>
      </c>
      <c r="F643" s="106">
        <f t="shared" ref="F643:F706" si="183">sunrise(C643,D643,E643)+B643/24</f>
        <v>44581.301885113273</v>
      </c>
      <c r="G643" t="str">
        <f t="shared" si="182"/>
        <v>Thursday</v>
      </c>
      <c r="H643" s="129">
        <v>0.499999999999996</v>
      </c>
      <c r="I643" s="115">
        <f t="shared" si="168"/>
        <v>1.0885069335461814</v>
      </c>
      <c r="J643" s="115">
        <f t="shared" si="169"/>
        <v>276.00163448610738</v>
      </c>
      <c r="K643" s="115">
        <f t="shared" si="170"/>
        <v>121.88144947295444</v>
      </c>
      <c r="L643" s="115">
        <f t="shared" si="171"/>
        <v>242.74997018153269</v>
      </c>
      <c r="M643" s="115">
        <f t="shared" si="172"/>
        <v>282.99976152497464</v>
      </c>
      <c r="N643" s="115">
        <f t="shared" si="173"/>
        <v>310.40469819942518</v>
      </c>
      <c r="O643" s="115">
        <f t="shared" si="174"/>
        <v>258.62362055947466</v>
      </c>
      <c r="P643" s="115">
        <f t="shared" si="175"/>
        <v>289.92813984706675</v>
      </c>
      <c r="Q643" s="115">
        <f t="shared" si="176"/>
        <v>34.349001070117879</v>
      </c>
    </row>
    <row r="644" spans="1:17" x14ac:dyDescent="0.25">
      <c r="A644" s="114">
        <f t="shared" si="177"/>
        <v>44581</v>
      </c>
      <c r="B644">
        <f t="shared" si="178"/>
        <v>5.5</v>
      </c>
      <c r="C644" s="109">
        <f t="shared" si="179"/>
        <v>19.066666666666666</v>
      </c>
      <c r="D644" s="109">
        <f t="shared" si="180"/>
        <v>72.86666666666666</v>
      </c>
      <c r="E644" s="107">
        <f t="shared" si="181"/>
        <v>44581.274305555555</v>
      </c>
      <c r="F644" s="106">
        <f t="shared" si="183"/>
        <v>44581.301885113273</v>
      </c>
      <c r="G644" t="str">
        <f t="shared" si="182"/>
        <v>Thursday</v>
      </c>
      <c r="H644" s="129">
        <v>0.50347222222221799</v>
      </c>
      <c r="I644" s="115">
        <f t="shared" si="168"/>
        <v>2.6233248475420403</v>
      </c>
      <c r="J644" s="115">
        <f t="shared" si="169"/>
        <v>276.00516736202655</v>
      </c>
      <c r="K644" s="115">
        <f t="shared" si="170"/>
        <v>121.92511182366277</v>
      </c>
      <c r="L644" s="115">
        <f t="shared" si="171"/>
        <v>242.75247930413866</v>
      </c>
      <c r="M644" s="115">
        <f t="shared" si="172"/>
        <v>282.99613992691508</v>
      </c>
      <c r="N644" s="115">
        <f t="shared" si="173"/>
        <v>310.40546215968516</v>
      </c>
      <c r="O644" s="115">
        <f t="shared" si="174"/>
        <v>258.6223308184002</v>
      </c>
      <c r="P644" s="115">
        <f t="shared" si="175"/>
        <v>289.92854787307795</v>
      </c>
      <c r="Q644" s="115">
        <f t="shared" si="176"/>
        <v>34.348817070148506</v>
      </c>
    </row>
    <row r="645" spans="1:17" x14ac:dyDescent="0.25">
      <c r="A645" s="114">
        <f t="shared" si="177"/>
        <v>44581</v>
      </c>
      <c r="B645">
        <f t="shared" si="178"/>
        <v>5.5</v>
      </c>
      <c r="C645" s="109">
        <f t="shared" si="179"/>
        <v>19.066666666666666</v>
      </c>
      <c r="D645" s="109">
        <f t="shared" si="180"/>
        <v>72.86666666666666</v>
      </c>
      <c r="E645" s="107">
        <f t="shared" si="181"/>
        <v>44581.277777777781</v>
      </c>
      <c r="F645" s="106">
        <f t="shared" si="183"/>
        <v>44581.301885113273</v>
      </c>
      <c r="G645" t="str">
        <f t="shared" si="182"/>
        <v>Thursday</v>
      </c>
      <c r="H645" s="129">
        <v>0.50694444444443998</v>
      </c>
      <c r="I645" s="115">
        <f t="shared" si="168"/>
        <v>4.1499868777596696</v>
      </c>
      <c r="J645" s="115">
        <f t="shared" si="169"/>
        <v>276.00870023723633</v>
      </c>
      <c r="K645" s="115">
        <f t="shared" si="170"/>
        <v>121.9687763703138</v>
      </c>
      <c r="L645" s="115">
        <f t="shared" si="171"/>
        <v>242.75498843514831</v>
      </c>
      <c r="M645" s="115">
        <f t="shared" si="172"/>
        <v>282.99251674286444</v>
      </c>
      <c r="N645" s="115">
        <f t="shared" si="173"/>
        <v>310.40622613256022</v>
      </c>
      <c r="O645" s="115">
        <f t="shared" si="174"/>
        <v>258.6210415298392</v>
      </c>
      <c r="P645" s="115">
        <f t="shared" si="175"/>
        <v>289.9289559030999</v>
      </c>
      <c r="Q645" s="115">
        <f t="shared" si="176"/>
        <v>34.348633070162563</v>
      </c>
    </row>
    <row r="646" spans="1:17" x14ac:dyDescent="0.25">
      <c r="A646" s="114">
        <f t="shared" si="177"/>
        <v>44581</v>
      </c>
      <c r="B646">
        <f t="shared" si="178"/>
        <v>5.5</v>
      </c>
      <c r="C646" s="109">
        <f t="shared" si="179"/>
        <v>19.066666666666666</v>
      </c>
      <c r="D646" s="109">
        <f t="shared" si="180"/>
        <v>72.86666666666666</v>
      </c>
      <c r="E646" s="107">
        <f t="shared" si="181"/>
        <v>44581.28125</v>
      </c>
      <c r="F646" s="106">
        <f t="shared" si="183"/>
        <v>44581.301885113273</v>
      </c>
      <c r="G646" t="str">
        <f t="shared" si="182"/>
        <v>Thursday</v>
      </c>
      <c r="H646" s="129">
        <v>0.51041666666666197</v>
      </c>
      <c r="I646" s="115">
        <f t="shared" si="168"/>
        <v>5.6682032705608911</v>
      </c>
      <c r="J646" s="115">
        <f t="shared" si="169"/>
        <v>276.01223310997864</v>
      </c>
      <c r="K646" s="115">
        <f t="shared" si="170"/>
        <v>122.01244308979145</v>
      </c>
      <c r="L646" s="115">
        <f t="shared" si="171"/>
        <v>242.75749757336243</v>
      </c>
      <c r="M646" s="115">
        <f t="shared" si="172"/>
        <v>282.9888919760121</v>
      </c>
      <c r="N646" s="115">
        <f t="shared" si="173"/>
        <v>310.40699011774188</v>
      </c>
      <c r="O646" s="115">
        <f t="shared" si="174"/>
        <v>258.61975269437738</v>
      </c>
      <c r="P646" s="115">
        <f t="shared" si="175"/>
        <v>289.92936393614775</v>
      </c>
      <c r="Q646" s="115">
        <f t="shared" si="176"/>
        <v>34.348449070193254</v>
      </c>
    </row>
    <row r="647" spans="1:17" x14ac:dyDescent="0.25">
      <c r="A647" s="114">
        <f t="shared" si="177"/>
        <v>44581</v>
      </c>
      <c r="B647">
        <f t="shared" si="178"/>
        <v>5.5</v>
      </c>
      <c r="C647" s="109">
        <f t="shared" si="179"/>
        <v>19.066666666666666</v>
      </c>
      <c r="D647" s="109">
        <f t="shared" si="180"/>
        <v>72.86666666666666</v>
      </c>
      <c r="E647" s="107">
        <f t="shared" si="181"/>
        <v>44581.284722222226</v>
      </c>
      <c r="F647" s="106">
        <f t="shared" si="183"/>
        <v>44581.301885113273</v>
      </c>
      <c r="G647" t="str">
        <f t="shared" si="182"/>
        <v>Thursday</v>
      </c>
      <c r="H647" s="129">
        <v>0.51388888888888395</v>
      </c>
      <c r="I647" s="115">
        <f t="shared" si="168"/>
        <v>7.1777114405166742</v>
      </c>
      <c r="J647" s="115">
        <f t="shared" si="169"/>
        <v>276.01576598083739</v>
      </c>
      <c r="K647" s="115">
        <f t="shared" si="170"/>
        <v>122.05611199404461</v>
      </c>
      <c r="L647" s="115">
        <f t="shared" si="171"/>
        <v>242.76000671887084</v>
      </c>
      <c r="M647" s="115">
        <f t="shared" si="172"/>
        <v>282.98526562683992</v>
      </c>
      <c r="N647" s="115">
        <f t="shared" si="173"/>
        <v>310.4077541149851</v>
      </c>
      <c r="O647" s="115">
        <f t="shared" si="174"/>
        <v>258.61846431186888</v>
      </c>
      <c r="P647" s="115">
        <f t="shared" si="175"/>
        <v>289.92977197284108</v>
      </c>
      <c r="Q647" s="115">
        <f t="shared" si="176"/>
        <v>34.348265070223945</v>
      </c>
    </row>
    <row r="648" spans="1:17" x14ac:dyDescent="0.25">
      <c r="A648" s="114">
        <f t="shared" si="177"/>
        <v>44581</v>
      </c>
      <c r="B648">
        <f t="shared" si="178"/>
        <v>5.5</v>
      </c>
      <c r="C648" s="109">
        <f t="shared" si="179"/>
        <v>19.066666666666666</v>
      </c>
      <c r="D648" s="109">
        <f t="shared" si="180"/>
        <v>72.86666666666666</v>
      </c>
      <c r="E648" s="107">
        <f t="shared" si="181"/>
        <v>44581.288194444445</v>
      </c>
      <c r="F648" s="106">
        <f t="shared" si="183"/>
        <v>44581.301885113273</v>
      </c>
      <c r="G648" t="str">
        <f t="shared" si="182"/>
        <v>Thursday</v>
      </c>
      <c r="H648" s="129">
        <v>0.51736111111110605</v>
      </c>
      <c r="I648" s="115">
        <f t="shared" si="168"/>
        <v>8.6782753372063191</v>
      </c>
      <c r="J648" s="115">
        <f t="shared" si="169"/>
        <v>276.01929885064038</v>
      </c>
      <c r="K648" s="115">
        <f t="shared" si="170"/>
        <v>122.09978308928099</v>
      </c>
      <c r="L648" s="115">
        <f t="shared" si="171"/>
        <v>242.76251587260646</v>
      </c>
      <c r="M648" s="115">
        <f t="shared" si="172"/>
        <v>282.9816376959634</v>
      </c>
      <c r="N648" s="115">
        <f t="shared" si="173"/>
        <v>310.40851812494441</v>
      </c>
      <c r="O648" s="115">
        <f t="shared" si="174"/>
        <v>258.61717638222399</v>
      </c>
      <c r="P648" s="115">
        <f t="shared" si="175"/>
        <v>289.93018001387662</v>
      </c>
      <c r="Q648" s="115">
        <f t="shared" si="176"/>
        <v>34.348081070271164</v>
      </c>
    </row>
    <row r="649" spans="1:17" x14ac:dyDescent="0.25">
      <c r="A649" s="114">
        <f t="shared" si="177"/>
        <v>44581</v>
      </c>
      <c r="B649">
        <f t="shared" si="178"/>
        <v>5.5</v>
      </c>
      <c r="C649" s="109">
        <f t="shared" si="179"/>
        <v>19.066666666666666</v>
      </c>
      <c r="D649" s="109">
        <f t="shared" si="180"/>
        <v>72.86666666666666</v>
      </c>
      <c r="E649" s="107">
        <f t="shared" si="181"/>
        <v>44581.291666666672</v>
      </c>
      <c r="F649" s="106">
        <f t="shared" si="183"/>
        <v>44581.301885113273</v>
      </c>
      <c r="G649" t="str">
        <f t="shared" si="182"/>
        <v>Thursday</v>
      </c>
      <c r="H649" s="129">
        <v>0.52083333333332804</v>
      </c>
      <c r="I649" s="115">
        <f t="shared" si="168"/>
        <v>10.169684697675482</v>
      </c>
      <c r="J649" s="115">
        <f t="shared" si="169"/>
        <v>276.02283171831635</v>
      </c>
      <c r="K649" s="115">
        <f t="shared" si="170"/>
        <v>122.14345636411846</v>
      </c>
      <c r="L649" s="115">
        <f t="shared" si="171"/>
        <v>242.76502503367567</v>
      </c>
      <c r="M649" s="115">
        <f t="shared" si="172"/>
        <v>282.97800818556868</v>
      </c>
      <c r="N649" s="115">
        <f t="shared" si="173"/>
        <v>310.40928214699721</v>
      </c>
      <c r="O649" s="115">
        <f t="shared" si="174"/>
        <v>258.61588890582095</v>
      </c>
      <c r="P649" s="115">
        <f t="shared" si="175"/>
        <v>289.93058805799967</v>
      </c>
      <c r="Q649" s="115">
        <f t="shared" si="176"/>
        <v>34.347897070318346</v>
      </c>
    </row>
    <row r="650" spans="1:17" x14ac:dyDescent="0.25">
      <c r="A650" s="114">
        <f t="shared" si="177"/>
        <v>44581</v>
      </c>
      <c r="B650">
        <f t="shared" si="178"/>
        <v>5.5</v>
      </c>
      <c r="C650" s="109">
        <f t="shared" si="179"/>
        <v>19.066666666666666</v>
      </c>
      <c r="D650" s="109">
        <f t="shared" si="180"/>
        <v>72.86666666666666</v>
      </c>
      <c r="E650" s="107">
        <f t="shared" si="181"/>
        <v>44581.295138888891</v>
      </c>
      <c r="F650" s="106">
        <f t="shared" si="183"/>
        <v>44581.301885113273</v>
      </c>
      <c r="G650" t="str">
        <f t="shared" si="182"/>
        <v>Thursday</v>
      </c>
      <c r="H650" s="129">
        <v>0.52430555555555003</v>
      </c>
      <c r="I650" s="115">
        <f t="shared" si="168"/>
        <v>11.65175616017487</v>
      </c>
      <c r="J650" s="115">
        <f t="shared" si="169"/>
        <v>276.02636458485063</v>
      </c>
      <c r="K650" s="115">
        <f t="shared" si="170"/>
        <v>122.18713183047853</v>
      </c>
      <c r="L650" s="115">
        <f t="shared" si="171"/>
        <v>242.76753420280517</v>
      </c>
      <c r="M650" s="115">
        <f t="shared" si="172"/>
        <v>282.97437709617276</v>
      </c>
      <c r="N650" s="115">
        <f t="shared" si="173"/>
        <v>310.41004618122935</v>
      </c>
      <c r="O650" s="115">
        <f t="shared" si="174"/>
        <v>258.61460188241654</v>
      </c>
      <c r="P650" s="115">
        <f t="shared" si="175"/>
        <v>289.9309961067554</v>
      </c>
      <c r="Q650" s="115">
        <f t="shared" si="176"/>
        <v>34.347713070348988</v>
      </c>
    </row>
    <row r="651" spans="1:17" x14ac:dyDescent="0.25">
      <c r="A651" s="114">
        <f t="shared" si="177"/>
        <v>44581</v>
      </c>
      <c r="B651">
        <f t="shared" si="178"/>
        <v>5.5</v>
      </c>
      <c r="C651" s="109">
        <f t="shared" si="179"/>
        <v>19.066666666666666</v>
      </c>
      <c r="D651" s="109">
        <f t="shared" si="180"/>
        <v>72.86666666666666</v>
      </c>
      <c r="E651" s="107">
        <f t="shared" si="181"/>
        <v>44581.298611111117</v>
      </c>
      <c r="F651" s="106">
        <f t="shared" si="183"/>
        <v>44581.301885113273</v>
      </c>
      <c r="G651" t="str">
        <f t="shared" si="182"/>
        <v>Thursday</v>
      </c>
      <c r="H651" s="129">
        <v>0.52777777777777202</v>
      </c>
      <c r="I651" s="115">
        <f t="shared" si="168"/>
        <v>13.124331258239696</v>
      </c>
      <c r="J651" s="115">
        <f t="shared" si="169"/>
        <v>276.02989744937167</v>
      </c>
      <c r="K651" s="115">
        <f t="shared" si="170"/>
        <v>122.23080947699049</v>
      </c>
      <c r="L651" s="115">
        <f t="shared" si="171"/>
        <v>242.77004337944823</v>
      </c>
      <c r="M651" s="115">
        <f t="shared" si="172"/>
        <v>282.9707444298989</v>
      </c>
      <c r="N651" s="115">
        <f t="shared" si="173"/>
        <v>310.41081022820907</v>
      </c>
      <c r="O651" s="115">
        <f t="shared" si="174"/>
        <v>258.61331531242723</v>
      </c>
      <c r="P651" s="115">
        <f t="shared" si="175"/>
        <v>289.93140415792891</v>
      </c>
      <c r="Q651" s="115">
        <f t="shared" si="176"/>
        <v>34.347529070412783</v>
      </c>
    </row>
    <row r="652" spans="1:17" x14ac:dyDescent="0.25">
      <c r="A652" s="114">
        <f t="shared" si="177"/>
        <v>44581</v>
      </c>
      <c r="B652">
        <f t="shared" si="178"/>
        <v>5.5</v>
      </c>
      <c r="C652" s="109">
        <f t="shared" si="179"/>
        <v>19.066666666666666</v>
      </c>
      <c r="D652" s="109">
        <f t="shared" si="180"/>
        <v>72.86666666666666</v>
      </c>
      <c r="E652" s="107">
        <f t="shared" si="181"/>
        <v>44581.302083333336</v>
      </c>
      <c r="F652" s="106">
        <f t="shared" si="183"/>
        <v>44581.301885113273</v>
      </c>
      <c r="G652" t="str">
        <f t="shared" si="182"/>
        <v>Thursday</v>
      </c>
      <c r="H652" s="129">
        <v>0.531249999999994</v>
      </c>
      <c r="I652" s="115">
        <f t="shared" si="168"/>
        <v>14.58727748484398</v>
      </c>
      <c r="J652" s="115">
        <f t="shared" si="169"/>
        <v>276.03343031253587</v>
      </c>
      <c r="K652" s="115">
        <f t="shared" si="170"/>
        <v>122.27448931568829</v>
      </c>
      <c r="L652" s="115">
        <f t="shared" si="171"/>
        <v>242.77255256389964</v>
      </c>
      <c r="M652" s="115">
        <f t="shared" si="172"/>
        <v>282.96711018700455</v>
      </c>
      <c r="N652" s="115">
        <f t="shared" si="173"/>
        <v>310.41157428745043</v>
      </c>
      <c r="O652" s="115">
        <f t="shared" si="174"/>
        <v>258.61202919544877</v>
      </c>
      <c r="P652" s="115">
        <f t="shared" si="175"/>
        <v>289.93181221415585</v>
      </c>
      <c r="Q652" s="115">
        <f t="shared" si="176"/>
        <v>34.347345070410334</v>
      </c>
    </row>
    <row r="653" spans="1:17" x14ac:dyDescent="0.25">
      <c r="A653" s="114">
        <f t="shared" si="177"/>
        <v>44581</v>
      </c>
      <c r="B653">
        <f t="shared" si="178"/>
        <v>5.5</v>
      </c>
      <c r="C653" s="109">
        <f t="shared" si="179"/>
        <v>19.066666666666666</v>
      </c>
      <c r="D653" s="109">
        <f t="shared" si="180"/>
        <v>72.86666666666666</v>
      </c>
      <c r="E653" s="107">
        <f t="shared" si="181"/>
        <v>44581.305555555555</v>
      </c>
      <c r="F653" s="106">
        <f t="shared" si="183"/>
        <v>44581.301885113273</v>
      </c>
      <c r="G653" t="str">
        <f t="shared" si="182"/>
        <v>Thursday</v>
      </c>
      <c r="H653" s="129">
        <v>0.53472222222221599</v>
      </c>
      <c r="I653" s="115">
        <f t="shared" si="168"/>
        <v>16.040486095559547</v>
      </c>
      <c r="J653" s="115">
        <f t="shared" si="169"/>
        <v>276.03696317357992</v>
      </c>
      <c r="K653" s="115">
        <f t="shared" si="170"/>
        <v>122.31817133508449</v>
      </c>
      <c r="L653" s="115">
        <f t="shared" si="171"/>
        <v>242.77506175565861</v>
      </c>
      <c r="M653" s="115">
        <f t="shared" si="172"/>
        <v>282.96347437002913</v>
      </c>
      <c r="N653" s="115">
        <f t="shared" si="173"/>
        <v>310.41233835875641</v>
      </c>
      <c r="O653" s="115">
        <f t="shared" si="174"/>
        <v>258.61074353208193</v>
      </c>
      <c r="P653" s="115">
        <f t="shared" si="175"/>
        <v>289.93222027286805</v>
      </c>
      <c r="Q653" s="115">
        <f t="shared" si="176"/>
        <v>34.347161070440983</v>
      </c>
    </row>
    <row r="654" spans="1:17" x14ac:dyDescent="0.25">
      <c r="A654" s="114">
        <f t="shared" si="177"/>
        <v>44581</v>
      </c>
      <c r="B654">
        <f t="shared" si="178"/>
        <v>5.5</v>
      </c>
      <c r="C654" s="109">
        <f t="shared" si="179"/>
        <v>19.066666666666666</v>
      </c>
      <c r="D654" s="109">
        <f t="shared" si="180"/>
        <v>72.86666666666666</v>
      </c>
      <c r="E654" s="107">
        <f t="shared" si="181"/>
        <v>44581.309027777781</v>
      </c>
      <c r="F654" s="106">
        <f t="shared" si="183"/>
        <v>44581.301885113273</v>
      </c>
      <c r="G654" t="str">
        <f t="shared" si="182"/>
        <v>Thursday</v>
      </c>
      <c r="H654" s="129">
        <v>0.53819444444443798</v>
      </c>
      <c r="I654" s="115">
        <f t="shared" si="168"/>
        <v>17.483872968348301</v>
      </c>
      <c r="J654" s="115">
        <f t="shared" si="169"/>
        <v>276.04049603358578</v>
      </c>
      <c r="K654" s="115">
        <f t="shared" si="170"/>
        <v>122.36185554724685</v>
      </c>
      <c r="L654" s="115">
        <f t="shared" si="171"/>
        <v>242.77757095558087</v>
      </c>
      <c r="M654" s="115">
        <f t="shared" si="172"/>
        <v>282.95983697914568</v>
      </c>
      <c r="N654" s="115">
        <f t="shared" si="173"/>
        <v>310.41310244256829</v>
      </c>
      <c r="O654" s="115">
        <f t="shared" si="174"/>
        <v>258.60945832200093</v>
      </c>
      <c r="P654" s="115">
        <f t="shared" si="175"/>
        <v>289.93262833575477</v>
      </c>
      <c r="Q654" s="115">
        <f t="shared" si="176"/>
        <v>34.346977070488151</v>
      </c>
    </row>
    <row r="655" spans="1:17" x14ac:dyDescent="0.25">
      <c r="A655" s="114">
        <f t="shared" si="177"/>
        <v>44581</v>
      </c>
      <c r="B655">
        <f t="shared" si="178"/>
        <v>5.5</v>
      </c>
      <c r="C655" s="109">
        <f t="shared" si="179"/>
        <v>19.066666666666666</v>
      </c>
      <c r="D655" s="109">
        <f t="shared" si="180"/>
        <v>72.86666666666666</v>
      </c>
      <c r="E655" s="107">
        <f t="shared" si="181"/>
        <v>44581.3125</v>
      </c>
      <c r="F655" s="106">
        <f t="shared" si="183"/>
        <v>44581.301885113273</v>
      </c>
      <c r="G655" t="str">
        <f t="shared" si="182"/>
        <v>Thursday</v>
      </c>
      <c r="H655" s="129">
        <v>0.54166666666665997</v>
      </c>
      <c r="I655" s="115">
        <f t="shared" si="168"/>
        <v>18.917376259287675</v>
      </c>
      <c r="J655" s="115">
        <f t="shared" si="169"/>
        <v>276.04402889135167</v>
      </c>
      <c r="K655" s="115">
        <f t="shared" si="170"/>
        <v>122.40554194080551</v>
      </c>
      <c r="L655" s="115">
        <f t="shared" si="171"/>
        <v>242.78008016281416</v>
      </c>
      <c r="M655" s="115">
        <f t="shared" si="172"/>
        <v>282.95619801623519</v>
      </c>
      <c r="N655" s="115">
        <f t="shared" si="173"/>
        <v>310.41386653876037</v>
      </c>
      <c r="O655" s="115">
        <f t="shared" si="174"/>
        <v>258.60817356546761</v>
      </c>
      <c r="P655" s="115">
        <f t="shared" si="175"/>
        <v>289.93303640208535</v>
      </c>
      <c r="Q655" s="115">
        <f t="shared" si="176"/>
        <v>34.346793070535391</v>
      </c>
    </row>
    <row r="656" spans="1:17" x14ac:dyDescent="0.25">
      <c r="A656" s="114">
        <f t="shared" si="177"/>
        <v>44581</v>
      </c>
      <c r="B656">
        <f t="shared" si="178"/>
        <v>5.5</v>
      </c>
      <c r="C656" s="109">
        <f t="shared" si="179"/>
        <v>19.066666666666666</v>
      </c>
      <c r="D656" s="109">
        <f t="shared" si="180"/>
        <v>72.86666666666666</v>
      </c>
      <c r="E656" s="107">
        <f t="shared" si="181"/>
        <v>44581.315972222226</v>
      </c>
      <c r="F656" s="106">
        <f t="shared" si="183"/>
        <v>44581.301885113273</v>
      </c>
      <c r="G656" t="str">
        <f t="shared" si="182"/>
        <v>Thursday</v>
      </c>
      <c r="H656" s="129">
        <v>0.54513888888888196</v>
      </c>
      <c r="I656" s="115">
        <f t="shared" si="168"/>
        <v>20.340956917314745</v>
      </c>
      <c r="J656" s="115">
        <f t="shared" si="169"/>
        <v>276.04756174753931</v>
      </c>
      <c r="K656" s="115">
        <f t="shared" si="170"/>
        <v>122.44923052181286</v>
      </c>
      <c r="L656" s="115">
        <f t="shared" si="171"/>
        <v>242.78258937774893</v>
      </c>
      <c r="M656" s="115">
        <f t="shared" si="172"/>
        <v>282.95255748257426</v>
      </c>
      <c r="N656" s="115">
        <f t="shared" si="173"/>
        <v>310.41463064717436</v>
      </c>
      <c r="O656" s="115">
        <f t="shared" si="174"/>
        <v>258.60688926263646</v>
      </c>
      <c r="P656" s="115">
        <f t="shared" si="175"/>
        <v>289.93344447232062</v>
      </c>
      <c r="Q656" s="115">
        <f t="shared" si="176"/>
        <v>34.346609070566075</v>
      </c>
    </row>
    <row r="657" spans="1:17" x14ac:dyDescent="0.25">
      <c r="A657" s="114">
        <f t="shared" si="177"/>
        <v>44581</v>
      </c>
      <c r="B657">
        <f t="shared" si="178"/>
        <v>5.5</v>
      </c>
      <c r="C657" s="109">
        <f t="shared" si="179"/>
        <v>19.066666666666666</v>
      </c>
      <c r="D657" s="109">
        <f t="shared" si="180"/>
        <v>72.86666666666666</v>
      </c>
      <c r="E657" s="107">
        <f t="shared" si="181"/>
        <v>44581.319444444445</v>
      </c>
      <c r="F657" s="106">
        <f t="shared" si="183"/>
        <v>44581.301885113273</v>
      </c>
      <c r="G657" t="str">
        <f t="shared" si="182"/>
        <v>Thursday</v>
      </c>
      <c r="H657" s="129">
        <v>0.54861111111110406</v>
      </c>
      <c r="I657" s="115">
        <f t="shared" si="168"/>
        <v>21.754597193328415</v>
      </c>
      <c r="J657" s="115">
        <f t="shared" si="169"/>
        <v>276.05109460259985</v>
      </c>
      <c r="K657" s="115">
        <f t="shared" si="170"/>
        <v>122.49292129647687</v>
      </c>
      <c r="L657" s="115">
        <f t="shared" si="171"/>
        <v>242.78509860084762</v>
      </c>
      <c r="M657" s="115">
        <f t="shared" si="172"/>
        <v>282.94891537873809</v>
      </c>
      <c r="N657" s="115">
        <f t="shared" si="173"/>
        <v>310.41539476832315</v>
      </c>
      <c r="O657" s="115">
        <f t="shared" si="174"/>
        <v>258.60560541306495</v>
      </c>
      <c r="P657" s="115">
        <f t="shared" si="175"/>
        <v>289.93385254635621</v>
      </c>
      <c r="Q657" s="115">
        <f t="shared" si="176"/>
        <v>34.346425070596702</v>
      </c>
    </row>
    <row r="658" spans="1:17" x14ac:dyDescent="0.25">
      <c r="A658" s="114">
        <f t="shared" si="177"/>
        <v>44581</v>
      </c>
      <c r="B658">
        <f t="shared" si="178"/>
        <v>5.5</v>
      </c>
      <c r="C658" s="109">
        <f t="shared" si="179"/>
        <v>19.066666666666666</v>
      </c>
      <c r="D658" s="109">
        <f t="shared" si="180"/>
        <v>72.86666666666666</v>
      </c>
      <c r="E658" s="107">
        <f t="shared" si="181"/>
        <v>44581.322916666672</v>
      </c>
      <c r="F658" s="106">
        <f t="shared" si="183"/>
        <v>44581.301885113273</v>
      </c>
      <c r="G658" t="str">
        <f t="shared" si="182"/>
        <v>Thursday</v>
      </c>
      <c r="H658" s="129">
        <v>0.55208333333332604</v>
      </c>
      <c r="I658" s="115">
        <f t="shared" si="168"/>
        <v>23.158299139899267</v>
      </c>
      <c r="J658" s="115">
        <f t="shared" si="169"/>
        <v>276.05462745549517</v>
      </c>
      <c r="K658" s="115">
        <f t="shared" si="170"/>
        <v>122.53661425339747</v>
      </c>
      <c r="L658" s="115">
        <f t="shared" si="171"/>
        <v>242.78760783115592</v>
      </c>
      <c r="M658" s="115">
        <f t="shared" si="172"/>
        <v>282.9452717071058</v>
      </c>
      <c r="N658" s="115">
        <f t="shared" si="173"/>
        <v>310.41615890135921</v>
      </c>
      <c r="O658" s="115">
        <f t="shared" si="174"/>
        <v>258.60432201747665</v>
      </c>
      <c r="P658" s="115">
        <f t="shared" si="175"/>
        <v>289.93426062401556</v>
      </c>
      <c r="Q658" s="115">
        <f t="shared" si="176"/>
        <v>34.346241070660483</v>
      </c>
    </row>
    <row r="659" spans="1:17" x14ac:dyDescent="0.25">
      <c r="A659" s="114">
        <f t="shared" si="177"/>
        <v>44581</v>
      </c>
      <c r="B659">
        <f t="shared" si="178"/>
        <v>5.5</v>
      </c>
      <c r="C659" s="109">
        <f t="shared" si="179"/>
        <v>19.066666666666666</v>
      </c>
      <c r="D659" s="109">
        <f t="shared" si="180"/>
        <v>72.86666666666666</v>
      </c>
      <c r="E659" s="107">
        <f t="shared" si="181"/>
        <v>44581.326388888891</v>
      </c>
      <c r="F659" s="106">
        <f t="shared" si="183"/>
        <v>44581.301885113273</v>
      </c>
      <c r="G659" t="str">
        <f t="shared" si="182"/>
        <v>Thursday</v>
      </c>
      <c r="H659" s="129">
        <v>0.55555555555554803</v>
      </c>
      <c r="I659" s="115">
        <f t="shared" si="168"/>
        <v>24.552084957471656</v>
      </c>
      <c r="J659" s="115">
        <f t="shared" si="169"/>
        <v>276.05816030714794</v>
      </c>
      <c r="K659" s="115">
        <f t="shared" si="170"/>
        <v>122.58030940457112</v>
      </c>
      <c r="L659" s="115">
        <f t="shared" si="171"/>
        <v>242.79011706943811</v>
      </c>
      <c r="M659" s="115">
        <f t="shared" si="172"/>
        <v>282.9416264679885</v>
      </c>
      <c r="N659" s="115">
        <f t="shared" si="173"/>
        <v>310.4169230467441</v>
      </c>
      <c r="O659" s="115">
        <f t="shared" si="174"/>
        <v>258.60303907555192</v>
      </c>
      <c r="P659" s="115">
        <f t="shared" si="175"/>
        <v>289.93466870483525</v>
      </c>
      <c r="Q659" s="115">
        <f t="shared" si="176"/>
        <v>34.346057070641464</v>
      </c>
    </row>
    <row r="660" spans="1:17" x14ac:dyDescent="0.25">
      <c r="A660" s="114">
        <f t="shared" si="177"/>
        <v>44581</v>
      </c>
      <c r="B660">
        <f t="shared" si="178"/>
        <v>5.5</v>
      </c>
      <c r="C660" s="109">
        <f t="shared" si="179"/>
        <v>19.066666666666666</v>
      </c>
      <c r="D660" s="109">
        <f t="shared" si="180"/>
        <v>72.86666666666666</v>
      </c>
      <c r="E660" s="107">
        <f t="shared" si="181"/>
        <v>44581.329861111117</v>
      </c>
      <c r="F660" s="106">
        <f t="shared" si="183"/>
        <v>44581.301885113273</v>
      </c>
      <c r="G660" t="str">
        <f t="shared" si="182"/>
        <v>Thursday</v>
      </c>
      <c r="H660" s="129">
        <v>0.55902777777777002</v>
      </c>
      <c r="I660" s="115">
        <f t="shared" si="168"/>
        <v>25.935994496841506</v>
      </c>
      <c r="J660" s="115">
        <f t="shared" si="169"/>
        <v>276.06169315676073</v>
      </c>
      <c r="K660" s="115">
        <f t="shared" si="170"/>
        <v>122.62400673859433</v>
      </c>
      <c r="L660" s="115">
        <f t="shared" si="171"/>
        <v>242.79262631513757</v>
      </c>
      <c r="M660" s="115">
        <f t="shared" si="172"/>
        <v>282.93797966354299</v>
      </c>
      <c r="N660" s="115">
        <f t="shared" si="173"/>
        <v>310.41768720449812</v>
      </c>
      <c r="O660" s="115">
        <f t="shared" si="174"/>
        <v>258.60175658756935</v>
      </c>
      <c r="P660" s="115">
        <f t="shared" si="175"/>
        <v>289.9350767899727</v>
      </c>
      <c r="Q660" s="115">
        <f t="shared" si="176"/>
        <v>34.345873070705252</v>
      </c>
    </row>
    <row r="661" spans="1:17" x14ac:dyDescent="0.25">
      <c r="A661" s="114">
        <f t="shared" si="177"/>
        <v>44581</v>
      </c>
      <c r="B661">
        <f t="shared" si="178"/>
        <v>5.5</v>
      </c>
      <c r="C661" s="109">
        <f t="shared" si="179"/>
        <v>19.066666666666666</v>
      </c>
      <c r="D661" s="109">
        <f t="shared" si="180"/>
        <v>72.86666666666666</v>
      </c>
      <c r="E661" s="107">
        <f t="shared" si="181"/>
        <v>44581.333333333336</v>
      </c>
      <c r="F661" s="106">
        <f t="shared" si="183"/>
        <v>44581.301885113273</v>
      </c>
      <c r="G661" t="str">
        <f t="shared" si="182"/>
        <v>Thursday</v>
      </c>
      <c r="H661" s="129">
        <v>0.56249999999999201</v>
      </c>
      <c r="I661" s="115">
        <f t="shared" si="168"/>
        <v>27.310085741413058</v>
      </c>
      <c r="J661" s="115">
        <f t="shared" si="169"/>
        <v>276.06522600520924</v>
      </c>
      <c r="K661" s="115">
        <f t="shared" si="170"/>
        <v>122.66770626745881</v>
      </c>
      <c r="L661" s="115">
        <f t="shared" si="171"/>
        <v>242.79513556896856</v>
      </c>
      <c r="M661" s="115">
        <f t="shared" si="172"/>
        <v>282.93433129411045</v>
      </c>
      <c r="N661" s="115">
        <f t="shared" si="173"/>
        <v>310.41845137479385</v>
      </c>
      <c r="O661" s="115">
        <f t="shared" si="174"/>
        <v>258.60047455331056</v>
      </c>
      <c r="P661" s="115">
        <f t="shared" si="175"/>
        <v>289.93548487843969</v>
      </c>
      <c r="Q661" s="115">
        <f t="shared" si="176"/>
        <v>34.345689070735865</v>
      </c>
    </row>
    <row r="662" spans="1:17" x14ac:dyDescent="0.25">
      <c r="A662" s="114">
        <f t="shared" si="177"/>
        <v>44581</v>
      </c>
      <c r="B662">
        <f t="shared" si="178"/>
        <v>5.5</v>
      </c>
      <c r="C662" s="109">
        <f t="shared" si="179"/>
        <v>19.066666666666666</v>
      </c>
      <c r="D662" s="109">
        <f t="shared" si="180"/>
        <v>72.86666666666666</v>
      </c>
      <c r="E662" s="107">
        <f t="shared" si="181"/>
        <v>44581.336805555555</v>
      </c>
      <c r="F662" s="106">
        <f t="shared" si="183"/>
        <v>44581.301885113273</v>
      </c>
      <c r="G662" t="str">
        <f t="shared" si="182"/>
        <v>Thursday</v>
      </c>
      <c r="H662" s="129">
        <v>0.56597222222221399</v>
      </c>
      <c r="I662" s="115">
        <f t="shared" si="168"/>
        <v>28.674432311451959</v>
      </c>
      <c r="J662" s="115">
        <f t="shared" si="169"/>
        <v>276.06875885153249</v>
      </c>
      <c r="K662" s="115">
        <f t="shared" si="170"/>
        <v>122.71140797981215</v>
      </c>
      <c r="L662" s="115">
        <f t="shared" si="171"/>
        <v>242.79764483006258</v>
      </c>
      <c r="M662" s="115">
        <f t="shared" si="172"/>
        <v>282.93068136200964</v>
      </c>
      <c r="N662" s="115">
        <f t="shared" si="173"/>
        <v>310.41921555723741</v>
      </c>
      <c r="O662" s="115">
        <f t="shared" si="174"/>
        <v>258.59919297318908</v>
      </c>
      <c r="P662" s="115">
        <f t="shared" si="175"/>
        <v>289.93589297036692</v>
      </c>
      <c r="Q662" s="115">
        <f t="shared" si="176"/>
        <v>34.345505070783112</v>
      </c>
    </row>
    <row r="663" spans="1:17" x14ac:dyDescent="0.25">
      <c r="A663" s="114">
        <f t="shared" si="177"/>
        <v>44581</v>
      </c>
      <c r="B663">
        <f t="shared" si="178"/>
        <v>5.5</v>
      </c>
      <c r="C663" s="109">
        <f t="shared" si="179"/>
        <v>19.066666666666666</v>
      </c>
      <c r="D663" s="109">
        <f t="shared" si="180"/>
        <v>72.86666666666666</v>
      </c>
      <c r="E663" s="107">
        <f t="shared" si="181"/>
        <v>44581.340277777781</v>
      </c>
      <c r="F663" s="106">
        <f t="shared" si="183"/>
        <v>44581.301885113273</v>
      </c>
      <c r="G663" t="str">
        <f t="shared" si="182"/>
        <v>Thursday</v>
      </c>
      <c r="H663" s="129">
        <v>0.56944444444443598</v>
      </c>
      <c r="I663" s="115">
        <f t="shared" si="168"/>
        <v>30.029123924193751</v>
      </c>
      <c r="J663" s="115">
        <f t="shared" si="169"/>
        <v>276.07229169679994</v>
      </c>
      <c r="K663" s="115">
        <f t="shared" si="170"/>
        <v>122.75511188758078</v>
      </c>
      <c r="L663" s="115">
        <f t="shared" si="171"/>
        <v>242.80015409935106</v>
      </c>
      <c r="M663" s="115">
        <f t="shared" si="172"/>
        <v>282.92702986750527</v>
      </c>
      <c r="N663" s="115">
        <f t="shared" si="173"/>
        <v>310.41997975220812</v>
      </c>
      <c r="O663" s="115">
        <f t="shared" si="174"/>
        <v>258.59791184695962</v>
      </c>
      <c r="P663" s="115">
        <f t="shared" si="175"/>
        <v>289.9363010664664</v>
      </c>
      <c r="Q663" s="115">
        <f t="shared" si="176"/>
        <v>34.345321070813796</v>
      </c>
    </row>
    <row r="664" spans="1:17" x14ac:dyDescent="0.25">
      <c r="A664" s="114">
        <f t="shared" si="177"/>
        <v>44581</v>
      </c>
      <c r="B664">
        <f t="shared" si="178"/>
        <v>5.5</v>
      </c>
      <c r="C664" s="109">
        <f t="shared" si="179"/>
        <v>19.066666666666666</v>
      </c>
      <c r="D664" s="109">
        <f t="shared" si="180"/>
        <v>72.86666666666666</v>
      </c>
      <c r="E664" s="107">
        <f t="shared" si="181"/>
        <v>44581.34375</v>
      </c>
      <c r="F664" s="106">
        <f t="shared" si="183"/>
        <v>44581.301885113273</v>
      </c>
      <c r="G664" t="str">
        <f t="shared" si="182"/>
        <v>Thursday</v>
      </c>
      <c r="H664" s="129">
        <v>0.57291666666665797</v>
      </c>
      <c r="I664" s="115">
        <f t="shared" si="168"/>
        <v>31.374263924057537</v>
      </c>
      <c r="J664" s="115">
        <f t="shared" si="169"/>
        <v>276.07582453984332</v>
      </c>
      <c r="K664" s="115">
        <f t="shared" si="170"/>
        <v>122.79881797938884</v>
      </c>
      <c r="L664" s="115">
        <f t="shared" si="171"/>
        <v>242.8026633758962</v>
      </c>
      <c r="M664" s="115">
        <f t="shared" si="172"/>
        <v>282.92337681292184</v>
      </c>
      <c r="N664" s="115">
        <f t="shared" si="173"/>
        <v>310.420743959552</v>
      </c>
      <c r="O664" s="115">
        <f t="shared" si="174"/>
        <v>258.59663117491465</v>
      </c>
      <c r="P664" s="115">
        <f t="shared" si="175"/>
        <v>289.93670916601508</v>
      </c>
      <c r="Q664" s="115">
        <f t="shared" si="176"/>
        <v>34.345137070844423</v>
      </c>
    </row>
    <row r="665" spans="1:17" x14ac:dyDescent="0.25">
      <c r="A665" s="114">
        <f t="shared" si="177"/>
        <v>44581</v>
      </c>
      <c r="B665">
        <f t="shared" si="178"/>
        <v>5.5</v>
      </c>
      <c r="C665" s="109">
        <f t="shared" si="179"/>
        <v>19.066666666666666</v>
      </c>
      <c r="D665" s="109">
        <f t="shared" si="180"/>
        <v>72.86666666666666</v>
      </c>
      <c r="E665" s="107">
        <f t="shared" si="181"/>
        <v>44581.347222222226</v>
      </c>
      <c r="F665" s="106">
        <f t="shared" si="183"/>
        <v>44581.301885113273</v>
      </c>
      <c r="G665" t="str">
        <f t="shared" si="182"/>
        <v>Thursday</v>
      </c>
      <c r="H665" s="129">
        <v>0.57638888888887996</v>
      </c>
      <c r="I665" s="115">
        <f t="shared" si="168"/>
        <v>32.709969570803523</v>
      </c>
      <c r="J665" s="115">
        <f t="shared" si="169"/>
        <v>276.07935738112235</v>
      </c>
      <c r="K665" s="115">
        <f t="shared" si="170"/>
        <v>122.84252626143605</v>
      </c>
      <c r="L665" s="115">
        <f t="shared" si="171"/>
        <v>242.80517265991946</v>
      </c>
      <c r="M665" s="115">
        <f t="shared" si="172"/>
        <v>282.91972219906665</v>
      </c>
      <c r="N665" s="115">
        <f t="shared" si="173"/>
        <v>310.42150817881696</v>
      </c>
      <c r="O665" s="115">
        <f t="shared" si="174"/>
        <v>258.59535095707946</v>
      </c>
      <c r="P665" s="115">
        <f t="shared" si="175"/>
        <v>289.93711726920077</v>
      </c>
      <c r="Q665" s="115">
        <f t="shared" si="176"/>
        <v>34.344953070875107</v>
      </c>
    </row>
    <row r="666" spans="1:17" x14ac:dyDescent="0.25">
      <c r="A666" s="114">
        <f t="shared" si="177"/>
        <v>44581</v>
      </c>
      <c r="B666">
        <f t="shared" si="178"/>
        <v>5.5</v>
      </c>
      <c r="C666" s="109">
        <f t="shared" si="179"/>
        <v>19.066666666666666</v>
      </c>
      <c r="D666" s="109">
        <f t="shared" si="180"/>
        <v>72.86666666666666</v>
      </c>
      <c r="E666" s="107">
        <f t="shared" si="181"/>
        <v>44581.350694444445</v>
      </c>
      <c r="F666" s="106">
        <f t="shared" si="183"/>
        <v>44581.301885113273</v>
      </c>
      <c r="G666" t="str">
        <f t="shared" si="182"/>
        <v>Thursday</v>
      </c>
      <c r="H666" s="129">
        <v>0.57986111111110095</v>
      </c>
      <c r="I666" s="115">
        <f t="shared" si="168"/>
        <v>34.036370513365952</v>
      </c>
      <c r="J666" s="115">
        <f t="shared" si="169"/>
        <v>276.08289022135079</v>
      </c>
      <c r="K666" s="115">
        <f t="shared" si="170"/>
        <v>122.88623673986619</v>
      </c>
      <c r="L666" s="115">
        <f t="shared" si="171"/>
        <v>242.80768195208961</v>
      </c>
      <c r="M666" s="115">
        <f t="shared" si="172"/>
        <v>282.91606602664058</v>
      </c>
      <c r="N666" s="115">
        <f t="shared" si="173"/>
        <v>310.4222724105644</v>
      </c>
      <c r="O666" s="115">
        <f t="shared" si="174"/>
        <v>258.59407119335071</v>
      </c>
      <c r="P666" s="115">
        <f t="shared" si="175"/>
        <v>289.9375253758916</v>
      </c>
      <c r="Q666" s="115">
        <f t="shared" si="176"/>
        <v>34.344769070922283</v>
      </c>
    </row>
    <row r="667" spans="1:17" x14ac:dyDescent="0.25">
      <c r="A667" s="114">
        <f t="shared" si="177"/>
        <v>44581</v>
      </c>
      <c r="B667">
        <f t="shared" si="178"/>
        <v>5.5</v>
      </c>
      <c r="C667" s="109">
        <f t="shared" si="179"/>
        <v>19.066666666666666</v>
      </c>
      <c r="D667" s="109">
        <f t="shared" si="180"/>
        <v>72.86666666666666</v>
      </c>
      <c r="E667" s="107">
        <f t="shared" si="181"/>
        <v>44581.354166666672</v>
      </c>
      <c r="F667" s="106">
        <f t="shared" si="183"/>
        <v>44581.301885113273</v>
      </c>
      <c r="G667" t="str">
        <f t="shared" si="182"/>
        <v>Thursday</v>
      </c>
      <c r="H667" s="129">
        <v>0.58333333333332305</v>
      </c>
      <c r="I667" s="115">
        <f t="shared" si="168"/>
        <v>35.353607317662707</v>
      </c>
      <c r="J667" s="115">
        <f t="shared" si="169"/>
        <v>276.0864230594679</v>
      </c>
      <c r="K667" s="115">
        <f t="shared" si="170"/>
        <v>122.92994940323389</v>
      </c>
      <c r="L667" s="115">
        <f t="shared" si="171"/>
        <v>242.81019125172963</v>
      </c>
      <c r="M667" s="115">
        <f t="shared" si="172"/>
        <v>282.91240829809271</v>
      </c>
      <c r="N667" s="115">
        <f t="shared" si="173"/>
        <v>310.42303665483678</v>
      </c>
      <c r="O667" s="115">
        <f t="shared" si="174"/>
        <v>258.59279188410898</v>
      </c>
      <c r="P667" s="115">
        <f t="shared" si="175"/>
        <v>289.93793348649467</v>
      </c>
      <c r="Q667" s="115">
        <f t="shared" si="176"/>
        <v>34.344585070969515</v>
      </c>
    </row>
    <row r="668" spans="1:17" x14ac:dyDescent="0.25">
      <c r="A668" s="114">
        <f t="shared" si="177"/>
        <v>44581</v>
      </c>
      <c r="B668">
        <f t="shared" si="178"/>
        <v>5.5</v>
      </c>
      <c r="C668" s="109">
        <f t="shared" si="179"/>
        <v>19.066666666666666</v>
      </c>
      <c r="D668" s="109">
        <f t="shared" si="180"/>
        <v>72.86666666666666</v>
      </c>
      <c r="E668" s="107">
        <f t="shared" si="181"/>
        <v>44581.357638888891</v>
      </c>
      <c r="F668" s="106">
        <f t="shared" si="183"/>
        <v>44581.301885113273</v>
      </c>
      <c r="G668" t="str">
        <f t="shared" si="182"/>
        <v>Thursday</v>
      </c>
      <c r="H668" s="129">
        <v>0.58680555555554503</v>
      </c>
      <c r="I668" s="115">
        <f t="shared" si="168"/>
        <v>36.661831783483549</v>
      </c>
      <c r="J668" s="115">
        <f t="shared" si="169"/>
        <v>276.08995589641063</v>
      </c>
      <c r="K668" s="115">
        <f t="shared" si="170"/>
        <v>122.97366426357291</v>
      </c>
      <c r="L668" s="115">
        <f t="shared" si="171"/>
        <v>242.81270055938404</v>
      </c>
      <c r="M668" s="115">
        <f t="shared" si="172"/>
        <v>282.90874901349281</v>
      </c>
      <c r="N668" s="115">
        <f t="shared" si="173"/>
        <v>310.42380091115092</v>
      </c>
      <c r="O668" s="115">
        <f t="shared" si="174"/>
        <v>258.59151302906622</v>
      </c>
      <c r="P668" s="115">
        <f t="shared" si="175"/>
        <v>289.93834160047811</v>
      </c>
      <c r="Q668" s="115">
        <f t="shared" si="176"/>
        <v>34.344401070983665</v>
      </c>
    </row>
    <row r="669" spans="1:17" x14ac:dyDescent="0.25">
      <c r="A669" s="114">
        <f t="shared" si="177"/>
        <v>44581</v>
      </c>
      <c r="B669">
        <f t="shared" si="178"/>
        <v>5.5</v>
      </c>
      <c r="C669" s="109">
        <f t="shared" si="179"/>
        <v>19.066666666666666</v>
      </c>
      <c r="D669" s="109">
        <f t="shared" si="180"/>
        <v>72.86666666666666</v>
      </c>
      <c r="E669" s="107">
        <f t="shared" si="181"/>
        <v>44581.361111111117</v>
      </c>
      <c r="F669" s="106">
        <f t="shared" si="183"/>
        <v>44581.301885113273</v>
      </c>
      <c r="G669" t="str">
        <f t="shared" si="182"/>
        <v>Thursday</v>
      </c>
      <c r="H669" s="129">
        <v>0.59027777777776702</v>
      </c>
      <c r="I669" s="115">
        <f t="shared" ref="I669:I732" si="184">(Asdt(C669,D669,E669))</f>
        <v>37.961204643458927</v>
      </c>
      <c r="J669" s="115">
        <f t="shared" ref="J669:J732" si="185">(Planet(E669,0))</f>
        <v>276.0934887313648</v>
      </c>
      <c r="K669" s="115">
        <f t="shared" ref="K669:K732" si="186">(Planet(E669,1))</f>
        <v>123.01738130944943</v>
      </c>
      <c r="L669" s="115">
        <f t="shared" ref="L669:L732" si="187">(Planet(E669,4))</f>
        <v>242.81520987452291</v>
      </c>
      <c r="M669" s="115">
        <f t="shared" ref="M669:M732" si="188">(Planet(E669,2))</f>
        <v>282.90508817525233</v>
      </c>
      <c r="N669" s="115">
        <f t="shared" ref="N669:N732" si="189">(Planet(E669,5))</f>
        <v>310.42456518018633</v>
      </c>
      <c r="O669" s="115">
        <f t="shared" ref="O669:O732" si="190">Planet(E669,3)</f>
        <v>258.59023462868305</v>
      </c>
      <c r="P669" s="115">
        <f t="shared" ref="P669:P732" si="191">Planet(E669,6)</f>
        <v>289.93874971846202</v>
      </c>
      <c r="Q669" s="115">
        <f t="shared" ref="Q669:Q732" si="192">Planet(E669,10)</f>
        <v>34.344217071030826</v>
      </c>
    </row>
    <row r="670" spans="1:17" x14ac:dyDescent="0.25">
      <c r="A670" s="114">
        <f t="shared" si="177"/>
        <v>44581</v>
      </c>
      <c r="B670">
        <f t="shared" si="178"/>
        <v>5.5</v>
      </c>
      <c r="C670" s="109">
        <f t="shared" si="179"/>
        <v>19.066666666666666</v>
      </c>
      <c r="D670" s="109">
        <f t="shared" si="180"/>
        <v>72.86666666666666</v>
      </c>
      <c r="E670" s="107">
        <f t="shared" si="181"/>
        <v>44581.364583333336</v>
      </c>
      <c r="F670" s="106">
        <f t="shared" si="183"/>
        <v>44581.301885113273</v>
      </c>
      <c r="G670" t="str">
        <f t="shared" si="182"/>
        <v>Thursday</v>
      </c>
      <c r="H670" s="129">
        <v>0.59374999999998901</v>
      </c>
      <c r="I670" s="115">
        <f t="shared" si="184"/>
        <v>39.251896103509935</v>
      </c>
      <c r="J670" s="115">
        <f t="shared" si="185"/>
        <v>276.09702156491664</v>
      </c>
      <c r="K670" s="115">
        <f t="shared" si="186"/>
        <v>123.06110055292102</v>
      </c>
      <c r="L670" s="115">
        <f t="shared" si="187"/>
        <v>242.81771919741564</v>
      </c>
      <c r="M670" s="115">
        <f t="shared" si="188"/>
        <v>282.90142578393022</v>
      </c>
      <c r="N670" s="115">
        <f t="shared" si="189"/>
        <v>310.4253294613647</v>
      </c>
      <c r="O670" s="115">
        <f t="shared" si="190"/>
        <v>258.58895668257952</v>
      </c>
      <c r="P670" s="115">
        <f t="shared" si="191"/>
        <v>289.9391578396619</v>
      </c>
      <c r="Q670" s="115">
        <f t="shared" si="192"/>
        <v>34.344033071044905</v>
      </c>
    </row>
    <row r="671" spans="1:17" x14ac:dyDescent="0.25">
      <c r="A671" s="114">
        <f t="shared" si="177"/>
        <v>44581</v>
      </c>
      <c r="B671">
        <f t="shared" si="178"/>
        <v>5.5</v>
      </c>
      <c r="C671" s="109">
        <f t="shared" si="179"/>
        <v>19.066666666666666</v>
      </c>
      <c r="D671" s="109">
        <f t="shared" si="180"/>
        <v>72.86666666666666</v>
      </c>
      <c r="E671" s="107">
        <f t="shared" si="181"/>
        <v>44581.368055555555</v>
      </c>
      <c r="F671" s="106">
        <f t="shared" si="183"/>
        <v>44581.301885113273</v>
      </c>
      <c r="G671" t="str">
        <f t="shared" si="182"/>
        <v>Thursday</v>
      </c>
      <c r="H671" s="129">
        <v>0.597222222222211</v>
      </c>
      <c r="I671" s="115">
        <f t="shared" si="184"/>
        <v>40.534083627070082</v>
      </c>
      <c r="J671" s="115">
        <f t="shared" si="185"/>
        <v>276.10055439645754</v>
      </c>
      <c r="K671" s="115">
        <f t="shared" si="186"/>
        <v>123.10482198258543</v>
      </c>
      <c r="L671" s="115">
        <f t="shared" si="187"/>
        <v>242.82022852780872</v>
      </c>
      <c r="M671" s="115">
        <f t="shared" si="188"/>
        <v>282.89776184134115</v>
      </c>
      <c r="N671" s="115">
        <f t="shared" si="189"/>
        <v>310.42609375472284</v>
      </c>
      <c r="O671" s="115">
        <f t="shared" si="190"/>
        <v>258.58767919124818</v>
      </c>
      <c r="P671" s="115">
        <f t="shared" si="191"/>
        <v>289.93956596495786</v>
      </c>
      <c r="Q671" s="115">
        <f t="shared" si="192"/>
        <v>34.343849071092137</v>
      </c>
    </row>
    <row r="672" spans="1:17" x14ac:dyDescent="0.25">
      <c r="A672" s="114">
        <f t="shared" si="177"/>
        <v>44581</v>
      </c>
      <c r="B672">
        <f t="shared" si="178"/>
        <v>5.5</v>
      </c>
      <c r="C672" s="109">
        <f t="shared" si="179"/>
        <v>19.066666666666666</v>
      </c>
      <c r="D672" s="109">
        <f t="shared" si="180"/>
        <v>72.86666666666666</v>
      </c>
      <c r="E672" s="107">
        <f t="shared" si="181"/>
        <v>44581.371527777781</v>
      </c>
      <c r="F672" s="106">
        <f t="shared" si="183"/>
        <v>44581.301885113273</v>
      </c>
      <c r="G672" t="str">
        <f t="shared" si="182"/>
        <v>Thursday</v>
      </c>
      <c r="H672" s="129">
        <v>0.60069444444443298</v>
      </c>
      <c r="I672" s="115">
        <f t="shared" si="184"/>
        <v>41.807952526094596</v>
      </c>
      <c r="J672" s="115">
        <f t="shared" si="185"/>
        <v>276.10408722685105</v>
      </c>
      <c r="K672" s="115">
        <f t="shared" si="186"/>
        <v>123.14854561045749</v>
      </c>
      <c r="L672" s="115">
        <f t="shared" si="187"/>
        <v>242.82273786616474</v>
      </c>
      <c r="M672" s="115">
        <f t="shared" si="188"/>
        <v>282.89409634815814</v>
      </c>
      <c r="N672" s="115">
        <f t="shared" si="189"/>
        <v>310.42685806043482</v>
      </c>
      <c r="O672" s="115">
        <f t="shared" si="190"/>
        <v>258.58640215441869</v>
      </c>
      <c r="P672" s="115">
        <f t="shared" si="191"/>
        <v>289.93997409348765</v>
      </c>
      <c r="Q672" s="115">
        <f t="shared" si="192"/>
        <v>34.343665071122835</v>
      </c>
    </row>
    <row r="673" spans="1:17" x14ac:dyDescent="0.25">
      <c r="A673" s="114">
        <f t="shared" si="177"/>
        <v>44581</v>
      </c>
      <c r="B673">
        <f t="shared" si="178"/>
        <v>5.5</v>
      </c>
      <c r="C673" s="109">
        <f t="shared" si="179"/>
        <v>19.066666666666666</v>
      </c>
      <c r="D673" s="109">
        <f t="shared" si="180"/>
        <v>72.86666666666666</v>
      </c>
      <c r="E673" s="107">
        <f t="shared" si="181"/>
        <v>44581.375</v>
      </c>
      <c r="F673" s="106">
        <f t="shared" si="183"/>
        <v>44581.301885113273</v>
      </c>
      <c r="G673" t="str">
        <f t="shared" si="182"/>
        <v>Thursday</v>
      </c>
      <c r="H673" s="129">
        <v>0.60416666666665497</v>
      </c>
      <c r="I673" s="115">
        <f t="shared" si="184"/>
        <v>43.073693834717737</v>
      </c>
      <c r="J673" s="115">
        <f t="shared" si="185"/>
        <v>276.10762005511953</v>
      </c>
      <c r="K673" s="115">
        <f t="shared" si="186"/>
        <v>123.19227142508731</v>
      </c>
      <c r="L673" s="115">
        <f t="shared" si="187"/>
        <v>242.82524721194216</v>
      </c>
      <c r="M673" s="115">
        <f t="shared" si="188"/>
        <v>282.89042930656376</v>
      </c>
      <c r="N673" s="115">
        <f t="shared" si="189"/>
        <v>310.42762237869209</v>
      </c>
      <c r="O673" s="115">
        <f t="shared" si="190"/>
        <v>258.58512557247303</v>
      </c>
      <c r="P673" s="115">
        <f t="shared" si="191"/>
        <v>289.94038222627785</v>
      </c>
      <c r="Q673" s="115">
        <f t="shared" si="192"/>
        <v>34.343481071170011</v>
      </c>
    </row>
    <row r="674" spans="1:17" x14ac:dyDescent="0.25">
      <c r="A674" s="114">
        <f t="shared" si="177"/>
        <v>44581</v>
      </c>
      <c r="B674">
        <f t="shared" si="178"/>
        <v>5.5</v>
      </c>
      <c r="C674" s="109">
        <f t="shared" si="179"/>
        <v>19.066666666666666</v>
      </c>
      <c r="D674" s="109">
        <f t="shared" si="180"/>
        <v>72.86666666666666</v>
      </c>
      <c r="E674" s="107">
        <f t="shared" si="181"/>
        <v>44581.378472222226</v>
      </c>
      <c r="F674" s="106">
        <f t="shared" si="183"/>
        <v>44581.301885113273</v>
      </c>
      <c r="G674" t="str">
        <f t="shared" si="182"/>
        <v>Thursday</v>
      </c>
      <c r="H674" s="129">
        <v>0.60763888888887696</v>
      </c>
      <c r="I674" s="115">
        <f t="shared" si="184"/>
        <v>44.331504789338616</v>
      </c>
      <c r="J674" s="115">
        <f t="shared" si="185"/>
        <v>276.11115288174886</v>
      </c>
      <c r="K674" s="115">
        <f t="shared" si="186"/>
        <v>123.23599943265202</v>
      </c>
      <c r="L674" s="115">
        <f t="shared" si="187"/>
        <v>242.82775656543066</v>
      </c>
      <c r="M674" s="115">
        <f t="shared" si="188"/>
        <v>282.88676071720738</v>
      </c>
      <c r="N674" s="115">
        <f t="shared" si="189"/>
        <v>310.42838670893656</v>
      </c>
      <c r="O674" s="115">
        <f t="shared" si="190"/>
        <v>258.58384944538386</v>
      </c>
      <c r="P674" s="115">
        <f t="shared" si="191"/>
        <v>289.94079036205335</v>
      </c>
      <c r="Q674" s="115">
        <f t="shared" si="192"/>
        <v>34.343297071217251</v>
      </c>
    </row>
    <row r="675" spans="1:17" x14ac:dyDescent="0.25">
      <c r="A675" s="114">
        <f t="shared" si="177"/>
        <v>44581</v>
      </c>
      <c r="B675">
        <f t="shared" si="178"/>
        <v>5.5</v>
      </c>
      <c r="C675" s="109">
        <f t="shared" si="179"/>
        <v>19.066666666666666</v>
      </c>
      <c r="D675" s="109">
        <f t="shared" si="180"/>
        <v>72.86666666666666</v>
      </c>
      <c r="E675" s="107">
        <f t="shared" si="181"/>
        <v>44581.381944444445</v>
      </c>
      <c r="F675" s="106">
        <f t="shared" si="183"/>
        <v>44581.301885113273</v>
      </c>
      <c r="G675" t="str">
        <f t="shared" si="182"/>
        <v>Thursday</v>
      </c>
      <c r="H675" s="129">
        <v>0.61111111111109895</v>
      </c>
      <c r="I675" s="115">
        <f t="shared" si="184"/>
        <v>45.581587629538106</v>
      </c>
      <c r="J675" s="115">
        <f t="shared" si="185"/>
        <v>276.11468570727243</v>
      </c>
      <c r="K675" s="115">
        <f t="shared" si="186"/>
        <v>123.27972963933077</v>
      </c>
      <c r="L675" s="115">
        <f t="shared" si="187"/>
        <v>242.83026592706423</v>
      </c>
      <c r="M675" s="115">
        <f t="shared" si="188"/>
        <v>282.88309058103647</v>
      </c>
      <c r="N675" s="115">
        <f t="shared" si="189"/>
        <v>310.42915105170715</v>
      </c>
      <c r="O675" s="115">
        <f t="shared" si="190"/>
        <v>258.58257377280836</v>
      </c>
      <c r="P675" s="115">
        <f t="shared" si="191"/>
        <v>289.94119850236422</v>
      </c>
      <c r="Q675" s="115">
        <f t="shared" si="192"/>
        <v>34.343113071247885</v>
      </c>
    </row>
    <row r="676" spans="1:17" x14ac:dyDescent="0.25">
      <c r="A676" s="114">
        <f t="shared" ref="A676:A685" si="193">A675</f>
        <v>44581</v>
      </c>
      <c r="B676">
        <f t="shared" si="178"/>
        <v>5.5</v>
      </c>
      <c r="C676" s="109">
        <f t="shared" si="179"/>
        <v>19.066666666666666</v>
      </c>
      <c r="D676" s="109">
        <f t="shared" si="180"/>
        <v>72.86666666666666</v>
      </c>
      <c r="E676" s="107">
        <f t="shared" si="181"/>
        <v>44581.385416666672</v>
      </c>
      <c r="F676" s="106">
        <f t="shared" si="183"/>
        <v>44581.301885113273</v>
      </c>
      <c r="G676" t="str">
        <f t="shared" si="182"/>
        <v>Thursday</v>
      </c>
      <c r="H676" s="129">
        <v>0.61458333333332105</v>
      </c>
      <c r="I676" s="115">
        <f t="shared" si="184"/>
        <v>46.824148459423469</v>
      </c>
      <c r="J676" s="115">
        <f t="shared" si="185"/>
        <v>276.1182185305683</v>
      </c>
      <c r="K676" s="115">
        <f t="shared" si="186"/>
        <v>123.32346203370508</v>
      </c>
      <c r="L676" s="115">
        <f t="shared" si="187"/>
        <v>242.83277529583313</v>
      </c>
      <c r="M676" s="115">
        <f t="shared" si="188"/>
        <v>282.87941890048666</v>
      </c>
      <c r="N676" s="115">
        <f t="shared" si="189"/>
        <v>310.42991540684983</v>
      </c>
      <c r="O676" s="115">
        <f t="shared" si="190"/>
        <v>258.58129855552602</v>
      </c>
      <c r="P676" s="115">
        <f t="shared" si="191"/>
        <v>289.94160664584012</v>
      </c>
      <c r="Q676" s="115">
        <f t="shared" si="192"/>
        <v>34.34292907129511</v>
      </c>
    </row>
    <row r="677" spans="1:17" x14ac:dyDescent="0.25">
      <c r="A677" s="114">
        <f t="shared" si="193"/>
        <v>44581</v>
      </c>
      <c r="B677">
        <f t="shared" si="178"/>
        <v>5.5</v>
      </c>
      <c r="C677" s="109">
        <f t="shared" si="179"/>
        <v>19.066666666666666</v>
      </c>
      <c r="D677" s="109">
        <f t="shared" si="180"/>
        <v>72.86666666666666</v>
      </c>
      <c r="E677" s="107">
        <f t="shared" si="181"/>
        <v>44581.388888888891</v>
      </c>
      <c r="F677" s="106">
        <f t="shared" si="183"/>
        <v>44581.301885113273</v>
      </c>
      <c r="G677" t="str">
        <f t="shared" si="182"/>
        <v>Thursday</v>
      </c>
      <c r="H677" s="129">
        <v>0.61805555555554303</v>
      </c>
      <c r="I677" s="115">
        <f t="shared" si="184"/>
        <v>48.059397807435133</v>
      </c>
      <c r="J677" s="115">
        <f t="shared" si="185"/>
        <v>276.12175135274896</v>
      </c>
      <c r="K677" s="115">
        <f t="shared" si="186"/>
        <v>123.36719662780649</v>
      </c>
      <c r="L677" s="115">
        <f t="shared" si="187"/>
        <v>242.83528467270486</v>
      </c>
      <c r="M677" s="115">
        <f t="shared" si="188"/>
        <v>282.87574567561558</v>
      </c>
      <c r="N677" s="115">
        <f t="shared" si="189"/>
        <v>310.43067977429575</v>
      </c>
      <c r="O677" s="115">
        <f t="shared" si="190"/>
        <v>258.58002379287439</v>
      </c>
      <c r="P677" s="115">
        <f t="shared" si="191"/>
        <v>289.94201479290098</v>
      </c>
      <c r="Q677" s="115">
        <f t="shared" si="192"/>
        <v>34.342745071309203</v>
      </c>
    </row>
    <row r="678" spans="1:17" x14ac:dyDescent="0.25">
      <c r="A678" s="114">
        <f t="shared" si="193"/>
        <v>44581</v>
      </c>
      <c r="B678">
        <f t="shared" si="178"/>
        <v>5.5</v>
      </c>
      <c r="C678" s="109">
        <f t="shared" si="179"/>
        <v>19.066666666666666</v>
      </c>
      <c r="D678" s="109">
        <f t="shared" si="180"/>
        <v>72.86666666666666</v>
      </c>
      <c r="E678" s="107">
        <f t="shared" si="181"/>
        <v>44581.392361111117</v>
      </c>
      <c r="F678" s="106">
        <f t="shared" si="183"/>
        <v>44581.301885113273</v>
      </c>
      <c r="G678" t="str">
        <f t="shared" si="182"/>
        <v>Thursday</v>
      </c>
      <c r="H678" s="129">
        <v>0.62152777777776502</v>
      </c>
      <c r="I678" s="115">
        <f t="shared" si="184"/>
        <v>49.287548724673783</v>
      </c>
      <c r="J678" s="115">
        <f t="shared" si="185"/>
        <v>276.12528417281845</v>
      </c>
      <c r="K678" s="115">
        <f t="shared" si="186"/>
        <v>123.41093341023974</v>
      </c>
      <c r="L678" s="115">
        <f t="shared" si="187"/>
        <v>242.83779405696259</v>
      </c>
      <c r="M678" s="115">
        <f t="shared" si="188"/>
        <v>282.87207090886216</v>
      </c>
      <c r="N678" s="115">
        <f t="shared" si="189"/>
        <v>310.4314441539276</v>
      </c>
      <c r="O678" s="115">
        <f t="shared" si="190"/>
        <v>258.57874948561329</v>
      </c>
      <c r="P678" s="115">
        <f t="shared" si="191"/>
        <v>289.94242294313437</v>
      </c>
      <c r="Q678" s="115">
        <f t="shared" si="192"/>
        <v>34.342561071356428</v>
      </c>
    </row>
    <row r="679" spans="1:17" x14ac:dyDescent="0.25">
      <c r="A679" s="114">
        <f t="shared" si="193"/>
        <v>44581</v>
      </c>
      <c r="B679">
        <f t="shared" si="178"/>
        <v>5.5</v>
      </c>
      <c r="C679" s="109">
        <f t="shared" si="179"/>
        <v>19.066666666666666</v>
      </c>
      <c r="D679" s="109">
        <f t="shared" si="180"/>
        <v>72.86666666666666</v>
      </c>
      <c r="E679" s="107">
        <f t="shared" si="181"/>
        <v>44581.395833333336</v>
      </c>
      <c r="F679" s="106">
        <f t="shared" si="183"/>
        <v>44581.301885113273</v>
      </c>
      <c r="G679" t="str">
        <f t="shared" si="182"/>
        <v>Thursday</v>
      </c>
      <c r="H679" s="129">
        <v>0.62499999999998701</v>
      </c>
      <c r="I679" s="115">
        <f t="shared" si="184"/>
        <v>50.508817569253395</v>
      </c>
      <c r="J679" s="115">
        <f t="shared" si="185"/>
        <v>276.1288169917317</v>
      </c>
      <c r="K679" s="115">
        <f t="shared" si="186"/>
        <v>123.45467239298347</v>
      </c>
      <c r="L679" s="115">
        <f t="shared" si="187"/>
        <v>242.84030344922562</v>
      </c>
      <c r="M679" s="115">
        <f t="shared" si="188"/>
        <v>282.86839460059196</v>
      </c>
      <c r="N679" s="115">
        <f t="shared" si="189"/>
        <v>310.43220854595779</v>
      </c>
      <c r="O679" s="115">
        <f t="shared" si="190"/>
        <v>258.57747563316224</v>
      </c>
      <c r="P679" s="115">
        <f t="shared" si="191"/>
        <v>289.94283109824556</v>
      </c>
      <c r="Q679" s="115">
        <f t="shared" si="192"/>
        <v>34.342377071387119</v>
      </c>
    </row>
    <row r="680" spans="1:17" x14ac:dyDescent="0.25">
      <c r="A680" s="114">
        <f t="shared" si="193"/>
        <v>44581</v>
      </c>
      <c r="B680">
        <f t="shared" si="178"/>
        <v>5.5</v>
      </c>
      <c r="C680" s="109">
        <f t="shared" si="179"/>
        <v>19.066666666666666</v>
      </c>
      <c r="D680" s="109">
        <f t="shared" si="180"/>
        <v>72.86666666666666</v>
      </c>
      <c r="E680" s="107">
        <f t="shared" si="181"/>
        <v>44581.399305555555</v>
      </c>
      <c r="F680" s="106">
        <f t="shared" si="183"/>
        <v>44581.301885113273</v>
      </c>
      <c r="G680" t="str">
        <f t="shared" si="182"/>
        <v>Thursday</v>
      </c>
      <c r="H680" s="129">
        <v>0.628472222222209</v>
      </c>
      <c r="I680" s="115">
        <f t="shared" si="184"/>
        <v>51.723422188237201</v>
      </c>
      <c r="J680" s="115">
        <f t="shared" si="185"/>
        <v>276.13234980858221</v>
      </c>
      <c r="K680" s="115">
        <f t="shared" si="186"/>
        <v>123.49841356460345</v>
      </c>
      <c r="L680" s="115">
        <f t="shared" si="187"/>
        <v>242.84281284905725</v>
      </c>
      <c r="M680" s="115">
        <f t="shared" si="188"/>
        <v>282.86471675282201</v>
      </c>
      <c r="N680" s="115">
        <f t="shared" si="189"/>
        <v>310.43297295028543</v>
      </c>
      <c r="O680" s="115">
        <f t="shared" si="190"/>
        <v>258.57620223611565</v>
      </c>
      <c r="P680" s="115">
        <f t="shared" si="191"/>
        <v>289.9432392553436</v>
      </c>
      <c r="Q680" s="115">
        <f t="shared" si="192"/>
        <v>34.342193071401169</v>
      </c>
    </row>
    <row r="681" spans="1:17" x14ac:dyDescent="0.25">
      <c r="A681" s="114">
        <f t="shared" si="193"/>
        <v>44581</v>
      </c>
      <c r="B681">
        <f t="shared" si="178"/>
        <v>5.5</v>
      </c>
      <c r="C681" s="109">
        <f t="shared" si="179"/>
        <v>19.066666666666666</v>
      </c>
      <c r="D681" s="109">
        <f t="shared" si="180"/>
        <v>72.86666666666666</v>
      </c>
      <c r="E681" s="107">
        <f t="shared" si="181"/>
        <v>44581.402777777781</v>
      </c>
      <c r="F681" s="106">
        <f t="shared" si="183"/>
        <v>44581.301885113273</v>
      </c>
      <c r="G681" t="str">
        <f t="shared" si="182"/>
        <v>Thursday</v>
      </c>
      <c r="H681" s="129">
        <v>0.63194444444443099</v>
      </c>
      <c r="I681" s="115">
        <f t="shared" si="184"/>
        <v>52.931582753017096</v>
      </c>
      <c r="J681" s="115">
        <f t="shared" si="185"/>
        <v>276.13588262428289</v>
      </c>
      <c r="K681" s="115">
        <f t="shared" si="186"/>
        <v>123.5421569372473</v>
      </c>
      <c r="L681" s="115">
        <f t="shared" si="187"/>
        <v>242.84532225678169</v>
      </c>
      <c r="M681" s="115">
        <f t="shared" si="188"/>
        <v>282.86103736625182</v>
      </c>
      <c r="N681" s="115">
        <f t="shared" si="189"/>
        <v>310.43373736704604</v>
      </c>
      <c r="O681" s="115">
        <f t="shared" si="190"/>
        <v>258.57492929425541</v>
      </c>
      <c r="P681" s="115">
        <f t="shared" si="191"/>
        <v>289.9436474177964</v>
      </c>
      <c r="Q681" s="115">
        <f t="shared" si="192"/>
        <v>34.342009071431811</v>
      </c>
    </row>
    <row r="682" spans="1:17" x14ac:dyDescent="0.25">
      <c r="A682" s="114">
        <f t="shared" si="193"/>
        <v>44581</v>
      </c>
      <c r="B682">
        <f t="shared" si="178"/>
        <v>5.5</v>
      </c>
      <c r="C682" s="109">
        <f t="shared" si="179"/>
        <v>19.066666666666666</v>
      </c>
      <c r="D682" s="109">
        <f t="shared" si="180"/>
        <v>72.86666666666666</v>
      </c>
      <c r="E682" s="107">
        <f t="shared" si="181"/>
        <v>44581.40625</v>
      </c>
      <c r="F682" s="106">
        <f t="shared" si="183"/>
        <v>44581.301885113273</v>
      </c>
      <c r="G682" t="str">
        <f t="shared" si="182"/>
        <v>Thursday</v>
      </c>
      <c r="H682" s="129">
        <v>0.63541666666665297</v>
      </c>
      <c r="I682" s="115">
        <f t="shared" si="184"/>
        <v>54.133520018827014</v>
      </c>
      <c r="J682" s="115">
        <f t="shared" si="185"/>
        <v>276.1394154376764</v>
      </c>
      <c r="K682" s="115">
        <f t="shared" si="186"/>
        <v>123.58590249941088</v>
      </c>
      <c r="L682" s="115">
        <f t="shared" si="187"/>
        <v>242.84783167163525</v>
      </c>
      <c r="M682" s="115">
        <f t="shared" si="188"/>
        <v>282.85735644290259</v>
      </c>
      <c r="N682" s="115">
        <f t="shared" si="189"/>
        <v>310.43450179573489</v>
      </c>
      <c r="O682" s="115">
        <f t="shared" si="190"/>
        <v>258.57365680778321</v>
      </c>
      <c r="P682" s="115">
        <f t="shared" si="191"/>
        <v>289.94405558316157</v>
      </c>
      <c r="Q682" s="115">
        <f t="shared" si="192"/>
        <v>34.341825071495613</v>
      </c>
    </row>
    <row r="683" spans="1:17" x14ac:dyDescent="0.25">
      <c r="A683" s="114">
        <f t="shared" si="193"/>
        <v>44581</v>
      </c>
      <c r="B683">
        <f t="shared" si="178"/>
        <v>5.5</v>
      </c>
      <c r="C683" s="109">
        <f t="shared" si="179"/>
        <v>19.066666666666666</v>
      </c>
      <c r="D683" s="109">
        <f t="shared" si="180"/>
        <v>72.86666666666666</v>
      </c>
      <c r="E683" s="107">
        <f t="shared" si="181"/>
        <v>44581.409722222226</v>
      </c>
      <c r="F683" s="106">
        <f t="shared" si="183"/>
        <v>44581.301885113273</v>
      </c>
      <c r="G683" t="str">
        <f t="shared" si="182"/>
        <v>Thursday</v>
      </c>
      <c r="H683" s="129">
        <v>0.63888888888887496</v>
      </c>
      <c r="I683" s="115">
        <f t="shared" si="184"/>
        <v>55.329456049221122</v>
      </c>
      <c r="J683" s="115">
        <f t="shared" si="185"/>
        <v>276.1429482495592</v>
      </c>
      <c r="K683" s="115">
        <f t="shared" si="186"/>
        <v>123.62965025725762</v>
      </c>
      <c r="L683" s="115">
        <f t="shared" si="187"/>
        <v>242.8503410943996</v>
      </c>
      <c r="M683" s="115">
        <f t="shared" si="188"/>
        <v>282.85367398377247</v>
      </c>
      <c r="N683" s="115">
        <f t="shared" si="189"/>
        <v>310.43526623703281</v>
      </c>
      <c r="O683" s="115">
        <f t="shared" si="190"/>
        <v>258.57238477674906</v>
      </c>
      <c r="P683" s="115">
        <f t="shared" si="191"/>
        <v>289.94446375154575</v>
      </c>
      <c r="Q683" s="115">
        <f t="shared" si="192"/>
        <v>34.341641071526297</v>
      </c>
    </row>
    <row r="684" spans="1:17" x14ac:dyDescent="0.25">
      <c r="A684" s="114">
        <f t="shared" si="193"/>
        <v>44581</v>
      </c>
      <c r="B684">
        <f t="shared" si="178"/>
        <v>5.5</v>
      </c>
      <c r="C684" s="109">
        <f t="shared" si="179"/>
        <v>19.066666666666666</v>
      </c>
      <c r="D684" s="109">
        <f t="shared" si="180"/>
        <v>72.86666666666666</v>
      </c>
      <c r="E684" s="107">
        <f t="shared" si="181"/>
        <v>44581.413194444445</v>
      </c>
      <c r="F684" s="106">
        <f t="shared" si="183"/>
        <v>44581.301885113273</v>
      </c>
      <c r="G684" t="str">
        <f t="shared" si="182"/>
        <v>Thursday</v>
      </c>
      <c r="H684" s="129">
        <v>0.64236111111109695</v>
      </c>
      <c r="I684" s="115">
        <f t="shared" si="184"/>
        <v>56.51961334282295</v>
      </c>
      <c r="J684" s="115">
        <f t="shared" si="185"/>
        <v>276.14648106021554</v>
      </c>
      <c r="K684" s="115">
        <f t="shared" si="186"/>
        <v>123.6734002170495</v>
      </c>
      <c r="L684" s="115">
        <f t="shared" si="187"/>
        <v>242.85285052510534</v>
      </c>
      <c r="M684" s="115">
        <f t="shared" si="188"/>
        <v>282.84998998939056</v>
      </c>
      <c r="N684" s="115">
        <f t="shared" si="189"/>
        <v>310.43603069046094</v>
      </c>
      <c r="O684" s="115">
        <f t="shared" si="190"/>
        <v>258.57111320103252</v>
      </c>
      <c r="P684" s="115">
        <f t="shared" si="191"/>
        <v>289.94487192479983</v>
      </c>
      <c r="Q684" s="115">
        <f t="shared" si="192"/>
        <v>34.341457071556981</v>
      </c>
    </row>
    <row r="685" spans="1:17" x14ac:dyDescent="0.25">
      <c r="A685" s="114">
        <f t="shared" si="193"/>
        <v>44581</v>
      </c>
      <c r="B685">
        <f t="shared" si="178"/>
        <v>5.5</v>
      </c>
      <c r="C685" s="109">
        <f t="shared" si="179"/>
        <v>19.066666666666666</v>
      </c>
      <c r="D685" s="109">
        <f t="shared" si="180"/>
        <v>72.86666666666666</v>
      </c>
      <c r="E685" s="107">
        <f t="shared" si="181"/>
        <v>44581.416666666672</v>
      </c>
      <c r="F685" s="106">
        <f t="shared" si="183"/>
        <v>44581.301885113273</v>
      </c>
      <c r="G685" t="str">
        <f t="shared" si="182"/>
        <v>Thursday</v>
      </c>
      <c r="H685" s="129">
        <v>0.64583333333331905</v>
      </c>
      <c r="I685" s="115">
        <f t="shared" si="184"/>
        <v>57.704214005891068</v>
      </c>
      <c r="J685" s="115">
        <f t="shared" si="185"/>
        <v>276.15001386887212</v>
      </c>
      <c r="K685" s="115">
        <f t="shared" si="186"/>
        <v>123.71715236720873</v>
      </c>
      <c r="L685" s="115">
        <f t="shared" si="187"/>
        <v>242.85535996324523</v>
      </c>
      <c r="M685" s="115">
        <f t="shared" si="188"/>
        <v>282.84630446242289</v>
      </c>
      <c r="N685" s="115">
        <f t="shared" si="189"/>
        <v>310.4367951563807</v>
      </c>
      <c r="O685" s="115">
        <f t="shared" si="190"/>
        <v>258.56984208095906</v>
      </c>
      <c r="P685" s="115">
        <f t="shared" si="191"/>
        <v>289.94528010079335</v>
      </c>
      <c r="Q685" s="115">
        <f t="shared" si="192"/>
        <v>34.341273071571052</v>
      </c>
    </row>
    <row r="686" spans="1:17" x14ac:dyDescent="0.25">
      <c r="A686" s="114">
        <f>A685+1</f>
        <v>44582</v>
      </c>
      <c r="B686">
        <f t="shared" ref="B686:B749" si="194">B685</f>
        <v>5.5</v>
      </c>
      <c r="C686" s="109">
        <f t="shared" ref="C686:C749" si="195">C685</f>
        <v>19.066666666666666</v>
      </c>
      <c r="D686" s="109">
        <f t="shared" ref="D686:D749" si="196">D685</f>
        <v>72.86666666666666</v>
      </c>
      <c r="E686" s="107">
        <f t="shared" ref="E686:E749" si="197">A686+H686-B686/24</f>
        <v>44582.15625</v>
      </c>
      <c r="F686" s="106">
        <f t="shared" si="183"/>
        <v>44582.301850345604</v>
      </c>
      <c r="G686" t="str">
        <f t="shared" ref="G686:G749" si="198">CHOOSE(WEEKDAY(E686),"Sunday","Monday","Tuesday","Wednesday","Thursday","Friday","Saturday")</f>
        <v>Friday</v>
      </c>
      <c r="H686" s="129">
        <v>0.38541666666666669</v>
      </c>
      <c r="I686" s="115">
        <f t="shared" si="184"/>
        <v>310.09520602730294</v>
      </c>
      <c r="J686" s="115">
        <f t="shared" si="185"/>
        <v>276.90246511462993</v>
      </c>
      <c r="K686" s="115">
        <f t="shared" si="186"/>
        <v>133.08696330756669</v>
      </c>
      <c r="L686" s="115">
        <f t="shared" si="187"/>
        <v>243.39004588493231</v>
      </c>
      <c r="M686" s="115">
        <f t="shared" si="188"/>
        <v>282.02855660844608</v>
      </c>
      <c r="N686" s="115">
        <f t="shared" si="189"/>
        <v>310.59990541066662</v>
      </c>
      <c r="O686" s="115">
        <f t="shared" si="190"/>
        <v>258.30958089584328</v>
      </c>
      <c r="P686" s="115">
        <f t="shared" si="191"/>
        <v>290.03230363258234</v>
      </c>
      <c r="Q686" s="115">
        <f t="shared" si="192"/>
        <v>34.302081079078768</v>
      </c>
    </row>
    <row r="687" spans="1:17" x14ac:dyDescent="0.25">
      <c r="A687" s="114">
        <f>A686</f>
        <v>44582</v>
      </c>
      <c r="B687">
        <f t="shared" si="194"/>
        <v>5.5</v>
      </c>
      <c r="C687" s="109">
        <f t="shared" si="195"/>
        <v>19.066666666666666</v>
      </c>
      <c r="D687" s="109">
        <f t="shared" si="196"/>
        <v>72.86666666666666</v>
      </c>
      <c r="E687" s="107">
        <f t="shared" si="197"/>
        <v>44582.159722222226</v>
      </c>
      <c r="F687" s="106">
        <f t="shared" si="183"/>
        <v>44582.301850345604</v>
      </c>
      <c r="G687" t="str">
        <f t="shared" si="198"/>
        <v>Friday</v>
      </c>
      <c r="H687" s="129">
        <v>0.3888888888888889</v>
      </c>
      <c r="I687" s="115">
        <f t="shared" si="184"/>
        <v>311.63538548176803</v>
      </c>
      <c r="J687" s="115">
        <f t="shared" si="185"/>
        <v>276.90599757683111</v>
      </c>
      <c r="K687" s="115">
        <f t="shared" si="186"/>
        <v>133.13119338531888</v>
      </c>
      <c r="L687" s="115">
        <f t="shared" si="187"/>
        <v>243.3925569721188</v>
      </c>
      <c r="M687" s="115">
        <f t="shared" si="188"/>
        <v>282.0245744713817</v>
      </c>
      <c r="N687" s="115">
        <f t="shared" si="189"/>
        <v>310.60067248913953</v>
      </c>
      <c r="O687" s="115">
        <f t="shared" si="190"/>
        <v>258.30840872366957</v>
      </c>
      <c r="P687" s="115">
        <f t="shared" si="191"/>
        <v>290.03271257303959</v>
      </c>
      <c r="Q687" s="115">
        <f t="shared" si="192"/>
        <v>34.301897079109423</v>
      </c>
    </row>
    <row r="688" spans="1:17" x14ac:dyDescent="0.25">
      <c r="A688" s="114">
        <f t="shared" ref="A688:A751" si="199">A687</f>
        <v>44582</v>
      </c>
      <c r="B688">
        <f t="shared" si="194"/>
        <v>5.5</v>
      </c>
      <c r="C688" s="109">
        <f t="shared" si="195"/>
        <v>19.066666666666666</v>
      </c>
      <c r="D688" s="109">
        <f t="shared" si="196"/>
        <v>72.86666666666666</v>
      </c>
      <c r="E688" s="107">
        <f t="shared" si="197"/>
        <v>44582.163194444445</v>
      </c>
      <c r="F688" s="106">
        <f t="shared" si="183"/>
        <v>44582.301850345604</v>
      </c>
      <c r="G688" t="str">
        <f t="shared" si="198"/>
        <v>Friday</v>
      </c>
      <c r="H688" s="129">
        <v>0.39236111111111099</v>
      </c>
      <c r="I688" s="115">
        <f t="shared" si="184"/>
        <v>313.18317612803031</v>
      </c>
      <c r="J688" s="115">
        <f t="shared" si="185"/>
        <v>276.90953003802872</v>
      </c>
      <c r="K688" s="115">
        <f t="shared" si="186"/>
        <v>133.17542574384976</v>
      </c>
      <c r="L688" s="115">
        <f t="shared" si="187"/>
        <v>243.39506806752064</v>
      </c>
      <c r="M688" s="115">
        <f t="shared" si="188"/>
        <v>282.0205911008951</v>
      </c>
      <c r="N688" s="115">
        <f t="shared" si="189"/>
        <v>310.60143957995342</v>
      </c>
      <c r="O688" s="115">
        <f t="shared" si="190"/>
        <v>258.30723702006338</v>
      </c>
      <c r="P688" s="115">
        <f t="shared" si="191"/>
        <v>290.03312151747315</v>
      </c>
      <c r="Q688" s="115">
        <f t="shared" si="192"/>
        <v>34.301713079156663</v>
      </c>
    </row>
    <row r="689" spans="1:17" x14ac:dyDescent="0.25">
      <c r="A689" s="114">
        <f t="shared" si="199"/>
        <v>44582</v>
      </c>
      <c r="B689">
        <f t="shared" si="194"/>
        <v>5.5</v>
      </c>
      <c r="C689" s="109">
        <f t="shared" si="195"/>
        <v>19.066666666666666</v>
      </c>
      <c r="D689" s="109">
        <f t="shared" si="196"/>
        <v>72.86666666666666</v>
      </c>
      <c r="E689" s="107">
        <f t="shared" si="197"/>
        <v>44582.166666666672</v>
      </c>
      <c r="F689" s="106">
        <f t="shared" si="183"/>
        <v>44582.301850345604</v>
      </c>
      <c r="G689" t="str">
        <f t="shared" si="198"/>
        <v>Friday</v>
      </c>
      <c r="H689" s="129">
        <v>0.39583333333333298</v>
      </c>
      <c r="I689" s="115">
        <f t="shared" si="184"/>
        <v>314.73821823558779</v>
      </c>
      <c r="J689" s="115">
        <f t="shared" si="185"/>
        <v>276.91306249704729</v>
      </c>
      <c r="K689" s="115">
        <f t="shared" si="186"/>
        <v>133.219660371663</v>
      </c>
      <c r="L689" s="115">
        <f t="shared" si="187"/>
        <v>243.39757917014038</v>
      </c>
      <c r="M689" s="115">
        <f t="shared" si="188"/>
        <v>282.01660649956892</v>
      </c>
      <c r="N689" s="115">
        <f t="shared" si="189"/>
        <v>310.60220668250929</v>
      </c>
      <c r="O689" s="115">
        <f t="shared" si="190"/>
        <v>258.30606578556501</v>
      </c>
      <c r="P689" s="115">
        <f t="shared" si="191"/>
        <v>290.03353046455373</v>
      </c>
      <c r="Q689" s="115">
        <f t="shared" si="192"/>
        <v>34.301529079203895</v>
      </c>
    </row>
    <row r="690" spans="1:17" x14ac:dyDescent="0.25">
      <c r="A690" s="114">
        <f t="shared" si="199"/>
        <v>44582</v>
      </c>
      <c r="B690">
        <f t="shared" si="194"/>
        <v>5.5</v>
      </c>
      <c r="C690" s="109">
        <f t="shared" si="195"/>
        <v>19.066666666666666</v>
      </c>
      <c r="D690" s="109">
        <f t="shared" si="196"/>
        <v>72.86666666666666</v>
      </c>
      <c r="E690" s="107">
        <f t="shared" si="197"/>
        <v>44582.170138888891</v>
      </c>
      <c r="F690" s="106">
        <f t="shared" si="183"/>
        <v>44582.301850345604</v>
      </c>
      <c r="G690" t="str">
        <f t="shared" si="198"/>
        <v>Friday</v>
      </c>
      <c r="H690" s="129">
        <v>0.39930555555555503</v>
      </c>
      <c r="I690" s="115">
        <f t="shared" si="184"/>
        <v>316.3001277012163</v>
      </c>
      <c r="J690" s="115">
        <f t="shared" si="185"/>
        <v>276.91659495480303</v>
      </c>
      <c r="K690" s="115">
        <f t="shared" si="186"/>
        <v>133.26389728110169</v>
      </c>
      <c r="L690" s="115">
        <f t="shared" si="187"/>
        <v>243.4000902806132</v>
      </c>
      <c r="M690" s="115">
        <f t="shared" si="188"/>
        <v>282.01262066775092</v>
      </c>
      <c r="N690" s="115">
        <f t="shared" si="189"/>
        <v>310.60297379718708</v>
      </c>
      <c r="O690" s="115">
        <f t="shared" si="190"/>
        <v>258.30489501980378</v>
      </c>
      <c r="P690" s="115">
        <f t="shared" si="191"/>
        <v>290.03393941529697</v>
      </c>
      <c r="Q690" s="115">
        <f t="shared" si="192"/>
        <v>34.301345079217967</v>
      </c>
    </row>
    <row r="691" spans="1:17" x14ac:dyDescent="0.25">
      <c r="A691" s="114">
        <f t="shared" si="199"/>
        <v>44582</v>
      </c>
      <c r="B691">
        <f t="shared" si="194"/>
        <v>5.5</v>
      </c>
      <c r="C691" s="109">
        <f t="shared" si="195"/>
        <v>19.066666666666666</v>
      </c>
      <c r="D691" s="109">
        <f t="shared" si="196"/>
        <v>72.86666666666666</v>
      </c>
      <c r="E691" s="107">
        <f t="shared" si="197"/>
        <v>44582.173611111117</v>
      </c>
      <c r="F691" s="106">
        <f t="shared" si="183"/>
        <v>44582.301850345604</v>
      </c>
      <c r="G691" t="str">
        <f t="shared" si="198"/>
        <v>Friday</v>
      </c>
      <c r="H691" s="129">
        <v>0.40277777777777801</v>
      </c>
      <c r="I691" s="115">
        <f t="shared" si="184"/>
        <v>317.86849515436114</v>
      </c>
      <c r="J691" s="115">
        <f t="shared" si="185"/>
        <v>276.92012741060438</v>
      </c>
      <c r="K691" s="115">
        <f t="shared" si="186"/>
        <v>133.30813646066289</v>
      </c>
      <c r="L691" s="115">
        <f t="shared" si="187"/>
        <v>243.40260139867669</v>
      </c>
      <c r="M691" s="115">
        <f t="shared" si="188"/>
        <v>282.00863360813463</v>
      </c>
      <c r="N691" s="115">
        <f t="shared" si="189"/>
        <v>310.60374092408301</v>
      </c>
      <c r="O691" s="115">
        <f t="shared" si="190"/>
        <v>258.30372472331106</v>
      </c>
      <c r="P691" s="115">
        <f t="shared" si="191"/>
        <v>290.03434836924879</v>
      </c>
      <c r="Q691" s="115">
        <f t="shared" si="192"/>
        <v>34.301161079265242</v>
      </c>
    </row>
    <row r="692" spans="1:17" x14ac:dyDescent="0.25">
      <c r="A692" s="114">
        <f t="shared" si="199"/>
        <v>44582</v>
      </c>
      <c r="B692">
        <f t="shared" si="194"/>
        <v>5.5</v>
      </c>
      <c r="C692" s="109">
        <f t="shared" si="195"/>
        <v>19.066666666666666</v>
      </c>
      <c r="D692" s="109">
        <f t="shared" si="196"/>
        <v>72.86666666666666</v>
      </c>
      <c r="E692" s="107">
        <f t="shared" si="197"/>
        <v>44582.177083333336</v>
      </c>
      <c r="F692" s="106">
        <f t="shared" si="183"/>
        <v>44582.301850345604</v>
      </c>
      <c r="G692" t="str">
        <f t="shared" si="198"/>
        <v>Friday</v>
      </c>
      <c r="H692" s="129">
        <v>0.40625</v>
      </c>
      <c r="I692" s="115">
        <f t="shared" si="184"/>
        <v>319.44288857881128</v>
      </c>
      <c r="J692" s="115">
        <f t="shared" si="185"/>
        <v>276.92365986529643</v>
      </c>
      <c r="K692" s="115">
        <f t="shared" si="186"/>
        <v>133.3523779227543</v>
      </c>
      <c r="L692" s="115">
        <f t="shared" si="187"/>
        <v>243.40511252476699</v>
      </c>
      <c r="M692" s="115">
        <f t="shared" si="188"/>
        <v>282.00464532082424</v>
      </c>
      <c r="N692" s="115">
        <f t="shared" si="189"/>
        <v>310.60450806322768</v>
      </c>
      <c r="O692" s="115">
        <f t="shared" si="190"/>
        <v>258.30255489559158</v>
      </c>
      <c r="P692" s="115">
        <f t="shared" si="191"/>
        <v>290.03475732739668</v>
      </c>
      <c r="Q692" s="115">
        <f t="shared" si="192"/>
        <v>34.300977079295883</v>
      </c>
    </row>
    <row r="693" spans="1:17" x14ac:dyDescent="0.25">
      <c r="A693" s="114">
        <f t="shared" si="199"/>
        <v>44582</v>
      </c>
      <c r="B693">
        <f t="shared" si="194"/>
        <v>5.5</v>
      </c>
      <c r="C693" s="109">
        <f t="shared" si="195"/>
        <v>19.066666666666666</v>
      </c>
      <c r="D693" s="109">
        <f t="shared" si="196"/>
        <v>72.86666666666666</v>
      </c>
      <c r="E693" s="107">
        <f t="shared" si="197"/>
        <v>44582.180555555555</v>
      </c>
      <c r="F693" s="106">
        <f t="shared" si="183"/>
        <v>44582.301850345604</v>
      </c>
      <c r="G693" t="str">
        <f t="shared" si="198"/>
        <v>Friday</v>
      </c>
      <c r="H693" s="129">
        <v>0.40972222222222199</v>
      </c>
      <c r="I693" s="115">
        <f t="shared" si="184"/>
        <v>321.02285275428761</v>
      </c>
      <c r="J693" s="115">
        <f t="shared" si="185"/>
        <v>276.92719231788448</v>
      </c>
      <c r="K693" s="115">
        <f t="shared" si="186"/>
        <v>133.39662165586066</v>
      </c>
      <c r="L693" s="115">
        <f t="shared" si="187"/>
        <v>243.40762365822863</v>
      </c>
      <c r="M693" s="115">
        <f t="shared" si="188"/>
        <v>282.00065580863139</v>
      </c>
      <c r="N693" s="115">
        <f t="shared" si="189"/>
        <v>310.60527521450666</v>
      </c>
      <c r="O693" s="115">
        <f t="shared" si="190"/>
        <v>258.30138553726687</v>
      </c>
      <c r="P693" s="115">
        <f t="shared" si="191"/>
        <v>290.03516628888451</v>
      </c>
      <c r="Q693" s="115">
        <f t="shared" si="192"/>
        <v>34.300793079326553</v>
      </c>
    </row>
    <row r="694" spans="1:17" x14ac:dyDescent="0.25">
      <c r="A694" s="114">
        <f t="shared" si="199"/>
        <v>44582</v>
      </c>
      <c r="B694">
        <f t="shared" si="194"/>
        <v>5.5</v>
      </c>
      <c r="C694" s="109">
        <f t="shared" si="195"/>
        <v>19.066666666666666</v>
      </c>
      <c r="D694" s="109">
        <f t="shared" si="196"/>
        <v>72.86666666666666</v>
      </c>
      <c r="E694" s="107">
        <f t="shared" si="197"/>
        <v>44582.184027777781</v>
      </c>
      <c r="F694" s="106">
        <f t="shared" si="183"/>
        <v>44582.301850345604</v>
      </c>
      <c r="G694" t="str">
        <f t="shared" si="198"/>
        <v>Friday</v>
      </c>
      <c r="H694" s="129">
        <v>0.41319444444444398</v>
      </c>
      <c r="I694" s="115">
        <f t="shared" si="184"/>
        <v>322.60791225067862</v>
      </c>
      <c r="J694" s="115">
        <f t="shared" si="185"/>
        <v>276.93072476944258</v>
      </c>
      <c r="K694" s="115">
        <f t="shared" si="186"/>
        <v>133.44086767235282</v>
      </c>
      <c r="L694" s="115">
        <f t="shared" si="187"/>
        <v>243.41013479988931</v>
      </c>
      <c r="M694" s="115">
        <f t="shared" si="188"/>
        <v>281.99666507185094</v>
      </c>
      <c r="N694" s="115">
        <f t="shared" si="189"/>
        <v>310.60604237790739</v>
      </c>
      <c r="O694" s="115">
        <f t="shared" si="190"/>
        <v>258.30021664782549</v>
      </c>
      <c r="P694" s="115">
        <f t="shared" si="191"/>
        <v>290.03557525316694</v>
      </c>
      <c r="Q694" s="115">
        <f t="shared" si="192"/>
        <v>34.300609079373736</v>
      </c>
    </row>
    <row r="695" spans="1:17" x14ac:dyDescent="0.25">
      <c r="A695" s="114">
        <f t="shared" si="199"/>
        <v>44582</v>
      </c>
      <c r="B695">
        <f t="shared" si="194"/>
        <v>5.5</v>
      </c>
      <c r="C695" s="109">
        <f t="shared" si="195"/>
        <v>19.066666666666666</v>
      </c>
      <c r="D695" s="109">
        <f t="shared" si="196"/>
        <v>72.86666666666666</v>
      </c>
      <c r="E695" s="107">
        <f t="shared" si="197"/>
        <v>44582.1875</v>
      </c>
      <c r="F695" s="106">
        <f t="shared" si="183"/>
        <v>44582.301850345604</v>
      </c>
      <c r="G695" t="str">
        <f t="shared" si="198"/>
        <v>Friday</v>
      </c>
      <c r="H695" s="129">
        <v>0.41666666666666702</v>
      </c>
      <c r="I695" s="115">
        <f t="shared" si="184"/>
        <v>324.19757120006142</v>
      </c>
      <c r="J695" s="115">
        <f t="shared" si="185"/>
        <v>276.93425721888804</v>
      </c>
      <c r="K695" s="115">
        <f t="shared" si="186"/>
        <v>133.48511596076474</v>
      </c>
      <c r="L695" s="115">
        <f t="shared" si="187"/>
        <v>243.41264594885362</v>
      </c>
      <c r="M695" s="115">
        <f t="shared" si="188"/>
        <v>281.99267311316925</v>
      </c>
      <c r="N695" s="115">
        <f t="shared" si="189"/>
        <v>310.60680955314484</v>
      </c>
      <c r="O695" s="115">
        <f t="shared" si="190"/>
        <v>258.29904822795476</v>
      </c>
      <c r="P695" s="115">
        <f t="shared" si="191"/>
        <v>290.03598422171495</v>
      </c>
      <c r="Q695" s="115">
        <f t="shared" si="192"/>
        <v>34.30042507942099</v>
      </c>
    </row>
    <row r="696" spans="1:17" x14ac:dyDescent="0.25">
      <c r="A696" s="114">
        <f t="shared" si="199"/>
        <v>44582</v>
      </c>
      <c r="B696">
        <f t="shared" si="194"/>
        <v>5.5</v>
      </c>
      <c r="C696" s="109">
        <f t="shared" si="195"/>
        <v>19.066666666666666</v>
      </c>
      <c r="D696" s="109">
        <f t="shared" si="196"/>
        <v>72.86666666666666</v>
      </c>
      <c r="E696" s="107">
        <f t="shared" si="197"/>
        <v>44582.190972222226</v>
      </c>
      <c r="F696" s="106">
        <f t="shared" si="183"/>
        <v>44582.301850345604</v>
      </c>
      <c r="G696" t="str">
        <f t="shared" si="198"/>
        <v>Friday</v>
      </c>
      <c r="H696" s="129">
        <v>0.42013888888888901</v>
      </c>
      <c r="I696" s="115">
        <f t="shared" si="184"/>
        <v>325.79131642232352</v>
      </c>
      <c r="J696" s="115">
        <f t="shared" si="185"/>
        <v>276.9377896665867</v>
      </c>
      <c r="K696" s="115">
        <f t="shared" si="186"/>
        <v>133.52936652748076</v>
      </c>
      <c r="L696" s="115">
        <f t="shared" si="187"/>
        <v>243.41515710520306</v>
      </c>
      <c r="M696" s="115">
        <f t="shared" si="188"/>
        <v>281.98867993341668</v>
      </c>
      <c r="N696" s="115">
        <f t="shared" si="189"/>
        <v>310.60757674033965</v>
      </c>
      <c r="O696" s="115">
        <f t="shared" si="190"/>
        <v>258.29788027717382</v>
      </c>
      <c r="P696" s="115">
        <f t="shared" si="191"/>
        <v>290.03639319328204</v>
      </c>
      <c r="Q696" s="115">
        <f t="shared" si="192"/>
        <v>34.300241079468243</v>
      </c>
    </row>
    <row r="697" spans="1:17" x14ac:dyDescent="0.25">
      <c r="A697" s="114">
        <f t="shared" si="199"/>
        <v>44582</v>
      </c>
      <c r="B697">
        <f t="shared" si="194"/>
        <v>5.5</v>
      </c>
      <c r="C697" s="109">
        <f t="shared" si="195"/>
        <v>19.066666666666666</v>
      </c>
      <c r="D697" s="109">
        <f t="shared" si="196"/>
        <v>72.86666666666666</v>
      </c>
      <c r="E697" s="107">
        <f t="shared" si="197"/>
        <v>44582.194444444445</v>
      </c>
      <c r="F697" s="106">
        <f t="shared" si="183"/>
        <v>44582.301850345604</v>
      </c>
      <c r="G697" t="str">
        <f t="shared" si="198"/>
        <v>Friday</v>
      </c>
      <c r="H697" s="129">
        <v>0.42361111111111099</v>
      </c>
      <c r="I697" s="115">
        <f t="shared" si="184"/>
        <v>327.38861857282819</v>
      </c>
      <c r="J697" s="115">
        <f t="shared" si="185"/>
        <v>276.94132211326149</v>
      </c>
      <c r="K697" s="115">
        <f t="shared" si="186"/>
        <v>133.57361937882888</v>
      </c>
      <c r="L697" s="115">
        <f t="shared" si="187"/>
        <v>243.41766826990937</v>
      </c>
      <c r="M697" s="115">
        <f t="shared" si="188"/>
        <v>281.98468553360175</v>
      </c>
      <c r="N697" s="115">
        <f t="shared" si="189"/>
        <v>310.608343939983</v>
      </c>
      <c r="O697" s="115">
        <f t="shared" si="190"/>
        <v>258.29671279573864</v>
      </c>
      <c r="P697" s="115">
        <f t="shared" si="191"/>
        <v>290.03680216848454</v>
      </c>
      <c r="Q697" s="115">
        <f t="shared" si="192"/>
        <v>34.300057079449161</v>
      </c>
    </row>
    <row r="698" spans="1:17" x14ac:dyDescent="0.25">
      <c r="A698" s="114">
        <f t="shared" si="199"/>
        <v>44582</v>
      </c>
      <c r="B698">
        <f t="shared" si="194"/>
        <v>5.5</v>
      </c>
      <c r="C698" s="109">
        <f t="shared" si="195"/>
        <v>19.066666666666666</v>
      </c>
      <c r="D698" s="109">
        <f t="shared" si="196"/>
        <v>72.86666666666666</v>
      </c>
      <c r="E698" s="107">
        <f t="shared" si="197"/>
        <v>44582.197916666672</v>
      </c>
      <c r="F698" s="106">
        <f t="shared" si="183"/>
        <v>44582.301850345604</v>
      </c>
      <c r="G698" t="str">
        <f t="shared" si="198"/>
        <v>Friday</v>
      </c>
      <c r="H698" s="129">
        <v>0.42708333333333298</v>
      </c>
      <c r="I698" s="115">
        <f t="shared" si="184"/>
        <v>328.98893343057648</v>
      </c>
      <c r="J698" s="115">
        <f t="shared" si="185"/>
        <v>276.94485455787998</v>
      </c>
      <c r="K698" s="115">
        <f t="shared" si="186"/>
        <v>133.61787450347904</v>
      </c>
      <c r="L698" s="115">
        <f t="shared" si="187"/>
        <v>243.42017944194021</v>
      </c>
      <c r="M698" s="115">
        <f t="shared" si="188"/>
        <v>281.98068991610512</v>
      </c>
      <c r="N698" s="115">
        <f t="shared" si="189"/>
        <v>310.60911115161929</v>
      </c>
      <c r="O698" s="115">
        <f t="shared" si="190"/>
        <v>258.2955457837229</v>
      </c>
      <c r="P698" s="115">
        <f t="shared" si="191"/>
        <v>290.03721114771713</v>
      </c>
      <c r="Q698" s="115">
        <f t="shared" si="192"/>
        <v>34.299873079512935</v>
      </c>
    </row>
    <row r="699" spans="1:17" x14ac:dyDescent="0.25">
      <c r="A699" s="114">
        <f t="shared" si="199"/>
        <v>44582</v>
      </c>
      <c r="B699">
        <f t="shared" si="194"/>
        <v>5.5</v>
      </c>
      <c r="C699" s="109">
        <f t="shared" si="195"/>
        <v>19.066666666666666</v>
      </c>
      <c r="D699" s="109">
        <f t="shared" si="196"/>
        <v>72.86666666666666</v>
      </c>
      <c r="E699" s="107">
        <f t="shared" si="197"/>
        <v>44582.201388888891</v>
      </c>
      <c r="F699" s="106">
        <f t="shared" si="183"/>
        <v>44582.301850345604</v>
      </c>
      <c r="G699" t="str">
        <f t="shared" si="198"/>
        <v>Friday</v>
      </c>
      <c r="H699" s="129">
        <v>0.43055555555555503</v>
      </c>
      <c r="I699" s="115">
        <f t="shared" si="184"/>
        <v>330.5917054490003</v>
      </c>
      <c r="J699" s="115">
        <f t="shared" si="185"/>
        <v>276.94838700135614</v>
      </c>
      <c r="K699" s="115">
        <f t="shared" si="186"/>
        <v>133.66213191371114</v>
      </c>
      <c r="L699" s="115">
        <f t="shared" si="187"/>
        <v>243.42269062203621</v>
      </c>
      <c r="M699" s="115">
        <f t="shared" si="188"/>
        <v>281.97669308154985</v>
      </c>
      <c r="N699" s="115">
        <f t="shared" si="189"/>
        <v>310.60987837539614</v>
      </c>
      <c r="O699" s="115">
        <f t="shared" si="190"/>
        <v>258.29437924114006</v>
      </c>
      <c r="P699" s="115">
        <f t="shared" si="191"/>
        <v>290.03762012950682</v>
      </c>
      <c r="Q699" s="115">
        <f t="shared" si="192"/>
        <v>34.299689079543626</v>
      </c>
    </row>
    <row r="700" spans="1:17" x14ac:dyDescent="0.25">
      <c r="A700" s="114">
        <f t="shared" si="199"/>
        <v>44582</v>
      </c>
      <c r="B700">
        <f t="shared" si="194"/>
        <v>5.5</v>
      </c>
      <c r="C700" s="109">
        <f t="shared" si="195"/>
        <v>19.066666666666666</v>
      </c>
      <c r="D700" s="109">
        <f t="shared" si="196"/>
        <v>72.86666666666666</v>
      </c>
      <c r="E700" s="107">
        <f t="shared" si="197"/>
        <v>44582.204861111117</v>
      </c>
      <c r="F700" s="106">
        <f t="shared" si="183"/>
        <v>44582.301850345604</v>
      </c>
      <c r="G700" t="str">
        <f t="shared" si="198"/>
        <v>Friday</v>
      </c>
      <c r="H700" s="129">
        <v>0.43402777777777801</v>
      </c>
      <c r="I700" s="115">
        <f t="shared" si="184"/>
        <v>332.19636820836394</v>
      </c>
      <c r="J700" s="115">
        <f t="shared" si="185"/>
        <v>276.95191944283147</v>
      </c>
      <c r="K700" s="115">
        <f t="shared" si="186"/>
        <v>133.70639159803187</v>
      </c>
      <c r="L700" s="115">
        <f t="shared" si="187"/>
        <v>243.42520180960119</v>
      </c>
      <c r="M700" s="115">
        <f t="shared" si="188"/>
        <v>281.97269503231405</v>
      </c>
      <c r="N700" s="115">
        <f t="shared" si="189"/>
        <v>310.61064561123999</v>
      </c>
      <c r="O700" s="115">
        <f t="shared" si="190"/>
        <v>258.29321316806795</v>
      </c>
      <c r="P700" s="115">
        <f t="shared" si="191"/>
        <v>290.03802911549593</v>
      </c>
      <c r="Q700" s="115">
        <f t="shared" si="192"/>
        <v>34.299505079574338</v>
      </c>
    </row>
    <row r="701" spans="1:17" x14ac:dyDescent="0.25">
      <c r="A701" s="114">
        <f t="shared" si="199"/>
        <v>44582</v>
      </c>
      <c r="B701">
        <f t="shared" si="194"/>
        <v>5.5</v>
      </c>
      <c r="C701" s="109">
        <f t="shared" si="195"/>
        <v>19.066666666666666</v>
      </c>
      <c r="D701" s="109">
        <f t="shared" si="196"/>
        <v>72.86666666666666</v>
      </c>
      <c r="E701" s="107">
        <f t="shared" si="197"/>
        <v>44582.208333333336</v>
      </c>
      <c r="F701" s="106">
        <f t="shared" si="183"/>
        <v>44582.301850345604</v>
      </c>
      <c r="G701" t="str">
        <f t="shared" si="198"/>
        <v>Friday</v>
      </c>
      <c r="H701" s="129">
        <v>0.4375</v>
      </c>
      <c r="I701" s="115">
        <f t="shared" si="184"/>
        <v>333.80234838977634</v>
      </c>
      <c r="J701" s="115">
        <f t="shared" si="185"/>
        <v>276.9554518831211</v>
      </c>
      <c r="K701" s="115">
        <f t="shared" si="186"/>
        <v>133.75065356883772</v>
      </c>
      <c r="L701" s="115">
        <f t="shared" si="187"/>
        <v>243.42771300514013</v>
      </c>
      <c r="M701" s="115">
        <f t="shared" si="188"/>
        <v>281.96869576890418</v>
      </c>
      <c r="N701" s="115">
        <f t="shared" si="189"/>
        <v>310.61141285911339</v>
      </c>
      <c r="O701" s="115">
        <f t="shared" si="190"/>
        <v>258.29204756449235</v>
      </c>
      <c r="P701" s="115">
        <f t="shared" si="191"/>
        <v>290.03843810451798</v>
      </c>
      <c r="Q701" s="115">
        <f t="shared" si="192"/>
        <v>34.299321079621535</v>
      </c>
    </row>
    <row r="702" spans="1:17" x14ac:dyDescent="0.25">
      <c r="A702" s="114">
        <f t="shared" si="199"/>
        <v>44582</v>
      </c>
      <c r="B702">
        <f t="shared" si="194"/>
        <v>5.5</v>
      </c>
      <c r="C702" s="109">
        <f t="shared" si="195"/>
        <v>19.066666666666666</v>
      </c>
      <c r="D702" s="109">
        <f t="shared" si="196"/>
        <v>72.86666666666666</v>
      </c>
      <c r="E702" s="107">
        <f t="shared" si="197"/>
        <v>44582.211805555555</v>
      </c>
      <c r="F702" s="106">
        <f t="shared" si="183"/>
        <v>44582.301850345604</v>
      </c>
      <c r="G702" t="str">
        <f t="shared" si="198"/>
        <v>Friday</v>
      </c>
      <c r="H702" s="129">
        <v>0.44097222222222199</v>
      </c>
      <c r="I702" s="115">
        <f t="shared" si="184"/>
        <v>335.40906638024177</v>
      </c>
      <c r="J702" s="115">
        <f t="shared" si="185"/>
        <v>276.95898432128462</v>
      </c>
      <c r="K702" s="115">
        <f t="shared" si="186"/>
        <v>133.7949178146319</v>
      </c>
      <c r="L702" s="115">
        <f t="shared" si="187"/>
        <v>243.43022420789677</v>
      </c>
      <c r="M702" s="115">
        <f t="shared" si="188"/>
        <v>281.96469529406403</v>
      </c>
      <c r="N702" s="115">
        <f t="shared" si="189"/>
        <v>310.61218011909102</v>
      </c>
      <c r="O702" s="115">
        <f t="shared" si="190"/>
        <v>258.29088243073681</v>
      </c>
      <c r="P702" s="115">
        <f t="shared" si="191"/>
        <v>290.03884709709877</v>
      </c>
      <c r="Q702" s="115">
        <f t="shared" si="192"/>
        <v>34.299137079652155</v>
      </c>
    </row>
    <row r="703" spans="1:17" x14ac:dyDescent="0.25">
      <c r="A703" s="114">
        <f t="shared" si="199"/>
        <v>44582</v>
      </c>
      <c r="B703">
        <f t="shared" si="194"/>
        <v>5.5</v>
      </c>
      <c r="C703" s="109">
        <f t="shared" si="195"/>
        <v>19.066666666666666</v>
      </c>
      <c r="D703" s="109">
        <f t="shared" si="196"/>
        <v>72.86666666666666</v>
      </c>
      <c r="E703" s="107">
        <f t="shared" si="197"/>
        <v>44582.215277777781</v>
      </c>
      <c r="F703" s="106">
        <f t="shared" si="183"/>
        <v>44582.301850345604</v>
      </c>
      <c r="G703" t="str">
        <f t="shared" si="198"/>
        <v>Friday</v>
      </c>
      <c r="H703" s="129">
        <v>0.44444444444444398</v>
      </c>
      <c r="I703" s="115">
        <f t="shared" si="184"/>
        <v>337.01594037829585</v>
      </c>
      <c r="J703" s="115">
        <f t="shared" si="185"/>
        <v>276.9625167583643</v>
      </c>
      <c r="K703" s="115">
        <f t="shared" si="186"/>
        <v>133.83918434780412</v>
      </c>
      <c r="L703" s="115">
        <f t="shared" si="187"/>
        <v>243.43273541882576</v>
      </c>
      <c r="M703" s="115">
        <f t="shared" si="188"/>
        <v>281.9606936079561</v>
      </c>
      <c r="N703" s="115">
        <f t="shared" si="189"/>
        <v>310.61294739118659</v>
      </c>
      <c r="O703" s="115">
        <f t="shared" si="190"/>
        <v>258.2897177664525</v>
      </c>
      <c r="P703" s="115">
        <f t="shared" si="191"/>
        <v>290.03925609289359</v>
      </c>
      <c r="Q703" s="115">
        <f t="shared" si="192"/>
        <v>34.298953079666298</v>
      </c>
    </row>
    <row r="704" spans="1:17" x14ac:dyDescent="0.25">
      <c r="A704" s="114">
        <f t="shared" si="199"/>
        <v>44582</v>
      </c>
      <c r="B704">
        <f t="shared" si="194"/>
        <v>5.5</v>
      </c>
      <c r="C704" s="109">
        <f t="shared" si="195"/>
        <v>19.066666666666666</v>
      </c>
      <c r="D704" s="109">
        <f t="shared" si="196"/>
        <v>72.86666666666666</v>
      </c>
      <c r="E704" s="107">
        <f t="shared" si="197"/>
        <v>44582.21875</v>
      </c>
      <c r="F704" s="106">
        <f t="shared" si="183"/>
        <v>44582.301850345604</v>
      </c>
      <c r="G704" t="str">
        <f t="shared" si="198"/>
        <v>Friday</v>
      </c>
      <c r="H704" s="129">
        <v>0.44791666666666602</v>
      </c>
      <c r="I704" s="115">
        <f t="shared" si="184"/>
        <v>338.62238707297831</v>
      </c>
      <c r="J704" s="115">
        <f t="shared" si="185"/>
        <v>276.96604919339126</v>
      </c>
      <c r="K704" s="115">
        <f t="shared" si="186"/>
        <v>133.88345315686621</v>
      </c>
      <c r="L704" s="115">
        <f t="shared" si="187"/>
        <v>243.43524663711804</v>
      </c>
      <c r="M704" s="115">
        <f t="shared" si="188"/>
        <v>281.95669071307759</v>
      </c>
      <c r="N704" s="115">
        <f t="shared" si="189"/>
        <v>310.61371467523702</v>
      </c>
      <c r="O704" s="115">
        <f t="shared" si="190"/>
        <v>258.2885535720888</v>
      </c>
      <c r="P704" s="115">
        <f t="shared" si="191"/>
        <v>290.03966509245322</v>
      </c>
      <c r="Q704" s="115">
        <f t="shared" si="192"/>
        <v>34.298769079713537</v>
      </c>
    </row>
    <row r="705" spans="1:17" x14ac:dyDescent="0.25">
      <c r="A705" s="114">
        <f t="shared" si="199"/>
        <v>44582</v>
      </c>
      <c r="B705">
        <f t="shared" si="194"/>
        <v>5.5</v>
      </c>
      <c r="C705" s="109">
        <f t="shared" si="195"/>
        <v>19.066666666666666</v>
      </c>
      <c r="D705" s="109">
        <f t="shared" si="196"/>
        <v>72.86666666666666</v>
      </c>
      <c r="E705" s="107">
        <f t="shared" si="197"/>
        <v>44582.222222222226</v>
      </c>
      <c r="F705" s="106">
        <f t="shared" si="183"/>
        <v>44582.301850345604</v>
      </c>
      <c r="G705" t="str">
        <f t="shared" si="198"/>
        <v>Friday</v>
      </c>
      <c r="H705" s="129">
        <v>0.45138888888888801</v>
      </c>
      <c r="I705" s="115">
        <f t="shared" si="184"/>
        <v>340.22782557039852</v>
      </c>
      <c r="J705" s="115">
        <f t="shared" si="185"/>
        <v>276.96958162680539</v>
      </c>
      <c r="K705" s="115">
        <f t="shared" si="186"/>
        <v>133.92772424827433</v>
      </c>
      <c r="L705" s="115">
        <f t="shared" si="187"/>
        <v>243.43775786317596</v>
      </c>
      <c r="M705" s="115">
        <f t="shared" si="188"/>
        <v>281.95268661059231</v>
      </c>
      <c r="N705" s="115">
        <f t="shared" si="189"/>
        <v>310.61448197151429</v>
      </c>
      <c r="O705" s="115">
        <f t="shared" si="190"/>
        <v>258.28738984750123</v>
      </c>
      <c r="P705" s="115">
        <f t="shared" si="191"/>
        <v>290.04007409574211</v>
      </c>
      <c r="Q705" s="115">
        <f t="shared" si="192"/>
        <v>34.298585079777361</v>
      </c>
    </row>
    <row r="706" spans="1:17" x14ac:dyDescent="0.25">
      <c r="A706" s="114">
        <f t="shared" si="199"/>
        <v>44582</v>
      </c>
      <c r="B706">
        <f t="shared" si="194"/>
        <v>5.5</v>
      </c>
      <c r="C706" s="109">
        <f t="shared" si="195"/>
        <v>19.066666666666666</v>
      </c>
      <c r="D706" s="109">
        <f t="shared" si="196"/>
        <v>72.86666666666666</v>
      </c>
      <c r="E706" s="107">
        <f t="shared" si="197"/>
        <v>44582.225694444445</v>
      </c>
      <c r="F706" s="106">
        <f t="shared" si="183"/>
        <v>44582.301850345604</v>
      </c>
      <c r="G706" t="str">
        <f t="shared" si="198"/>
        <v>Friday</v>
      </c>
      <c r="H706" s="129">
        <v>0.45486111111110999</v>
      </c>
      <c r="I706" s="115">
        <f t="shared" si="184"/>
        <v>341.8316791385916</v>
      </c>
      <c r="J706" s="115">
        <f t="shared" si="185"/>
        <v>276.97311405922233</v>
      </c>
      <c r="K706" s="115">
        <f t="shared" si="186"/>
        <v>133.97199762833372</v>
      </c>
      <c r="L706" s="115">
        <f t="shared" si="187"/>
        <v>243.44026909739199</v>
      </c>
      <c r="M706" s="115">
        <f t="shared" si="188"/>
        <v>281.94868130130885</v>
      </c>
      <c r="N706" s="115">
        <f t="shared" si="189"/>
        <v>310.61524928016348</v>
      </c>
      <c r="O706" s="115">
        <f t="shared" si="190"/>
        <v>258.28622659264369</v>
      </c>
      <c r="P706" s="115">
        <f t="shared" si="191"/>
        <v>290.04048310285845</v>
      </c>
      <c r="Q706" s="115">
        <f t="shared" si="192"/>
        <v>34.298401079791446</v>
      </c>
    </row>
    <row r="707" spans="1:17" x14ac:dyDescent="0.25">
      <c r="A707" s="114">
        <f t="shared" si="199"/>
        <v>44582</v>
      </c>
      <c r="B707">
        <f t="shared" si="194"/>
        <v>5.5</v>
      </c>
      <c r="C707" s="109">
        <f t="shared" si="195"/>
        <v>19.066666666666666</v>
      </c>
      <c r="D707" s="109">
        <f t="shared" si="196"/>
        <v>72.86666666666666</v>
      </c>
      <c r="E707" s="107">
        <f t="shared" si="197"/>
        <v>44582.229166666672</v>
      </c>
      <c r="F707" s="106">
        <f t="shared" ref="F707:F761" si="200">sunrise(C707,D707,E707)+B707/24</f>
        <v>44582.301850345604</v>
      </c>
      <c r="G707" t="str">
        <f t="shared" si="198"/>
        <v>Friday</v>
      </c>
      <c r="H707" s="129">
        <v>0.45833333333333198</v>
      </c>
      <c r="I707" s="115">
        <f t="shared" si="184"/>
        <v>343.43337692487597</v>
      </c>
      <c r="J707" s="115">
        <f t="shared" si="185"/>
        <v>276.97664648933005</v>
      </c>
      <c r="K707" s="115">
        <f t="shared" si="186"/>
        <v>134.01627328565388</v>
      </c>
      <c r="L707" s="115">
        <f t="shared" si="187"/>
        <v>243.44278033872789</v>
      </c>
      <c r="M707" s="115">
        <f t="shared" si="188"/>
        <v>281.94467478787834</v>
      </c>
      <c r="N707" s="115">
        <f t="shared" si="189"/>
        <v>310.61601660056857</v>
      </c>
      <c r="O707" s="115">
        <f t="shared" si="190"/>
        <v>258.28506380784972</v>
      </c>
      <c r="P707" s="115">
        <f t="shared" si="191"/>
        <v>290.0408921123186</v>
      </c>
      <c r="Q707" s="115">
        <f t="shared" si="192"/>
        <v>34.298217079855178</v>
      </c>
    </row>
    <row r="708" spans="1:17" x14ac:dyDescent="0.25">
      <c r="A708" s="114">
        <f t="shared" si="199"/>
        <v>44582</v>
      </c>
      <c r="B708">
        <f t="shared" si="194"/>
        <v>5.5</v>
      </c>
      <c r="C708" s="109">
        <f t="shared" si="195"/>
        <v>19.066666666666666</v>
      </c>
      <c r="D708" s="109">
        <f t="shared" si="196"/>
        <v>72.86666666666666</v>
      </c>
      <c r="E708" s="107">
        <f t="shared" si="197"/>
        <v>44582.232638888891</v>
      </c>
      <c r="F708" s="106">
        <f t="shared" si="200"/>
        <v>44582.301850345604</v>
      </c>
      <c r="G708" t="str">
        <f t="shared" si="198"/>
        <v>Friday</v>
      </c>
      <c r="H708" s="129">
        <v>0.46180555555555403</v>
      </c>
      <c r="I708" s="115">
        <f t="shared" si="184"/>
        <v>345.03235775638848</v>
      </c>
      <c r="J708" s="115">
        <f t="shared" si="185"/>
        <v>276.98017891843784</v>
      </c>
      <c r="K708" s="115">
        <f t="shared" si="186"/>
        <v>134.06055123255766</v>
      </c>
      <c r="L708" s="115">
        <f t="shared" si="187"/>
        <v>243.44529158822593</v>
      </c>
      <c r="M708" s="115">
        <f t="shared" si="188"/>
        <v>281.94066707063149</v>
      </c>
      <c r="N708" s="115">
        <f t="shared" si="189"/>
        <v>310.61678393325258</v>
      </c>
      <c r="O708" s="115">
        <f t="shared" si="190"/>
        <v>258.28390149274725</v>
      </c>
      <c r="P708" s="115">
        <f t="shared" si="191"/>
        <v>290.04130112584335</v>
      </c>
      <c r="Q708" s="115">
        <f t="shared" si="192"/>
        <v>34.298033079869256</v>
      </c>
    </row>
    <row r="709" spans="1:17" x14ac:dyDescent="0.25">
      <c r="A709" s="114">
        <f t="shared" si="199"/>
        <v>44582</v>
      </c>
      <c r="B709">
        <f t="shared" si="194"/>
        <v>5.5</v>
      </c>
      <c r="C709" s="109">
        <f t="shared" si="195"/>
        <v>19.066666666666666</v>
      </c>
      <c r="D709" s="109">
        <f t="shared" si="196"/>
        <v>72.86666666666666</v>
      </c>
      <c r="E709" s="107">
        <f t="shared" si="197"/>
        <v>44582.236111111117</v>
      </c>
      <c r="F709" s="106">
        <f t="shared" si="200"/>
        <v>44582.301850345604</v>
      </c>
      <c r="G709" t="str">
        <f t="shared" si="198"/>
        <v>Friday</v>
      </c>
      <c r="H709" s="129">
        <v>0.46527777777777601</v>
      </c>
      <c r="I709" s="115">
        <f t="shared" si="184"/>
        <v>346.62807063639752</v>
      </c>
      <c r="J709" s="115">
        <f t="shared" si="185"/>
        <v>276.98371134546778</v>
      </c>
      <c r="K709" s="115">
        <f t="shared" si="186"/>
        <v>134.1048314576307</v>
      </c>
      <c r="L709" s="115">
        <f t="shared" si="187"/>
        <v>243.44780284505902</v>
      </c>
      <c r="M709" s="115">
        <f t="shared" si="188"/>
        <v>281.93665815219452</v>
      </c>
      <c r="N709" s="115">
        <f t="shared" si="189"/>
        <v>310.61755127777133</v>
      </c>
      <c r="O709" s="115">
        <f t="shared" si="190"/>
        <v>258.28273964795477</v>
      </c>
      <c r="P709" s="115">
        <f t="shared" si="191"/>
        <v>290.04171014324191</v>
      </c>
      <c r="Q709" s="115">
        <f t="shared" si="192"/>
        <v>34.297849079899969</v>
      </c>
    </row>
    <row r="710" spans="1:17" x14ac:dyDescent="0.25">
      <c r="A710" s="114">
        <f t="shared" si="199"/>
        <v>44582</v>
      </c>
      <c r="B710">
        <f t="shared" si="194"/>
        <v>5.5</v>
      </c>
      <c r="C710" s="109">
        <f t="shared" si="195"/>
        <v>19.066666666666666</v>
      </c>
      <c r="D710" s="109">
        <f t="shared" si="196"/>
        <v>72.86666666666666</v>
      </c>
      <c r="E710" s="107">
        <f t="shared" si="197"/>
        <v>44582.239583333336</v>
      </c>
      <c r="F710" s="106">
        <f t="shared" si="200"/>
        <v>44582.301850345604</v>
      </c>
      <c r="G710" t="str">
        <f t="shared" si="198"/>
        <v>Friday</v>
      </c>
      <c r="H710" s="129">
        <v>0.468749999999998</v>
      </c>
      <c r="I710" s="115">
        <f t="shared" si="184"/>
        <v>348.21997857961838</v>
      </c>
      <c r="J710" s="115">
        <f t="shared" si="185"/>
        <v>276.98724377138257</v>
      </c>
      <c r="K710" s="115">
        <f t="shared" si="186"/>
        <v>134.14911397317965</v>
      </c>
      <c r="L710" s="115">
        <f t="shared" si="187"/>
        <v>243.45031411006494</v>
      </c>
      <c r="M710" s="115">
        <f t="shared" si="188"/>
        <v>281.93264803297507</v>
      </c>
      <c r="N710" s="115">
        <f t="shared" si="189"/>
        <v>310.61831863448509</v>
      </c>
      <c r="O710" s="115">
        <f t="shared" si="190"/>
        <v>258.28157827294234</v>
      </c>
      <c r="P710" s="115">
        <f t="shared" si="191"/>
        <v>290.04211916330399</v>
      </c>
      <c r="Q710" s="115">
        <f t="shared" si="192"/>
        <v>34.297665079930667</v>
      </c>
    </row>
    <row r="711" spans="1:17" x14ac:dyDescent="0.25">
      <c r="A711" s="114">
        <f t="shared" si="199"/>
        <v>44582</v>
      </c>
      <c r="B711">
        <f t="shared" si="194"/>
        <v>5.5</v>
      </c>
      <c r="C711" s="109">
        <f t="shared" si="195"/>
        <v>19.066666666666666</v>
      </c>
      <c r="D711" s="109">
        <f t="shared" si="196"/>
        <v>72.86666666666666</v>
      </c>
      <c r="E711" s="107">
        <f t="shared" si="197"/>
        <v>44582.243055555555</v>
      </c>
      <c r="F711" s="106">
        <f t="shared" si="200"/>
        <v>44582.301850345604</v>
      </c>
      <c r="G711" t="str">
        <f t="shared" si="198"/>
        <v>Friday</v>
      </c>
      <c r="H711" s="129">
        <v>0.47222222222221999</v>
      </c>
      <c r="I711" s="115">
        <f t="shared" si="184"/>
        <v>349.80755889379043</v>
      </c>
      <c r="J711" s="115">
        <f t="shared" si="185"/>
        <v>276.99077619533972</v>
      </c>
      <c r="K711" s="115">
        <f t="shared" si="186"/>
        <v>134.19339876781052</v>
      </c>
      <c r="L711" s="115">
        <f t="shared" si="187"/>
        <v>243.45282538249191</v>
      </c>
      <c r="M711" s="115">
        <f t="shared" si="188"/>
        <v>281.92863671550231</v>
      </c>
      <c r="N711" s="115">
        <f t="shared" si="189"/>
        <v>310.61908600330401</v>
      </c>
      <c r="O711" s="115">
        <f t="shared" si="190"/>
        <v>258.28041736838099</v>
      </c>
      <c r="P711" s="115">
        <f t="shared" si="191"/>
        <v>290.04252818730725</v>
      </c>
      <c r="Q711" s="115">
        <f t="shared" si="192"/>
        <v>34.297481079977878</v>
      </c>
    </row>
    <row r="712" spans="1:17" x14ac:dyDescent="0.25">
      <c r="A712" s="114">
        <f t="shared" si="199"/>
        <v>44582</v>
      </c>
      <c r="B712">
        <f t="shared" si="194"/>
        <v>5.5</v>
      </c>
      <c r="C712" s="109">
        <f t="shared" si="195"/>
        <v>19.066666666666666</v>
      </c>
      <c r="D712" s="109">
        <f t="shared" si="196"/>
        <v>72.86666666666666</v>
      </c>
      <c r="E712" s="107">
        <f t="shared" si="197"/>
        <v>44582.246527777781</v>
      </c>
      <c r="F712" s="106">
        <f t="shared" si="200"/>
        <v>44582.301850345604</v>
      </c>
      <c r="G712" t="str">
        <f t="shared" si="198"/>
        <v>Friday</v>
      </c>
      <c r="H712" s="129">
        <v>0.47569444444444198</v>
      </c>
      <c r="I712" s="115">
        <f t="shared" si="184"/>
        <v>351.39030675671285</v>
      </c>
      <c r="J712" s="115">
        <f t="shared" si="185"/>
        <v>276.99430861851658</v>
      </c>
      <c r="K712" s="115">
        <f t="shared" si="186"/>
        <v>134.23768585976958</v>
      </c>
      <c r="L712" s="115">
        <f t="shared" si="187"/>
        <v>243.45533666324874</v>
      </c>
      <c r="M712" s="115">
        <f t="shared" si="188"/>
        <v>281.92462419971866</v>
      </c>
      <c r="N712" s="115">
        <f t="shared" si="189"/>
        <v>310.61985338463899</v>
      </c>
      <c r="O712" s="115">
        <f t="shared" si="190"/>
        <v>258.27925693349783</v>
      </c>
      <c r="P712" s="115">
        <f t="shared" si="191"/>
        <v>290.04293721461755</v>
      </c>
      <c r="Q712" s="115">
        <f t="shared" si="192"/>
        <v>34.297297079975422</v>
      </c>
    </row>
    <row r="713" spans="1:17" x14ac:dyDescent="0.25">
      <c r="A713" s="114">
        <f t="shared" si="199"/>
        <v>44582</v>
      </c>
      <c r="B713">
        <f t="shared" si="194"/>
        <v>5.5</v>
      </c>
      <c r="C713" s="109">
        <f t="shared" si="195"/>
        <v>19.066666666666666</v>
      </c>
      <c r="D713" s="109">
        <f t="shared" si="196"/>
        <v>72.86666666666666</v>
      </c>
      <c r="E713" s="107">
        <f t="shared" si="197"/>
        <v>44582.25</v>
      </c>
      <c r="F713" s="106">
        <f t="shared" si="200"/>
        <v>44582.301850345604</v>
      </c>
      <c r="G713" t="str">
        <f t="shared" si="198"/>
        <v>Friday</v>
      </c>
      <c r="H713" s="129">
        <v>0.47916666666666402</v>
      </c>
      <c r="I713" s="115">
        <f t="shared" si="184"/>
        <v>352.96773522625585</v>
      </c>
      <c r="J713" s="115">
        <f t="shared" si="185"/>
        <v>276.99784103905444</v>
      </c>
      <c r="K713" s="115">
        <f t="shared" si="186"/>
        <v>134.28197522575678</v>
      </c>
      <c r="L713" s="115">
        <f t="shared" si="187"/>
        <v>243.45784795079845</v>
      </c>
      <c r="M713" s="115">
        <f t="shared" si="188"/>
        <v>281.9206104892279</v>
      </c>
      <c r="N713" s="115">
        <f t="shared" si="189"/>
        <v>310.62062077733509</v>
      </c>
      <c r="O713" s="115">
        <f t="shared" si="190"/>
        <v>258.27809696922003</v>
      </c>
      <c r="P713" s="115">
        <f t="shared" si="191"/>
        <v>290.04334624557322</v>
      </c>
      <c r="Q713" s="115">
        <f t="shared" si="192"/>
        <v>34.297113080039161</v>
      </c>
    </row>
    <row r="714" spans="1:17" x14ac:dyDescent="0.25">
      <c r="A714" s="114">
        <f t="shared" si="199"/>
        <v>44582</v>
      </c>
      <c r="B714">
        <f t="shared" si="194"/>
        <v>5.5</v>
      </c>
      <c r="C714" s="109">
        <f t="shared" si="195"/>
        <v>19.066666666666666</v>
      </c>
      <c r="D714" s="109">
        <f t="shared" si="196"/>
        <v>72.86666666666666</v>
      </c>
      <c r="E714" s="107">
        <f t="shared" si="197"/>
        <v>44582.253472222226</v>
      </c>
      <c r="F714" s="106">
        <f t="shared" si="200"/>
        <v>44582.301850345604</v>
      </c>
      <c r="G714" t="str">
        <f t="shared" si="198"/>
        <v>Friday</v>
      </c>
      <c r="H714" s="129">
        <v>0.48263888888888601</v>
      </c>
      <c r="I714" s="115">
        <f t="shared" si="184"/>
        <v>354.53937829233337</v>
      </c>
      <c r="J714" s="115">
        <f t="shared" si="185"/>
        <v>277.00137345810185</v>
      </c>
      <c r="K714" s="115">
        <f t="shared" si="186"/>
        <v>134.32626687807635</v>
      </c>
      <c r="L714" s="115">
        <f t="shared" si="187"/>
        <v>243.46035924628347</v>
      </c>
      <c r="M714" s="115">
        <f t="shared" si="188"/>
        <v>281.91659558441614</v>
      </c>
      <c r="N714" s="115">
        <f t="shared" si="189"/>
        <v>310.62138818231642</v>
      </c>
      <c r="O714" s="115">
        <f t="shared" si="190"/>
        <v>258.27693747526456</v>
      </c>
      <c r="P714" s="115">
        <f t="shared" si="191"/>
        <v>290.04375528025417</v>
      </c>
      <c r="Q714" s="115">
        <f t="shared" si="192"/>
        <v>34.296929080053324</v>
      </c>
    </row>
    <row r="715" spans="1:17" x14ac:dyDescent="0.25">
      <c r="A715" s="114">
        <f t="shared" si="199"/>
        <v>44582</v>
      </c>
      <c r="B715">
        <f t="shared" si="194"/>
        <v>5.5</v>
      </c>
      <c r="C715" s="109">
        <f t="shared" si="195"/>
        <v>19.066666666666666</v>
      </c>
      <c r="D715" s="109">
        <f t="shared" si="196"/>
        <v>72.86666666666666</v>
      </c>
      <c r="E715" s="107">
        <f t="shared" si="197"/>
        <v>44582.256944444445</v>
      </c>
      <c r="F715" s="106">
        <f t="shared" si="200"/>
        <v>44582.301850345604</v>
      </c>
      <c r="G715" t="str">
        <f t="shared" si="198"/>
        <v>Friday</v>
      </c>
      <c r="H715" s="129">
        <v>0.486111111111108</v>
      </c>
      <c r="I715" s="115">
        <f t="shared" si="184"/>
        <v>356.10479162496523</v>
      </c>
      <c r="J715" s="115">
        <f t="shared" si="185"/>
        <v>277.00490587602081</v>
      </c>
      <c r="K715" s="115">
        <f t="shared" si="186"/>
        <v>134.37056082319629</v>
      </c>
      <c r="L715" s="115">
        <f t="shared" si="187"/>
        <v>243.46287054974948</v>
      </c>
      <c r="M715" s="115">
        <f t="shared" si="188"/>
        <v>281.91257948630488</v>
      </c>
      <c r="N715" s="115">
        <f t="shared" si="189"/>
        <v>310.62215559959776</v>
      </c>
      <c r="O715" s="115">
        <f t="shared" si="190"/>
        <v>258.2757784514871</v>
      </c>
      <c r="P715" s="115">
        <f t="shared" si="191"/>
        <v>290.04416431766151</v>
      </c>
      <c r="Q715" s="115">
        <f t="shared" si="192"/>
        <v>34.296745080083923</v>
      </c>
    </row>
    <row r="716" spans="1:17" x14ac:dyDescent="0.25">
      <c r="A716" s="114">
        <f t="shared" si="199"/>
        <v>44582</v>
      </c>
      <c r="B716">
        <f t="shared" si="194"/>
        <v>5.5</v>
      </c>
      <c r="C716" s="109">
        <f t="shared" si="195"/>
        <v>19.066666666666666</v>
      </c>
      <c r="D716" s="109">
        <f t="shared" si="196"/>
        <v>72.86666666666666</v>
      </c>
      <c r="E716" s="107">
        <f t="shared" si="197"/>
        <v>44582.260416666672</v>
      </c>
      <c r="F716" s="106">
        <f t="shared" si="200"/>
        <v>44582.301850345604</v>
      </c>
      <c r="G716" t="str">
        <f t="shared" si="198"/>
        <v>Friday</v>
      </c>
      <c r="H716" s="129">
        <v>0.48958333333332998</v>
      </c>
      <c r="I716" s="115">
        <f t="shared" si="184"/>
        <v>357.66355317205023</v>
      </c>
      <c r="J716" s="115">
        <f t="shared" si="185"/>
        <v>277.00843829188449</v>
      </c>
      <c r="K716" s="115">
        <f t="shared" si="186"/>
        <v>134.41485704963557</v>
      </c>
      <c r="L716" s="115">
        <f t="shared" si="187"/>
        <v>243.4653818606875</v>
      </c>
      <c r="M716" s="115">
        <f t="shared" si="188"/>
        <v>281.90856219732626</v>
      </c>
      <c r="N716" s="115">
        <f t="shared" si="189"/>
        <v>310.62292302855894</v>
      </c>
      <c r="O716" s="115">
        <f t="shared" si="190"/>
        <v>258.27461989828265</v>
      </c>
      <c r="P716" s="115">
        <f t="shared" si="191"/>
        <v>290.04457335909086</v>
      </c>
      <c r="Q716" s="115">
        <f t="shared" si="192"/>
        <v>34.296561080147747</v>
      </c>
    </row>
    <row r="717" spans="1:17" x14ac:dyDescent="0.25">
      <c r="A717" s="114">
        <f t="shared" si="199"/>
        <v>44582</v>
      </c>
      <c r="B717">
        <f t="shared" si="194"/>
        <v>5.5</v>
      </c>
      <c r="C717" s="109">
        <f t="shared" si="195"/>
        <v>19.066666666666666</v>
      </c>
      <c r="D717" s="109">
        <f t="shared" si="196"/>
        <v>72.86666666666666</v>
      </c>
      <c r="E717" s="107">
        <f t="shared" si="197"/>
        <v>44582.263888888891</v>
      </c>
      <c r="F717" s="106">
        <f t="shared" si="200"/>
        <v>44582.301850345604</v>
      </c>
      <c r="G717" t="str">
        <f t="shared" si="198"/>
        <v>Friday</v>
      </c>
      <c r="H717" s="129">
        <v>0.49305555555555203</v>
      </c>
      <c r="I717" s="115">
        <f t="shared" si="184"/>
        <v>359.21526566812975</v>
      </c>
      <c r="J717" s="115">
        <f t="shared" si="185"/>
        <v>277.01197070667513</v>
      </c>
      <c r="K717" s="115">
        <f t="shared" si="186"/>
        <v>134.45915556976777</v>
      </c>
      <c r="L717" s="115">
        <f t="shared" si="187"/>
        <v>243.46789317968563</v>
      </c>
      <c r="M717" s="115">
        <f t="shared" si="188"/>
        <v>281.9045437179791</v>
      </c>
      <c r="N717" s="115">
        <f t="shared" si="189"/>
        <v>310.6236904701222</v>
      </c>
      <c r="O717" s="115">
        <f t="shared" si="190"/>
        <v>258.2734618153525</v>
      </c>
      <c r="P717" s="115">
        <f t="shared" si="191"/>
        <v>290.04498240393434</v>
      </c>
      <c r="Q717" s="115">
        <f t="shared" si="192"/>
        <v>34.296377080161875</v>
      </c>
    </row>
    <row r="718" spans="1:17" x14ac:dyDescent="0.25">
      <c r="A718" s="114">
        <f t="shared" si="199"/>
        <v>44582</v>
      </c>
      <c r="B718">
        <f t="shared" si="194"/>
        <v>5.5</v>
      </c>
      <c r="C718" s="109">
        <f t="shared" si="195"/>
        <v>19.066666666666666</v>
      </c>
      <c r="D718" s="109">
        <f t="shared" si="196"/>
        <v>72.86666666666666</v>
      </c>
      <c r="E718" s="107">
        <f t="shared" si="197"/>
        <v>44582.267361111117</v>
      </c>
      <c r="F718" s="106">
        <f t="shared" si="200"/>
        <v>44582.301850345604</v>
      </c>
      <c r="G718" t="str">
        <f t="shared" si="198"/>
        <v>Friday</v>
      </c>
      <c r="H718" s="129">
        <v>0.49652777777777402</v>
      </c>
      <c r="I718" s="115">
        <f t="shared" si="184"/>
        <v>0.75955582522104592</v>
      </c>
      <c r="J718" s="115">
        <f t="shared" si="185"/>
        <v>277.01550311938831</v>
      </c>
      <c r="K718" s="115">
        <f t="shared" si="186"/>
        <v>134.50345637212422</v>
      </c>
      <c r="L718" s="115">
        <f t="shared" si="187"/>
        <v>243.47040450606781</v>
      </c>
      <c r="M718" s="115">
        <f t="shared" si="188"/>
        <v>281.90052405101602</v>
      </c>
      <c r="N718" s="115">
        <f t="shared" si="189"/>
        <v>310.62445792340839</v>
      </c>
      <c r="O718" s="115">
        <f t="shared" si="190"/>
        <v>258.27230420315186</v>
      </c>
      <c r="P718" s="115">
        <f t="shared" si="191"/>
        <v>290.04539145210606</v>
      </c>
      <c r="Q718" s="115">
        <f t="shared" si="192"/>
        <v>34.296193080225599</v>
      </c>
    </row>
    <row r="719" spans="1:17" x14ac:dyDescent="0.25">
      <c r="A719" s="114">
        <f t="shared" si="199"/>
        <v>44582</v>
      </c>
      <c r="B719">
        <f t="shared" si="194"/>
        <v>5.5</v>
      </c>
      <c r="C719" s="109">
        <f t="shared" si="195"/>
        <v>19.066666666666666</v>
      </c>
      <c r="D719" s="109">
        <f t="shared" si="196"/>
        <v>72.86666666666666</v>
      </c>
      <c r="E719" s="107">
        <f t="shared" si="197"/>
        <v>44582.270833333336</v>
      </c>
      <c r="F719" s="106">
        <f t="shared" si="200"/>
        <v>44582.301850345604</v>
      </c>
      <c r="G719" t="str">
        <f t="shared" si="198"/>
        <v>Friday</v>
      </c>
      <c r="H719" s="129">
        <v>0.499999999999996</v>
      </c>
      <c r="I719" s="115">
        <f t="shared" si="184"/>
        <v>2.2960766885588448</v>
      </c>
      <c r="J719" s="115">
        <f t="shared" si="185"/>
        <v>277.01903553081945</v>
      </c>
      <c r="K719" s="115">
        <f t="shared" si="186"/>
        <v>134.5477594690293</v>
      </c>
      <c r="L719" s="115">
        <f t="shared" si="187"/>
        <v>243.47291584028741</v>
      </c>
      <c r="M719" s="115">
        <f t="shared" si="188"/>
        <v>281.8965031965966</v>
      </c>
      <c r="N719" s="115">
        <f t="shared" si="189"/>
        <v>310.62522538884491</v>
      </c>
      <c r="O719" s="115">
        <f t="shared" si="190"/>
        <v>258.27114706129919</v>
      </c>
      <c r="P719" s="115">
        <f t="shared" si="191"/>
        <v>290.04580050430923</v>
      </c>
      <c r="Q719" s="115">
        <f t="shared" si="192"/>
        <v>34.296009080239692</v>
      </c>
    </row>
    <row r="720" spans="1:17" x14ac:dyDescent="0.25">
      <c r="A720" s="114">
        <f t="shared" si="199"/>
        <v>44582</v>
      </c>
      <c r="B720">
        <f t="shared" si="194"/>
        <v>5.5</v>
      </c>
      <c r="C720" s="109">
        <f t="shared" si="195"/>
        <v>19.066666666666666</v>
      </c>
      <c r="D720" s="109">
        <f t="shared" si="196"/>
        <v>72.86666666666666</v>
      </c>
      <c r="E720" s="107">
        <f t="shared" si="197"/>
        <v>44582.274305555555</v>
      </c>
      <c r="F720" s="106">
        <f t="shared" si="200"/>
        <v>44582.301850345604</v>
      </c>
      <c r="G720" t="str">
        <f t="shared" si="198"/>
        <v>Friday</v>
      </c>
      <c r="H720" s="129">
        <v>0.50347222222221799</v>
      </c>
      <c r="I720" s="115">
        <f t="shared" si="184"/>
        <v>3.8245064875569383</v>
      </c>
      <c r="J720" s="115">
        <f t="shared" si="185"/>
        <v>277.02256794029023</v>
      </c>
      <c r="K720" s="115">
        <f t="shared" si="186"/>
        <v>134.59206484916515</v>
      </c>
      <c r="L720" s="115">
        <f t="shared" si="187"/>
        <v>243.47542718198349</v>
      </c>
      <c r="M720" s="115">
        <f t="shared" si="188"/>
        <v>281.89248115739861</v>
      </c>
      <c r="N720" s="115">
        <f t="shared" si="189"/>
        <v>310.62599286638562</v>
      </c>
      <c r="O720" s="115">
        <f t="shared" si="190"/>
        <v>258.26999039031551</v>
      </c>
      <c r="P720" s="115">
        <f t="shared" si="191"/>
        <v>290.04620955897917</v>
      </c>
      <c r="Q720" s="115">
        <f t="shared" si="192"/>
        <v>34.295825080286953</v>
      </c>
    </row>
    <row r="721" spans="1:17" x14ac:dyDescent="0.25">
      <c r="A721" s="114">
        <f t="shared" si="199"/>
        <v>44582</v>
      </c>
      <c r="B721">
        <f t="shared" si="194"/>
        <v>5.5</v>
      </c>
      <c r="C721" s="109">
        <f t="shared" si="195"/>
        <v>19.066666666666666</v>
      </c>
      <c r="D721" s="109">
        <f t="shared" si="196"/>
        <v>72.86666666666666</v>
      </c>
      <c r="E721" s="107">
        <f t="shared" si="197"/>
        <v>44582.277777777781</v>
      </c>
      <c r="F721" s="106">
        <f t="shared" si="200"/>
        <v>44582.301850345604</v>
      </c>
      <c r="G721" t="str">
        <f t="shared" si="198"/>
        <v>Friday</v>
      </c>
      <c r="H721" s="129">
        <v>0.50694444444443998</v>
      </c>
      <c r="I721" s="115">
        <f t="shared" si="184"/>
        <v>5.3445506309163839</v>
      </c>
      <c r="J721" s="115">
        <f t="shared" si="185"/>
        <v>277.02610034864148</v>
      </c>
      <c r="K721" s="115">
        <f t="shared" si="186"/>
        <v>134.6363725247833</v>
      </c>
      <c r="L721" s="115">
        <f t="shared" si="187"/>
        <v>243.47793853181548</v>
      </c>
      <c r="M721" s="115">
        <f t="shared" si="188"/>
        <v>281.88845793383388</v>
      </c>
      <c r="N721" s="115">
        <f t="shared" si="189"/>
        <v>310.62676035588959</v>
      </c>
      <c r="O721" s="115">
        <f t="shared" si="190"/>
        <v>258.2688341897134</v>
      </c>
      <c r="P721" s="115">
        <f t="shared" si="191"/>
        <v>290.04661861709559</v>
      </c>
      <c r="Q721" s="115">
        <f t="shared" si="192"/>
        <v>34.295641080317594</v>
      </c>
    </row>
    <row r="722" spans="1:17" x14ac:dyDescent="0.25">
      <c r="A722" s="114">
        <f t="shared" si="199"/>
        <v>44582</v>
      </c>
      <c r="B722">
        <f t="shared" si="194"/>
        <v>5.5</v>
      </c>
      <c r="C722" s="109">
        <f t="shared" si="195"/>
        <v>19.066666666666666</v>
      </c>
      <c r="D722" s="109">
        <f t="shared" si="196"/>
        <v>72.86666666666666</v>
      </c>
      <c r="E722" s="107">
        <f t="shared" si="197"/>
        <v>44582.28125</v>
      </c>
      <c r="F722" s="106">
        <f t="shared" si="200"/>
        <v>44582.301850345604</v>
      </c>
      <c r="G722" t="str">
        <f t="shared" si="198"/>
        <v>Friday</v>
      </c>
      <c r="H722" s="129">
        <v>0.51041666666666197</v>
      </c>
      <c r="I722" s="115">
        <f t="shared" si="184"/>
        <v>6.855940240937155</v>
      </c>
      <c r="J722" s="115">
        <f t="shared" si="185"/>
        <v>277.0296327549292</v>
      </c>
      <c r="K722" s="115">
        <f t="shared" si="186"/>
        <v>134.68068248448338</v>
      </c>
      <c r="L722" s="115">
        <f t="shared" si="187"/>
        <v>243.48044988900142</v>
      </c>
      <c r="M722" s="115">
        <f t="shared" si="188"/>
        <v>281.88443352847878</v>
      </c>
      <c r="N722" s="115">
        <f t="shared" si="189"/>
        <v>310.62752785758823</v>
      </c>
      <c r="O722" s="115">
        <f t="shared" si="190"/>
        <v>258.26767846015031</v>
      </c>
      <c r="P722" s="115">
        <f t="shared" si="191"/>
        <v>290.04702767995803</v>
      </c>
      <c r="Q722" s="115">
        <f t="shared" si="192"/>
        <v>34.295457080364862</v>
      </c>
    </row>
    <row r="723" spans="1:17" x14ac:dyDescent="0.25">
      <c r="A723" s="114">
        <f t="shared" si="199"/>
        <v>44582</v>
      </c>
      <c r="B723">
        <f t="shared" si="194"/>
        <v>5.5</v>
      </c>
      <c r="C723" s="109">
        <f t="shared" si="195"/>
        <v>19.066666666666666</v>
      </c>
      <c r="D723" s="109">
        <f t="shared" si="196"/>
        <v>72.86666666666666</v>
      </c>
      <c r="E723" s="107">
        <f t="shared" si="197"/>
        <v>44582.284722222226</v>
      </c>
      <c r="F723" s="106">
        <f t="shared" si="200"/>
        <v>44582.301850345604</v>
      </c>
      <c r="G723" t="str">
        <f t="shared" si="198"/>
        <v>Friday</v>
      </c>
      <c r="H723" s="129">
        <v>0.51388888888888395</v>
      </c>
      <c r="I723" s="115">
        <f t="shared" si="184"/>
        <v>8.3584336107692891</v>
      </c>
      <c r="J723" s="115">
        <f t="shared" si="185"/>
        <v>277.03316515973472</v>
      </c>
      <c r="K723" s="115">
        <f t="shared" si="186"/>
        <v>134.72499473465254</v>
      </c>
      <c r="L723" s="115">
        <f t="shared" si="187"/>
        <v>243.4829612539987</v>
      </c>
      <c r="M723" s="115">
        <f t="shared" si="188"/>
        <v>281.88040794219688</v>
      </c>
      <c r="N723" s="115">
        <f t="shared" si="189"/>
        <v>310.62829537148423</v>
      </c>
      <c r="O723" s="115">
        <f t="shared" si="190"/>
        <v>258.26652320125186</v>
      </c>
      <c r="P723" s="115">
        <f t="shared" si="191"/>
        <v>290.04743674561325</v>
      </c>
      <c r="Q723" s="115">
        <f t="shared" si="192"/>
        <v>34.295273080395496</v>
      </c>
    </row>
    <row r="724" spans="1:17" x14ac:dyDescent="0.25">
      <c r="A724" s="114">
        <f t="shared" si="199"/>
        <v>44582</v>
      </c>
      <c r="B724">
        <f t="shared" si="194"/>
        <v>5.5</v>
      </c>
      <c r="C724" s="109">
        <f t="shared" si="195"/>
        <v>19.066666666666666</v>
      </c>
      <c r="D724" s="109">
        <f t="shared" si="196"/>
        <v>72.86666666666666</v>
      </c>
      <c r="E724" s="107">
        <f t="shared" si="197"/>
        <v>44582.288194444445</v>
      </c>
      <c r="F724" s="106">
        <f t="shared" si="200"/>
        <v>44582.301850345604</v>
      </c>
      <c r="G724" t="str">
        <f t="shared" si="198"/>
        <v>Friday</v>
      </c>
      <c r="H724" s="129">
        <v>0.51736111111110605</v>
      </c>
      <c r="I724" s="115">
        <f t="shared" si="184"/>
        <v>9.8518154594298402</v>
      </c>
      <c r="J724" s="115">
        <f t="shared" si="185"/>
        <v>277.03669756324513</v>
      </c>
      <c r="K724" s="115">
        <f t="shared" si="186"/>
        <v>134.76930928173905</v>
      </c>
      <c r="L724" s="115">
        <f t="shared" si="187"/>
        <v>243.48547262694461</v>
      </c>
      <c r="M724" s="115">
        <f t="shared" si="188"/>
        <v>281.8763811761691</v>
      </c>
      <c r="N724" s="115">
        <f t="shared" si="189"/>
        <v>310.62906289733655</v>
      </c>
      <c r="O724" s="115">
        <f t="shared" si="190"/>
        <v>258.26536841311207</v>
      </c>
      <c r="P724" s="115">
        <f t="shared" si="191"/>
        <v>290.04784581441334</v>
      </c>
      <c r="Q724" s="115">
        <f t="shared" si="192"/>
        <v>34.295089080393033</v>
      </c>
    </row>
    <row r="725" spans="1:17" x14ac:dyDescent="0.25">
      <c r="A725" s="114">
        <f t="shared" si="199"/>
        <v>44582</v>
      </c>
      <c r="B725">
        <f t="shared" si="194"/>
        <v>5.5</v>
      </c>
      <c r="C725" s="109">
        <f t="shared" si="195"/>
        <v>19.066666666666666</v>
      </c>
      <c r="D725" s="109">
        <f t="shared" si="196"/>
        <v>72.86666666666666</v>
      </c>
      <c r="E725" s="107">
        <f t="shared" si="197"/>
        <v>44582.291666666672</v>
      </c>
      <c r="F725" s="106">
        <f t="shared" si="200"/>
        <v>44582.301850345604</v>
      </c>
      <c r="G725" t="str">
        <f t="shared" si="198"/>
        <v>Friday</v>
      </c>
      <c r="H725" s="129">
        <v>0.52083333333332804</v>
      </c>
      <c r="I725" s="115">
        <f t="shared" si="184"/>
        <v>11.335896080448727</v>
      </c>
      <c r="J725" s="115">
        <f t="shared" si="185"/>
        <v>277.04022996468512</v>
      </c>
      <c r="K725" s="115">
        <f t="shared" si="186"/>
        <v>134.81362611427397</v>
      </c>
      <c r="L725" s="115">
        <f t="shared" si="187"/>
        <v>243.48798400715859</v>
      </c>
      <c r="M725" s="115">
        <f t="shared" si="188"/>
        <v>281.87235323291679</v>
      </c>
      <c r="N725" s="115">
        <f t="shared" si="189"/>
        <v>310.62983043523036</v>
      </c>
      <c r="O725" s="115">
        <f t="shared" si="190"/>
        <v>258.26421409594548</v>
      </c>
      <c r="P725" s="115">
        <f t="shared" si="191"/>
        <v>290.0482548866409</v>
      </c>
      <c r="Q725" s="115">
        <f t="shared" si="192"/>
        <v>34.294905080456864</v>
      </c>
    </row>
    <row r="726" spans="1:17" x14ac:dyDescent="0.25">
      <c r="A726" s="114">
        <f t="shared" si="199"/>
        <v>44582</v>
      </c>
      <c r="B726">
        <f t="shared" si="194"/>
        <v>5.5</v>
      </c>
      <c r="C726" s="109">
        <f t="shared" si="195"/>
        <v>19.066666666666666</v>
      </c>
      <c r="D726" s="109">
        <f t="shared" si="196"/>
        <v>72.86666666666666</v>
      </c>
      <c r="E726" s="107">
        <f t="shared" si="197"/>
        <v>44582.295138888891</v>
      </c>
      <c r="F726" s="106">
        <f t="shared" si="200"/>
        <v>44582.301850345604</v>
      </c>
      <c r="G726" t="str">
        <f t="shared" si="198"/>
        <v>Friday</v>
      </c>
      <c r="H726" s="129">
        <v>0.52430555555555003</v>
      </c>
      <c r="I726" s="115">
        <f t="shared" si="184"/>
        <v>12.810512354040448</v>
      </c>
      <c r="J726" s="115">
        <f t="shared" si="185"/>
        <v>277.04376236506062</v>
      </c>
      <c r="K726" s="115">
        <f t="shared" si="186"/>
        <v>134.85794524470433</v>
      </c>
      <c r="L726" s="115">
        <f t="shared" si="187"/>
        <v>243.49049539544373</v>
      </c>
      <c r="M726" s="115">
        <f t="shared" si="188"/>
        <v>281.86832411262441</v>
      </c>
      <c r="N726" s="115">
        <f t="shared" si="189"/>
        <v>310.63059798525694</v>
      </c>
      <c r="O726" s="115">
        <f t="shared" si="190"/>
        <v>258.26306024970427</v>
      </c>
      <c r="P726" s="115">
        <f t="shared" si="191"/>
        <v>290.04866396283381</v>
      </c>
      <c r="Q726" s="115">
        <f t="shared" si="192"/>
        <v>34.294721080487513</v>
      </c>
    </row>
    <row r="727" spans="1:17" x14ac:dyDescent="0.25">
      <c r="A727" s="114">
        <f t="shared" si="199"/>
        <v>44582</v>
      </c>
      <c r="B727">
        <f t="shared" si="194"/>
        <v>5.5</v>
      </c>
      <c r="C727" s="109">
        <f t="shared" si="195"/>
        <v>19.066666666666666</v>
      </c>
      <c r="D727" s="109">
        <f t="shared" si="196"/>
        <v>72.86666666666666</v>
      </c>
      <c r="E727" s="107">
        <f t="shared" si="197"/>
        <v>44582.298611111117</v>
      </c>
      <c r="F727" s="106">
        <f t="shared" si="200"/>
        <v>44582.301850345604</v>
      </c>
      <c r="G727" t="str">
        <f t="shared" si="198"/>
        <v>Friday</v>
      </c>
      <c r="H727" s="129">
        <v>0.52777777777777202</v>
      </c>
      <c r="I727" s="115">
        <f t="shared" si="184"/>
        <v>14.275525654533872</v>
      </c>
      <c r="J727" s="115">
        <f t="shared" si="185"/>
        <v>277.04729476336854</v>
      </c>
      <c r="K727" s="115">
        <f t="shared" si="186"/>
        <v>134.90226666146299</v>
      </c>
      <c r="L727" s="115">
        <f t="shared" si="187"/>
        <v>243.49300679122175</v>
      </c>
      <c r="M727" s="115">
        <f t="shared" si="188"/>
        <v>281.8642938180717</v>
      </c>
      <c r="N727" s="115">
        <f t="shared" si="189"/>
        <v>310.63136554729442</v>
      </c>
      <c r="O727" s="115">
        <f t="shared" si="190"/>
        <v>258.26190687447337</v>
      </c>
      <c r="P727" s="115">
        <f t="shared" si="191"/>
        <v>290.04907304233922</v>
      </c>
      <c r="Q727" s="115">
        <f t="shared" si="192"/>
        <v>34.294537080518218</v>
      </c>
    </row>
    <row r="728" spans="1:17" x14ac:dyDescent="0.25">
      <c r="A728" s="114">
        <f t="shared" si="199"/>
        <v>44582</v>
      </c>
      <c r="B728">
        <f t="shared" si="194"/>
        <v>5.5</v>
      </c>
      <c r="C728" s="109">
        <f t="shared" si="195"/>
        <v>19.066666666666666</v>
      </c>
      <c r="D728" s="109">
        <f t="shared" si="196"/>
        <v>72.86666666666666</v>
      </c>
      <c r="E728" s="107">
        <f t="shared" si="197"/>
        <v>44582.302083333336</v>
      </c>
      <c r="F728" s="106">
        <f t="shared" si="200"/>
        <v>44582.301850345604</v>
      </c>
      <c r="G728" t="str">
        <f t="shared" si="198"/>
        <v>Friday</v>
      </c>
      <c r="H728" s="129">
        <v>0.531249999999994</v>
      </c>
      <c r="I728" s="115">
        <f t="shared" si="184"/>
        <v>15.730822835673532</v>
      </c>
      <c r="J728" s="115">
        <f t="shared" si="185"/>
        <v>277.05082716054187</v>
      </c>
      <c r="K728" s="115">
        <f t="shared" si="186"/>
        <v>134.9465903770155</v>
      </c>
      <c r="L728" s="115">
        <f t="shared" si="187"/>
        <v>243.49551819504083</v>
      </c>
      <c r="M728" s="115">
        <f t="shared" si="188"/>
        <v>281.86026234959485</v>
      </c>
      <c r="N728" s="115">
        <f t="shared" si="189"/>
        <v>310.63213312130529</v>
      </c>
      <c r="O728" s="115">
        <f t="shared" si="190"/>
        <v>258.26075397028461</v>
      </c>
      <c r="P728" s="115">
        <f t="shared" si="191"/>
        <v>290.04948212455685</v>
      </c>
      <c r="Q728" s="115">
        <f t="shared" si="192"/>
        <v>34.294353080565372</v>
      </c>
    </row>
    <row r="729" spans="1:17" x14ac:dyDescent="0.25">
      <c r="A729" s="114">
        <f t="shared" si="199"/>
        <v>44582</v>
      </c>
      <c r="B729">
        <f t="shared" si="194"/>
        <v>5.5</v>
      </c>
      <c r="C729" s="109">
        <f t="shared" si="195"/>
        <v>19.066666666666666</v>
      </c>
      <c r="D729" s="109">
        <f t="shared" si="196"/>
        <v>72.86666666666666</v>
      </c>
      <c r="E729" s="107">
        <f t="shared" si="197"/>
        <v>44582.305555555555</v>
      </c>
      <c r="F729" s="106">
        <f t="shared" si="200"/>
        <v>44582.301850345604</v>
      </c>
      <c r="G729" t="str">
        <f t="shared" si="198"/>
        <v>Friday</v>
      </c>
      <c r="H729" s="129">
        <v>0.53472222222221599</v>
      </c>
      <c r="I729" s="115">
        <f t="shared" si="184"/>
        <v>17.176313964016384</v>
      </c>
      <c r="J729" s="115">
        <f t="shared" si="185"/>
        <v>277.05435955573125</v>
      </c>
      <c r="K729" s="115">
        <f t="shared" si="186"/>
        <v>134.99091637986311</v>
      </c>
      <c r="L729" s="115">
        <f t="shared" si="187"/>
        <v>243.49802960627187</v>
      </c>
      <c r="M729" s="115">
        <f t="shared" si="188"/>
        <v>281.85622970983627</v>
      </c>
      <c r="N729" s="115">
        <f t="shared" si="189"/>
        <v>310.63290070752157</v>
      </c>
      <c r="O729" s="115">
        <f t="shared" si="190"/>
        <v>258.25960153721815</v>
      </c>
      <c r="P729" s="115">
        <f t="shared" si="191"/>
        <v>290.04989121116466</v>
      </c>
      <c r="Q729" s="115">
        <f t="shared" si="192"/>
        <v>34.294169080596035</v>
      </c>
    </row>
    <row r="730" spans="1:17" x14ac:dyDescent="0.25">
      <c r="A730" s="114">
        <f t="shared" si="199"/>
        <v>44582</v>
      </c>
      <c r="B730">
        <f t="shared" si="194"/>
        <v>5.5</v>
      </c>
      <c r="C730" s="109">
        <f t="shared" si="195"/>
        <v>19.066666666666666</v>
      </c>
      <c r="D730" s="109">
        <f t="shared" si="196"/>
        <v>72.86666666666666</v>
      </c>
      <c r="E730" s="107">
        <f t="shared" si="197"/>
        <v>44582.309027777781</v>
      </c>
      <c r="F730" s="106">
        <f t="shared" si="200"/>
        <v>44582.301850345604</v>
      </c>
      <c r="G730" t="str">
        <f t="shared" si="198"/>
        <v>Friday</v>
      </c>
      <c r="H730" s="129">
        <v>0.53819444444443798</v>
      </c>
      <c r="I730" s="115">
        <f t="shared" si="184"/>
        <v>18.611933116201794</v>
      </c>
      <c r="J730" s="115">
        <f t="shared" si="185"/>
        <v>277.05789194978672</v>
      </c>
      <c r="K730" s="115">
        <f t="shared" si="186"/>
        <v>135.03524468243893</v>
      </c>
      <c r="L730" s="115">
        <f t="shared" si="187"/>
        <v>243.50054102559068</v>
      </c>
      <c r="M730" s="115">
        <f t="shared" si="188"/>
        <v>281.85219589925782</v>
      </c>
      <c r="N730" s="115">
        <f t="shared" si="189"/>
        <v>310.63366830565496</v>
      </c>
      <c r="O730" s="115">
        <f t="shared" si="190"/>
        <v>258.25844957530575</v>
      </c>
      <c r="P730" s="115">
        <f t="shared" si="191"/>
        <v>290.05030030160373</v>
      </c>
      <c r="Q730" s="115">
        <f t="shared" si="192"/>
        <v>34.29398508061017</v>
      </c>
    </row>
    <row r="731" spans="1:17" x14ac:dyDescent="0.25">
      <c r="A731" s="114">
        <f t="shared" si="199"/>
        <v>44582</v>
      </c>
      <c r="B731">
        <f t="shared" si="194"/>
        <v>5.5</v>
      </c>
      <c r="C731" s="109">
        <f t="shared" si="195"/>
        <v>19.066666666666666</v>
      </c>
      <c r="D731" s="109">
        <f t="shared" si="196"/>
        <v>72.86666666666666</v>
      </c>
      <c r="E731" s="107">
        <f t="shared" si="197"/>
        <v>44582.3125</v>
      </c>
      <c r="F731" s="106">
        <f t="shared" si="200"/>
        <v>44582.301850345604</v>
      </c>
      <c r="G731" t="str">
        <f t="shared" si="198"/>
        <v>Friday</v>
      </c>
      <c r="H731" s="129">
        <v>0.54166666666665997</v>
      </c>
      <c r="I731" s="115">
        <f t="shared" si="184"/>
        <v>20.037635989108828</v>
      </c>
      <c r="J731" s="115">
        <f t="shared" si="185"/>
        <v>277.0614243415979</v>
      </c>
      <c r="K731" s="115">
        <f t="shared" si="186"/>
        <v>135.0795752732684</v>
      </c>
      <c r="L731" s="115">
        <f t="shared" si="187"/>
        <v>243.50305245207383</v>
      </c>
      <c r="M731" s="115">
        <f t="shared" si="188"/>
        <v>281.84816092045071</v>
      </c>
      <c r="N731" s="115">
        <f t="shared" si="189"/>
        <v>310.63443591622348</v>
      </c>
      <c r="O731" s="115">
        <f t="shared" si="190"/>
        <v>258.25729808468725</v>
      </c>
      <c r="P731" s="115">
        <f t="shared" si="191"/>
        <v>290.05070939433415</v>
      </c>
      <c r="Q731" s="115">
        <f t="shared" si="192"/>
        <v>34.293801080673987</v>
      </c>
    </row>
    <row r="732" spans="1:17" x14ac:dyDescent="0.25">
      <c r="A732" s="114">
        <f t="shared" si="199"/>
        <v>44582</v>
      </c>
      <c r="B732">
        <f t="shared" si="194"/>
        <v>5.5</v>
      </c>
      <c r="C732" s="109">
        <f t="shared" si="195"/>
        <v>19.066666666666666</v>
      </c>
      <c r="D732" s="109">
        <f t="shared" si="196"/>
        <v>72.86666666666666</v>
      </c>
      <c r="E732" s="107">
        <f t="shared" si="197"/>
        <v>44582.315972222226</v>
      </c>
      <c r="F732" s="106">
        <f t="shared" si="200"/>
        <v>44582.301850345604</v>
      </c>
      <c r="G732" t="str">
        <f t="shared" si="198"/>
        <v>Friday</v>
      </c>
      <c r="H732" s="129">
        <v>0.54513888888888196</v>
      </c>
      <c r="I732" s="115">
        <f t="shared" si="184"/>
        <v>21.453400365068809</v>
      </c>
      <c r="J732" s="115">
        <f t="shared" si="185"/>
        <v>277.06495673195002</v>
      </c>
      <c r="K732" s="115">
        <f t="shared" si="186"/>
        <v>135.12390815875722</v>
      </c>
      <c r="L732" s="115">
        <f t="shared" si="187"/>
        <v>243.50556388638157</v>
      </c>
      <c r="M732" s="115">
        <f t="shared" si="188"/>
        <v>281.84412477427639</v>
      </c>
      <c r="N732" s="115">
        <f t="shared" si="189"/>
        <v>310.63520353841955</v>
      </c>
      <c r="O732" s="115">
        <f t="shared" si="190"/>
        <v>258.25614706540244</v>
      </c>
      <c r="P732" s="115">
        <f t="shared" si="191"/>
        <v>290.05111849132658</v>
      </c>
      <c r="Q732" s="115">
        <f t="shared" si="192"/>
        <v>34.293617080704664</v>
      </c>
    </row>
    <row r="733" spans="1:17" x14ac:dyDescent="0.25">
      <c r="A733" s="114">
        <f t="shared" si="199"/>
        <v>44582</v>
      </c>
      <c r="B733">
        <f t="shared" si="194"/>
        <v>5.5</v>
      </c>
      <c r="C733" s="109">
        <f t="shared" si="195"/>
        <v>19.066666666666666</v>
      </c>
      <c r="D733" s="109">
        <f t="shared" si="196"/>
        <v>72.86666666666666</v>
      </c>
      <c r="E733" s="107">
        <f t="shared" si="197"/>
        <v>44582.319444444445</v>
      </c>
      <c r="F733" s="106">
        <f t="shared" si="200"/>
        <v>44582.301850345604</v>
      </c>
      <c r="G733" t="str">
        <f t="shared" si="198"/>
        <v>Friday</v>
      </c>
      <c r="H733" s="129">
        <v>0.54861111111110406</v>
      </c>
      <c r="I733" s="115">
        <f t="shared" ref="I733:I761" si="201">(Asdt(C733,D733,E733))</f>
        <v>22.859224592963184</v>
      </c>
      <c r="J733" s="115">
        <f t="shared" ref="J733:J761" si="202">(Planet(E733,0))</f>
        <v>277.06848912116311</v>
      </c>
      <c r="K733" s="115">
        <f t="shared" ref="K733:K761" si="203">(Planet(E733,1))</f>
        <v>135.16824334540829</v>
      </c>
      <c r="L733" s="115">
        <f t="shared" ref="L733:L761" si="204">(Planet(E733,4))</f>
        <v>243.50807532868922</v>
      </c>
      <c r="M733" s="115">
        <f t="shared" ref="M733:M761" si="205">(Planet(E733,2))</f>
        <v>281.84008746158077</v>
      </c>
      <c r="N733" s="115">
        <f t="shared" ref="N733:N761" si="206">(Planet(E733,5))</f>
        <v>310.63597117275441</v>
      </c>
      <c r="O733" s="115">
        <f t="shared" ref="O733:O761" si="207">Planet(E733,3)</f>
        <v>258.25499651727677</v>
      </c>
      <c r="P733" s="115">
        <f t="shared" ref="P733:P761" si="208">Planet(E733,6)</f>
        <v>290.05152759177957</v>
      </c>
      <c r="Q733" s="115">
        <f t="shared" ref="Q733:Q761" si="209">Planet(E733,10)</f>
        <v>34.293433080751846</v>
      </c>
    </row>
    <row r="734" spans="1:17" x14ac:dyDescent="0.25">
      <c r="A734" s="114">
        <f t="shared" si="199"/>
        <v>44582</v>
      </c>
      <c r="B734">
        <f t="shared" si="194"/>
        <v>5.5</v>
      </c>
      <c r="C734" s="109">
        <f t="shared" si="195"/>
        <v>19.066666666666666</v>
      </c>
      <c r="D734" s="109">
        <f t="shared" si="196"/>
        <v>72.86666666666666</v>
      </c>
      <c r="E734" s="107">
        <f t="shared" si="197"/>
        <v>44582.322916666672</v>
      </c>
      <c r="F734" s="106">
        <f t="shared" si="200"/>
        <v>44582.301850345604</v>
      </c>
      <c r="G734" t="str">
        <f t="shared" si="198"/>
        <v>Friday</v>
      </c>
      <c r="H734" s="129">
        <v>0.55208333333332604</v>
      </c>
      <c r="I734" s="115">
        <f t="shared" si="201"/>
        <v>24.255126059572916</v>
      </c>
      <c r="J734" s="115">
        <f t="shared" si="202"/>
        <v>277.07202150831688</v>
      </c>
      <c r="K734" s="115">
        <f t="shared" si="203"/>
        <v>135.21258082167407</v>
      </c>
      <c r="L734" s="115">
        <f t="shared" si="204"/>
        <v>243.51058677849667</v>
      </c>
      <c r="M734" s="115">
        <f t="shared" si="205"/>
        <v>281.83604898528739</v>
      </c>
      <c r="N734" s="115">
        <f t="shared" si="206"/>
        <v>310.63673881941781</v>
      </c>
      <c r="O734" s="115">
        <f t="shared" si="207"/>
        <v>258.25384644070283</v>
      </c>
      <c r="P734" s="115">
        <f t="shared" si="208"/>
        <v>290.05193669497254</v>
      </c>
      <c r="Q734" s="115">
        <f t="shared" si="209"/>
        <v>34.293249080799065</v>
      </c>
    </row>
    <row r="735" spans="1:17" x14ac:dyDescent="0.25">
      <c r="A735" s="114">
        <f t="shared" si="199"/>
        <v>44582</v>
      </c>
      <c r="B735">
        <f t="shared" si="194"/>
        <v>5.5</v>
      </c>
      <c r="C735" s="109">
        <f t="shared" si="195"/>
        <v>19.066666666666666</v>
      </c>
      <c r="D735" s="109">
        <f t="shared" si="196"/>
        <v>72.86666666666666</v>
      </c>
      <c r="E735" s="107">
        <f t="shared" si="197"/>
        <v>44582.326388888891</v>
      </c>
      <c r="F735" s="106">
        <f t="shared" si="200"/>
        <v>44582.301850345604</v>
      </c>
      <c r="G735" t="str">
        <f t="shared" si="198"/>
        <v>Friday</v>
      </c>
      <c r="H735" s="129">
        <v>0.55555555555554803</v>
      </c>
      <c r="I735" s="115">
        <f t="shared" si="201"/>
        <v>25.641141518073425</v>
      </c>
      <c r="J735" s="115">
        <f t="shared" si="202"/>
        <v>277.07555389447845</v>
      </c>
      <c r="K735" s="115">
        <f t="shared" si="203"/>
        <v>135.25692060001234</v>
      </c>
      <c r="L735" s="115">
        <f t="shared" si="204"/>
        <v>243.51309823648452</v>
      </c>
      <c r="M735" s="115">
        <f t="shared" si="205"/>
        <v>281.83200934541338</v>
      </c>
      <c r="N735" s="115">
        <f t="shared" si="206"/>
        <v>310.63750647806052</v>
      </c>
      <c r="O735" s="115">
        <f t="shared" si="207"/>
        <v>258.25269683545042</v>
      </c>
      <c r="P735" s="115">
        <f t="shared" si="208"/>
        <v>290.05234580212766</v>
      </c>
      <c r="Q735" s="115">
        <f t="shared" si="209"/>
        <v>34.2930650808132</v>
      </c>
    </row>
    <row r="736" spans="1:17" x14ac:dyDescent="0.25">
      <c r="A736" s="114">
        <f t="shared" si="199"/>
        <v>44582</v>
      </c>
      <c r="B736">
        <f t="shared" si="194"/>
        <v>5.5</v>
      </c>
      <c r="C736" s="109">
        <f t="shared" si="195"/>
        <v>19.066666666666666</v>
      </c>
      <c r="D736" s="109">
        <f t="shared" si="196"/>
        <v>72.86666666666666</v>
      </c>
      <c r="E736" s="107">
        <f t="shared" si="197"/>
        <v>44582.329861111117</v>
      </c>
      <c r="F736" s="106">
        <f t="shared" si="200"/>
        <v>44582.301850345604</v>
      </c>
      <c r="G736" t="str">
        <f t="shared" si="198"/>
        <v>Friday</v>
      </c>
      <c r="H736" s="129">
        <v>0.55902777777777002</v>
      </c>
      <c r="I736" s="115">
        <f t="shared" si="201"/>
        <v>27.017324579279553</v>
      </c>
      <c r="J736" s="115">
        <f t="shared" si="202"/>
        <v>277.07908627830739</v>
      </c>
      <c r="K736" s="115">
        <f t="shared" si="203"/>
        <v>135.30126266891503</v>
      </c>
      <c r="L736" s="115">
        <f t="shared" si="204"/>
        <v>243.51560970149197</v>
      </c>
      <c r="M736" s="115">
        <f t="shared" si="205"/>
        <v>281.82796854499156</v>
      </c>
      <c r="N736" s="115">
        <f t="shared" si="206"/>
        <v>310.63827414857064</v>
      </c>
      <c r="O736" s="115">
        <f t="shared" si="207"/>
        <v>258.2515477018373</v>
      </c>
      <c r="P736" s="115">
        <f t="shared" si="208"/>
        <v>290.05275491267736</v>
      </c>
      <c r="Q736" s="115">
        <f t="shared" si="209"/>
        <v>34.292881080827257</v>
      </c>
    </row>
    <row r="737" spans="1:17" x14ac:dyDescent="0.25">
      <c r="A737" s="114">
        <f t="shared" si="199"/>
        <v>44582</v>
      </c>
      <c r="B737">
        <f t="shared" si="194"/>
        <v>5.5</v>
      </c>
      <c r="C737" s="109">
        <f t="shared" si="195"/>
        <v>19.066666666666666</v>
      </c>
      <c r="D737" s="109">
        <f t="shared" si="196"/>
        <v>72.86666666666666</v>
      </c>
      <c r="E737" s="107">
        <f t="shared" si="197"/>
        <v>44582.333333333336</v>
      </c>
      <c r="F737" s="106">
        <f t="shared" si="200"/>
        <v>44582.301850345604</v>
      </c>
      <c r="G737" t="str">
        <f t="shared" si="198"/>
        <v>Friday</v>
      </c>
      <c r="H737" s="129">
        <v>0.56249999999999201</v>
      </c>
      <c r="I737" s="115">
        <f t="shared" si="201"/>
        <v>28.38374618892653</v>
      </c>
      <c r="J737" s="115">
        <f t="shared" si="202"/>
        <v>277.08261866116021</v>
      </c>
      <c r="K737" s="115">
        <f t="shared" si="203"/>
        <v>135.34560704087642</v>
      </c>
      <c r="L737" s="115">
        <f t="shared" si="204"/>
        <v>243.51812117467708</v>
      </c>
      <c r="M737" s="115">
        <f t="shared" si="205"/>
        <v>281.82392658423436</v>
      </c>
      <c r="N737" s="115">
        <f t="shared" si="206"/>
        <v>310.63904183122008</v>
      </c>
      <c r="O737" s="115">
        <f t="shared" si="207"/>
        <v>258.2503990395233</v>
      </c>
      <c r="P737" s="115">
        <f t="shared" si="208"/>
        <v>290.0531640266193</v>
      </c>
      <c r="Q737" s="115">
        <f t="shared" si="209"/>
        <v>34.292697080874504</v>
      </c>
    </row>
    <row r="738" spans="1:17" x14ac:dyDescent="0.25">
      <c r="A738" s="114">
        <f t="shared" si="199"/>
        <v>44582</v>
      </c>
      <c r="B738">
        <f t="shared" si="194"/>
        <v>5.5</v>
      </c>
      <c r="C738" s="109">
        <f t="shared" si="195"/>
        <v>19.066666666666666</v>
      </c>
      <c r="D738" s="109">
        <f t="shared" si="196"/>
        <v>72.86666666666666</v>
      </c>
      <c r="E738" s="107">
        <f t="shared" si="197"/>
        <v>44582.336805555555</v>
      </c>
      <c r="F738" s="106">
        <f t="shared" si="200"/>
        <v>44582.301850345604</v>
      </c>
      <c r="G738" t="str">
        <f t="shared" si="198"/>
        <v>Friday</v>
      </c>
      <c r="H738" s="129">
        <v>0.56597222222221399</v>
      </c>
      <c r="I738" s="115">
        <f t="shared" si="201"/>
        <v>29.740492133356206</v>
      </c>
      <c r="J738" s="115">
        <f t="shared" si="202"/>
        <v>277.08615104193967</v>
      </c>
      <c r="K738" s="115">
        <f t="shared" si="203"/>
        <v>135.38995370434486</v>
      </c>
      <c r="L738" s="115">
        <f t="shared" si="204"/>
        <v>243.52063265530202</v>
      </c>
      <c r="M738" s="115">
        <f t="shared" si="205"/>
        <v>281.81988346557119</v>
      </c>
      <c r="N738" s="115">
        <f t="shared" si="206"/>
        <v>310.63980952593721</v>
      </c>
      <c r="O738" s="115">
        <f t="shared" si="207"/>
        <v>258.2492508491174</v>
      </c>
      <c r="P738" s="115">
        <f t="shared" si="208"/>
        <v>290.05357314397992</v>
      </c>
      <c r="Q738" s="115">
        <f t="shared" si="209"/>
        <v>34.292513080905209</v>
      </c>
    </row>
    <row r="739" spans="1:17" x14ac:dyDescent="0.25">
      <c r="A739" s="114">
        <f t="shared" si="199"/>
        <v>44582</v>
      </c>
      <c r="B739">
        <f t="shared" si="194"/>
        <v>5.5</v>
      </c>
      <c r="C739" s="109">
        <f t="shared" si="195"/>
        <v>19.066666666666666</v>
      </c>
      <c r="D739" s="109">
        <f t="shared" si="196"/>
        <v>72.86666666666666</v>
      </c>
      <c r="E739" s="107">
        <f t="shared" si="197"/>
        <v>44582.340277777781</v>
      </c>
      <c r="F739" s="106">
        <f t="shared" si="200"/>
        <v>44582.301850345604</v>
      </c>
      <c r="G739" t="str">
        <f t="shared" si="198"/>
        <v>Friday</v>
      </c>
      <c r="H739" s="129">
        <v>0.56944444444443598</v>
      </c>
      <c r="I739" s="115">
        <f t="shared" si="201"/>
        <v>31.087663503030168</v>
      </c>
      <c r="J739" s="115">
        <f t="shared" si="202"/>
        <v>277.08968342159784</v>
      </c>
      <c r="K739" s="115">
        <f t="shared" si="203"/>
        <v>135.43430267183226</v>
      </c>
      <c r="L739" s="115">
        <f t="shared" si="204"/>
        <v>243.52314414394829</v>
      </c>
      <c r="M739" s="115">
        <f t="shared" si="205"/>
        <v>281.81583918967749</v>
      </c>
      <c r="N739" s="115">
        <f t="shared" si="206"/>
        <v>310.64057723287004</v>
      </c>
      <c r="O739" s="115">
        <f t="shared" si="207"/>
        <v>258.24810313007055</v>
      </c>
      <c r="P739" s="115">
        <f t="shared" si="208"/>
        <v>290.05398226487318</v>
      </c>
      <c r="Q739" s="115">
        <f t="shared" si="209"/>
        <v>34.292329080952356</v>
      </c>
    </row>
    <row r="740" spans="1:17" x14ac:dyDescent="0.25">
      <c r="A740" s="114">
        <f t="shared" si="199"/>
        <v>44582</v>
      </c>
      <c r="B740">
        <f t="shared" si="194"/>
        <v>5.5</v>
      </c>
      <c r="C740" s="109">
        <f t="shared" si="195"/>
        <v>19.066666666666666</v>
      </c>
      <c r="D740" s="109">
        <f t="shared" si="196"/>
        <v>72.86666666666666</v>
      </c>
      <c r="E740" s="107">
        <f t="shared" si="197"/>
        <v>44582.34375</v>
      </c>
      <c r="F740" s="106">
        <f t="shared" si="200"/>
        <v>44582.301850345604</v>
      </c>
      <c r="G740" t="str">
        <f t="shared" si="198"/>
        <v>Friday</v>
      </c>
      <c r="H740" s="129">
        <v>0.57291666666665797</v>
      </c>
      <c r="I740" s="115">
        <f t="shared" si="201"/>
        <v>32.425374238915865</v>
      </c>
      <c r="J740" s="115">
        <f t="shared" si="202"/>
        <v>277.09321579919384</v>
      </c>
      <c r="K740" s="115">
        <f t="shared" si="203"/>
        <v>135.4786539317347</v>
      </c>
      <c r="L740" s="115">
        <f t="shared" si="204"/>
        <v>243.5256556400592</v>
      </c>
      <c r="M740" s="115">
        <f t="shared" si="205"/>
        <v>281.81179375908732</v>
      </c>
      <c r="N740" s="115">
        <f t="shared" si="206"/>
        <v>310.6413449515731</v>
      </c>
      <c r="O740" s="115">
        <f t="shared" si="207"/>
        <v>258.24695588304553</v>
      </c>
      <c r="P740" s="115">
        <f t="shared" si="208"/>
        <v>290.05439138943018</v>
      </c>
      <c r="Q740" s="115">
        <f t="shared" si="209"/>
        <v>34.292145080983026</v>
      </c>
    </row>
    <row r="741" spans="1:17" x14ac:dyDescent="0.25">
      <c r="A741" s="114">
        <f t="shared" si="199"/>
        <v>44582</v>
      </c>
      <c r="B741">
        <f t="shared" si="194"/>
        <v>5.5</v>
      </c>
      <c r="C741" s="109">
        <f t="shared" si="195"/>
        <v>19.066666666666666</v>
      </c>
      <c r="D741" s="109">
        <f t="shared" si="196"/>
        <v>72.86666666666666</v>
      </c>
      <c r="E741" s="107">
        <f t="shared" si="197"/>
        <v>44582.347222222226</v>
      </c>
      <c r="F741" s="106">
        <f t="shared" si="200"/>
        <v>44582.301850345604</v>
      </c>
      <c r="G741" t="str">
        <f t="shared" si="198"/>
        <v>Friday</v>
      </c>
      <c r="H741" s="129">
        <v>0.57638888888887996</v>
      </c>
      <c r="I741" s="115">
        <f t="shared" si="201"/>
        <v>33.753751428582049</v>
      </c>
      <c r="J741" s="115">
        <f t="shared" si="202"/>
        <v>277.09674817531715</v>
      </c>
      <c r="K741" s="115">
        <f t="shared" si="203"/>
        <v>135.52300749063639</v>
      </c>
      <c r="L741" s="115">
        <f t="shared" si="204"/>
        <v>243.52816714396744</v>
      </c>
      <c r="M741" s="115">
        <f t="shared" si="205"/>
        <v>281.80774717456541</v>
      </c>
      <c r="N741" s="115">
        <f t="shared" si="206"/>
        <v>310.64211268272345</v>
      </c>
      <c r="O741" s="115">
        <f t="shared" si="207"/>
        <v>258.24580910766383</v>
      </c>
      <c r="P741" s="115">
        <f t="shared" si="208"/>
        <v>290.05480051712317</v>
      </c>
      <c r="Q741" s="115">
        <f t="shared" si="209"/>
        <v>34.291961081013724</v>
      </c>
    </row>
    <row r="742" spans="1:17" x14ac:dyDescent="0.25">
      <c r="A742" s="114">
        <f t="shared" si="199"/>
        <v>44582</v>
      </c>
      <c r="B742">
        <f t="shared" si="194"/>
        <v>5.5</v>
      </c>
      <c r="C742" s="109">
        <f t="shared" si="195"/>
        <v>19.066666666666666</v>
      </c>
      <c r="D742" s="109">
        <f t="shared" si="196"/>
        <v>72.86666666666666</v>
      </c>
      <c r="E742" s="107">
        <f t="shared" si="197"/>
        <v>44582.350694444445</v>
      </c>
      <c r="F742" s="106">
        <f t="shared" si="200"/>
        <v>44582.301850345604</v>
      </c>
      <c r="G742" t="str">
        <f t="shared" si="198"/>
        <v>Friday</v>
      </c>
      <c r="H742" s="129">
        <v>0.57986111111110095</v>
      </c>
      <c r="I742" s="115">
        <f t="shared" si="201"/>
        <v>35.072933801091537</v>
      </c>
      <c r="J742" s="115">
        <f t="shared" si="202"/>
        <v>277.1002805500803</v>
      </c>
      <c r="K742" s="115">
        <f t="shared" si="203"/>
        <v>135.56736335492025</v>
      </c>
      <c r="L742" s="115">
        <f t="shared" si="204"/>
        <v>243.5306786555881</v>
      </c>
      <c r="M742" s="115">
        <f t="shared" si="205"/>
        <v>281.80369943733876</v>
      </c>
      <c r="N742" s="115">
        <f t="shared" si="206"/>
        <v>310.64288042561094</v>
      </c>
      <c r="O742" s="115">
        <f t="shared" si="207"/>
        <v>258.24466280403016</v>
      </c>
      <c r="P742" s="115">
        <f t="shared" si="208"/>
        <v>290.05520964813957</v>
      </c>
      <c r="Q742" s="115">
        <f t="shared" si="209"/>
        <v>34.291777081044437</v>
      </c>
    </row>
    <row r="743" spans="1:17" x14ac:dyDescent="0.25">
      <c r="A743" s="114">
        <f t="shared" si="199"/>
        <v>44582</v>
      </c>
      <c r="B743">
        <f t="shared" si="194"/>
        <v>5.5</v>
      </c>
      <c r="C743" s="109">
        <f t="shared" si="195"/>
        <v>19.066666666666666</v>
      </c>
      <c r="D743" s="109">
        <f t="shared" si="196"/>
        <v>72.86666666666666</v>
      </c>
      <c r="E743" s="107">
        <f t="shared" si="197"/>
        <v>44582.354166666672</v>
      </c>
      <c r="F743" s="106">
        <f t="shared" si="200"/>
        <v>44582.301850345604</v>
      </c>
      <c r="G743" t="str">
        <f t="shared" si="198"/>
        <v>Friday</v>
      </c>
      <c r="H743" s="129">
        <v>0.58333333333332305</v>
      </c>
      <c r="I743" s="115">
        <f t="shared" si="201"/>
        <v>36.383070277975946</v>
      </c>
      <c r="J743" s="115">
        <f t="shared" si="202"/>
        <v>277.10381292289912</v>
      </c>
      <c r="K743" s="115">
        <f t="shared" si="203"/>
        <v>135.61172151313863</v>
      </c>
      <c r="L743" s="115">
        <f t="shared" si="204"/>
        <v>243.53319017479475</v>
      </c>
      <c r="M743" s="115">
        <f t="shared" si="205"/>
        <v>281.79965054986019</v>
      </c>
      <c r="N743" s="115">
        <f t="shared" si="206"/>
        <v>310.64364818072568</v>
      </c>
      <c r="O743" s="115">
        <f t="shared" si="207"/>
        <v>258.2435169723214</v>
      </c>
      <c r="P743" s="115">
        <f t="shared" si="208"/>
        <v>290.05561878322249</v>
      </c>
      <c r="Q743" s="115">
        <f t="shared" si="209"/>
        <v>34.291593081091669</v>
      </c>
    </row>
    <row r="744" spans="1:17" x14ac:dyDescent="0.25">
      <c r="A744" s="114">
        <f t="shared" si="199"/>
        <v>44582</v>
      </c>
      <c r="B744">
        <f t="shared" si="194"/>
        <v>5.5</v>
      </c>
      <c r="C744" s="109">
        <f t="shared" si="195"/>
        <v>19.066666666666666</v>
      </c>
      <c r="D744" s="109">
        <f t="shared" si="196"/>
        <v>72.86666666666666</v>
      </c>
      <c r="E744" s="107">
        <f t="shared" si="197"/>
        <v>44582.357638888891</v>
      </c>
      <c r="F744" s="106">
        <f t="shared" si="200"/>
        <v>44582.301850345604</v>
      </c>
      <c r="G744" t="str">
        <f t="shared" si="198"/>
        <v>Friday</v>
      </c>
      <c r="H744" s="129">
        <v>0.58680555555554503</v>
      </c>
      <c r="I744" s="115">
        <f t="shared" si="201"/>
        <v>37.684320309040771</v>
      </c>
      <c r="J744" s="115">
        <f t="shared" si="202"/>
        <v>277.10734529459722</v>
      </c>
      <c r="K744" s="115">
        <f t="shared" si="203"/>
        <v>135.65608197766548</v>
      </c>
      <c r="L744" s="115">
        <f t="shared" si="204"/>
        <v>243.53570170203523</v>
      </c>
      <c r="M744" s="115">
        <f t="shared" si="205"/>
        <v>281.79560051261694</v>
      </c>
      <c r="N744" s="115">
        <f t="shared" si="206"/>
        <v>310.644415947825</v>
      </c>
      <c r="O744" s="115">
        <f t="shared" si="207"/>
        <v>258.24237161253103</v>
      </c>
      <c r="P744" s="115">
        <f t="shared" si="208"/>
        <v>290.05602792111148</v>
      </c>
      <c r="Q744" s="115">
        <f t="shared" si="209"/>
        <v>34.291409081122239</v>
      </c>
    </row>
    <row r="745" spans="1:17" x14ac:dyDescent="0.25">
      <c r="A745" s="114">
        <f t="shared" si="199"/>
        <v>44582</v>
      </c>
      <c r="B745">
        <f t="shared" si="194"/>
        <v>5.5</v>
      </c>
      <c r="C745" s="109">
        <f t="shared" si="195"/>
        <v>19.066666666666666</v>
      </c>
      <c r="D745" s="109">
        <f t="shared" si="196"/>
        <v>72.86666666666666</v>
      </c>
      <c r="E745" s="107">
        <f t="shared" si="197"/>
        <v>44582.361111111117</v>
      </c>
      <c r="F745" s="106">
        <f t="shared" si="200"/>
        <v>44582.301850345604</v>
      </c>
      <c r="G745" t="str">
        <f t="shared" si="198"/>
        <v>Friday</v>
      </c>
      <c r="H745" s="129">
        <v>0.59027777777776702</v>
      </c>
      <c r="I745" s="115">
        <f t="shared" si="201"/>
        <v>38.976851598715989</v>
      </c>
      <c r="J745" s="115">
        <f t="shared" si="202"/>
        <v>277.11087766423242</v>
      </c>
      <c r="K745" s="115">
        <f t="shared" si="203"/>
        <v>135.70044473711667</v>
      </c>
      <c r="L745" s="115">
        <f t="shared" si="204"/>
        <v>243.53821323665989</v>
      </c>
      <c r="M745" s="115">
        <f t="shared" si="205"/>
        <v>281.79154932823025</v>
      </c>
      <c r="N745" s="115">
        <f t="shared" si="206"/>
        <v>310.64518372677168</v>
      </c>
      <c r="O745" s="115">
        <f t="shared" si="207"/>
        <v>258.24122672473879</v>
      </c>
      <c r="P745" s="115">
        <f t="shared" si="208"/>
        <v>290.05643706291818</v>
      </c>
      <c r="Q745" s="115">
        <f t="shared" si="209"/>
        <v>34.291225081169507</v>
      </c>
    </row>
    <row r="746" spans="1:17" x14ac:dyDescent="0.25">
      <c r="A746" s="114">
        <f t="shared" si="199"/>
        <v>44582</v>
      </c>
      <c r="B746">
        <f t="shared" si="194"/>
        <v>5.5</v>
      </c>
      <c r="C746" s="109">
        <f t="shared" si="195"/>
        <v>19.066666666666666</v>
      </c>
      <c r="D746" s="109">
        <f t="shared" si="196"/>
        <v>72.86666666666666</v>
      </c>
      <c r="E746" s="107">
        <f t="shared" si="197"/>
        <v>44582.364583333336</v>
      </c>
      <c r="F746" s="106">
        <f t="shared" si="200"/>
        <v>44582.301850345604</v>
      </c>
      <c r="G746" t="str">
        <f t="shared" si="198"/>
        <v>Friday</v>
      </c>
      <c r="H746" s="129">
        <v>0.59374999999998901</v>
      </c>
      <c r="I746" s="115">
        <f t="shared" si="201"/>
        <v>40.260840672887895</v>
      </c>
      <c r="J746" s="115">
        <f t="shared" si="202"/>
        <v>277.11441003286831</v>
      </c>
      <c r="K746" s="115">
        <f t="shared" si="203"/>
        <v>135.74480980387156</v>
      </c>
      <c r="L746" s="115">
        <f t="shared" si="204"/>
        <v>243.54072477951175</v>
      </c>
      <c r="M746" s="115">
        <f t="shared" si="205"/>
        <v>281.78749699701984</v>
      </c>
      <c r="N746" s="115">
        <f t="shared" si="206"/>
        <v>310.64595151820623</v>
      </c>
      <c r="O746" s="115">
        <f t="shared" si="207"/>
        <v>258.24008230893321</v>
      </c>
      <c r="P746" s="115">
        <f t="shared" si="208"/>
        <v>290.05684620752885</v>
      </c>
      <c r="Q746" s="115">
        <f t="shared" si="209"/>
        <v>34.291041081200156</v>
      </c>
    </row>
    <row r="747" spans="1:17" x14ac:dyDescent="0.25">
      <c r="A747" s="114">
        <f t="shared" si="199"/>
        <v>44582</v>
      </c>
      <c r="B747">
        <f t="shared" si="194"/>
        <v>5.5</v>
      </c>
      <c r="C747" s="109">
        <f t="shared" si="195"/>
        <v>19.066666666666666</v>
      </c>
      <c r="D747" s="109">
        <f t="shared" si="196"/>
        <v>72.86666666666666</v>
      </c>
      <c r="E747" s="107">
        <f t="shared" si="197"/>
        <v>44582.368055555555</v>
      </c>
      <c r="F747" s="106">
        <f t="shared" si="200"/>
        <v>44582.301850345604</v>
      </c>
      <c r="G747" t="str">
        <f t="shared" si="198"/>
        <v>Friday</v>
      </c>
      <c r="H747" s="129">
        <v>0.597222222222211</v>
      </c>
      <c r="I747" s="115">
        <f t="shared" si="201"/>
        <v>41.536470690439153</v>
      </c>
      <c r="J747" s="115">
        <f t="shared" si="202"/>
        <v>277.11794239926348</v>
      </c>
      <c r="K747" s="115">
        <f t="shared" si="203"/>
        <v>135.78917716645245</v>
      </c>
      <c r="L747" s="115">
        <f t="shared" si="204"/>
        <v>243.54323632951491</v>
      </c>
      <c r="M747" s="115">
        <f t="shared" si="205"/>
        <v>281.7834435216123</v>
      </c>
      <c r="N747" s="115">
        <f t="shared" si="206"/>
        <v>310.64671932139822</v>
      </c>
      <c r="O747" s="115">
        <f t="shared" si="207"/>
        <v>258.2389383652847</v>
      </c>
      <c r="P747" s="115">
        <f t="shared" si="208"/>
        <v>290.0572553564291</v>
      </c>
      <c r="Q747" s="115">
        <f t="shared" si="209"/>
        <v>34.290857081247381</v>
      </c>
    </row>
    <row r="748" spans="1:17" x14ac:dyDescent="0.25">
      <c r="A748" s="114">
        <f t="shared" si="199"/>
        <v>44582</v>
      </c>
      <c r="B748">
        <f t="shared" si="194"/>
        <v>5.5</v>
      </c>
      <c r="C748" s="109">
        <f t="shared" si="195"/>
        <v>19.066666666666666</v>
      </c>
      <c r="D748" s="109">
        <f t="shared" si="196"/>
        <v>72.86666666666666</v>
      </c>
      <c r="E748" s="107">
        <f t="shared" si="197"/>
        <v>44582.371527777781</v>
      </c>
      <c r="F748" s="106">
        <f t="shared" si="200"/>
        <v>44582.301850345604</v>
      </c>
      <c r="G748" t="str">
        <f t="shared" si="198"/>
        <v>Friday</v>
      </c>
      <c r="H748" s="129">
        <v>0.60069444444443298</v>
      </c>
      <c r="I748" s="115">
        <f t="shared" si="201"/>
        <v>42.803932063138411</v>
      </c>
      <c r="J748" s="115">
        <f t="shared" si="202"/>
        <v>277.12147476453339</v>
      </c>
      <c r="K748" s="115">
        <f t="shared" si="203"/>
        <v>135.83354683733975</v>
      </c>
      <c r="L748" s="115">
        <f t="shared" si="204"/>
        <v>243.54574788747519</v>
      </c>
      <c r="M748" s="115">
        <f t="shared" si="205"/>
        <v>281.7793889025607</v>
      </c>
      <c r="N748" s="115">
        <f t="shared" si="206"/>
        <v>310.64748713661794</v>
      </c>
      <c r="O748" s="115">
        <f t="shared" si="207"/>
        <v>258.23779489370622</v>
      </c>
      <c r="P748" s="115">
        <f t="shared" si="208"/>
        <v>290.05766450860415</v>
      </c>
      <c r="Q748" s="115">
        <f t="shared" si="209"/>
        <v>34.290673081244975</v>
      </c>
    </row>
    <row r="749" spans="1:17" x14ac:dyDescent="0.25">
      <c r="A749" s="114">
        <f t="shared" si="199"/>
        <v>44582</v>
      </c>
      <c r="B749">
        <f t="shared" si="194"/>
        <v>5.5</v>
      </c>
      <c r="C749" s="109">
        <f t="shared" si="195"/>
        <v>19.066666666666666</v>
      </c>
      <c r="D749" s="109">
        <f t="shared" si="196"/>
        <v>72.86666666666666</v>
      </c>
      <c r="E749" s="107">
        <f t="shared" si="197"/>
        <v>44582.375</v>
      </c>
      <c r="F749" s="106">
        <f t="shared" si="200"/>
        <v>44582.301850345604</v>
      </c>
      <c r="G749" t="str">
        <f t="shared" si="198"/>
        <v>Friday</v>
      </c>
      <c r="H749" s="129">
        <v>0.60416666666665497</v>
      </c>
      <c r="I749" s="115">
        <f t="shared" si="201"/>
        <v>44.063420358022675</v>
      </c>
      <c r="J749" s="115">
        <f t="shared" si="202"/>
        <v>277.12500712779951</v>
      </c>
      <c r="K749" s="115">
        <f t="shared" si="203"/>
        <v>135.87791880501004</v>
      </c>
      <c r="L749" s="115">
        <f t="shared" si="204"/>
        <v>243.54825945296699</v>
      </c>
      <c r="M749" s="115">
        <f t="shared" si="205"/>
        <v>281.77533314232778</v>
      </c>
      <c r="N749" s="115">
        <f t="shared" si="206"/>
        <v>310.64825496396935</v>
      </c>
      <c r="O749" s="115">
        <f t="shared" si="207"/>
        <v>258.23665189445165</v>
      </c>
      <c r="P749" s="115">
        <f t="shared" si="208"/>
        <v>290.05807366343407</v>
      </c>
      <c r="Q749" s="115">
        <f t="shared" si="209"/>
        <v>34.290489081292172</v>
      </c>
    </row>
    <row r="750" spans="1:17" x14ac:dyDescent="0.25">
      <c r="A750" s="114">
        <f t="shared" si="199"/>
        <v>44582</v>
      </c>
      <c r="B750">
        <f t="shared" ref="B750:B761" si="210">B749</f>
        <v>5.5</v>
      </c>
      <c r="C750" s="109">
        <f t="shared" ref="C750:C761" si="211">C749</f>
        <v>19.066666666666666</v>
      </c>
      <c r="D750" s="109">
        <f t="shared" ref="D750:D761" si="212">D749</f>
        <v>72.86666666666666</v>
      </c>
      <c r="E750" s="107">
        <f t="shared" ref="E750:E761" si="213">A750+H750-B750/24</f>
        <v>44582.378472222226</v>
      </c>
      <c r="F750" s="106">
        <f t="shared" si="200"/>
        <v>44582.301850345604</v>
      </c>
      <c r="G750" t="str">
        <f t="shared" ref="G750:G761" si="214">CHOOSE(WEEKDAY(E750),"Sunday","Monday","Tuesday","Wednesday","Thursday","Friday","Saturday")</f>
        <v>Friday</v>
      </c>
      <c r="H750" s="129">
        <v>0.60763888888887696</v>
      </c>
      <c r="I750" s="115">
        <f t="shared" si="201"/>
        <v>45.315136805584018</v>
      </c>
      <c r="J750" s="115">
        <f t="shared" si="202"/>
        <v>277.12853948948111</v>
      </c>
      <c r="K750" s="115">
        <f t="shared" si="203"/>
        <v>135.92229307597219</v>
      </c>
      <c r="L750" s="115">
        <f t="shared" si="204"/>
        <v>243.55077102618628</v>
      </c>
      <c r="M750" s="115">
        <f t="shared" si="205"/>
        <v>281.77127624200926</v>
      </c>
      <c r="N750" s="115">
        <f t="shared" si="206"/>
        <v>310.6490228032265</v>
      </c>
      <c r="O750" s="115">
        <f t="shared" si="207"/>
        <v>258.23550936745454</v>
      </c>
      <c r="P750" s="115">
        <f t="shared" si="208"/>
        <v>290.05848282235712</v>
      </c>
      <c r="Q750" s="115">
        <f t="shared" si="209"/>
        <v>34.290305081355989</v>
      </c>
    </row>
    <row r="751" spans="1:17" x14ac:dyDescent="0.25">
      <c r="A751" s="114">
        <f t="shared" si="199"/>
        <v>44582</v>
      </c>
      <c r="B751">
        <f t="shared" si="210"/>
        <v>5.5</v>
      </c>
      <c r="C751" s="109">
        <f t="shared" si="211"/>
        <v>19.066666666666666</v>
      </c>
      <c r="D751" s="109">
        <f t="shared" si="212"/>
        <v>72.86666666666666</v>
      </c>
      <c r="E751" s="107">
        <f t="shared" si="213"/>
        <v>44582.381944444445</v>
      </c>
      <c r="F751" s="106">
        <f t="shared" si="200"/>
        <v>44582.301850345604</v>
      </c>
      <c r="G751" t="str">
        <f t="shared" si="214"/>
        <v>Friday</v>
      </c>
      <c r="H751" s="129">
        <v>0.61111111111109895</v>
      </c>
      <c r="I751" s="115">
        <f t="shared" si="201"/>
        <v>46.559287129840882</v>
      </c>
      <c r="J751" s="115">
        <f t="shared" si="202"/>
        <v>277.13207185003614</v>
      </c>
      <c r="K751" s="115">
        <f t="shared" si="203"/>
        <v>135.96666965662965</v>
      </c>
      <c r="L751" s="115">
        <f t="shared" si="204"/>
        <v>243.55328260741547</v>
      </c>
      <c r="M751" s="115">
        <f t="shared" si="205"/>
        <v>281.76721820233587</v>
      </c>
      <c r="N751" s="115">
        <f t="shared" si="206"/>
        <v>310.6497906547001</v>
      </c>
      <c r="O751" s="115">
        <f t="shared" si="207"/>
        <v>258.23436731260949</v>
      </c>
      <c r="P751" s="115">
        <f t="shared" si="208"/>
        <v>290.05889198543997</v>
      </c>
      <c r="Q751" s="115">
        <f t="shared" si="209"/>
        <v>34.290121081370046</v>
      </c>
    </row>
    <row r="752" spans="1:17" x14ac:dyDescent="0.25">
      <c r="A752" s="114">
        <f t="shared" ref="A752:A761" si="215">A751</f>
        <v>44582</v>
      </c>
      <c r="B752">
        <f t="shared" si="210"/>
        <v>5.5</v>
      </c>
      <c r="C752" s="109">
        <f t="shared" si="211"/>
        <v>19.066666666666666</v>
      </c>
      <c r="D752" s="109">
        <f t="shared" si="212"/>
        <v>72.86666666666666</v>
      </c>
      <c r="E752" s="107">
        <f t="shared" si="213"/>
        <v>44582.385416666672</v>
      </c>
      <c r="F752" s="106">
        <f t="shared" si="200"/>
        <v>44582.301850345604</v>
      </c>
      <c r="G752" t="str">
        <f t="shared" si="214"/>
        <v>Friday</v>
      </c>
      <c r="H752" s="129">
        <v>0.61458333333332105</v>
      </c>
      <c r="I752" s="115">
        <f t="shared" si="201"/>
        <v>47.796080440473467</v>
      </c>
      <c r="J752" s="115">
        <f t="shared" si="202"/>
        <v>277.13560420860034</v>
      </c>
      <c r="K752" s="115">
        <f t="shared" si="203"/>
        <v>136.01104853558957</v>
      </c>
      <c r="L752" s="115">
        <f t="shared" si="204"/>
        <v>243.55579419615322</v>
      </c>
      <c r="M752" s="115">
        <f t="shared" si="205"/>
        <v>281.76315902600788</v>
      </c>
      <c r="N752" s="115">
        <f t="shared" si="206"/>
        <v>310.65055851830965</v>
      </c>
      <c r="O752" s="115">
        <f t="shared" si="207"/>
        <v>258.23322573026741</v>
      </c>
      <c r="P752" s="115">
        <f t="shared" si="208"/>
        <v>290.05930115059209</v>
      </c>
      <c r="Q752" s="115">
        <f t="shared" si="209"/>
        <v>34.289937081400744</v>
      </c>
    </row>
    <row r="753" spans="1:17" x14ac:dyDescent="0.25">
      <c r="A753" s="114">
        <f t="shared" si="215"/>
        <v>44582</v>
      </c>
      <c r="B753">
        <f t="shared" si="210"/>
        <v>5.5</v>
      </c>
      <c r="C753" s="109">
        <f t="shared" si="211"/>
        <v>19.066666666666666</v>
      </c>
      <c r="D753" s="109">
        <f t="shared" si="212"/>
        <v>72.86666666666666</v>
      </c>
      <c r="E753" s="107">
        <f t="shared" si="213"/>
        <v>44582.388888888891</v>
      </c>
      <c r="F753" s="106">
        <f t="shared" si="200"/>
        <v>44582.301850345604</v>
      </c>
      <c r="G753" t="str">
        <f t="shared" si="214"/>
        <v>Friday</v>
      </c>
      <c r="H753" s="129">
        <v>0.61805555555554303</v>
      </c>
      <c r="I753" s="115">
        <f t="shared" si="201"/>
        <v>49.025729817405868</v>
      </c>
      <c r="J753" s="115">
        <f t="shared" si="202"/>
        <v>277.13913656604001</v>
      </c>
      <c r="K753" s="115">
        <f t="shared" si="203"/>
        <v>136.05542972521999</v>
      </c>
      <c r="L753" s="115">
        <f t="shared" si="204"/>
        <v>243.55830579290711</v>
      </c>
      <c r="M753" s="115">
        <f t="shared" si="205"/>
        <v>281.75909871381918</v>
      </c>
      <c r="N753" s="115">
        <f t="shared" si="206"/>
        <v>310.65132639408995</v>
      </c>
      <c r="O753" s="115">
        <f t="shared" si="207"/>
        <v>258.23208462025019</v>
      </c>
      <c r="P753" s="115">
        <f t="shared" si="208"/>
        <v>290.05971031986445</v>
      </c>
      <c r="Q753" s="115">
        <f t="shared" si="209"/>
        <v>34.289753081448005</v>
      </c>
    </row>
    <row r="754" spans="1:17" x14ac:dyDescent="0.25">
      <c r="A754" s="114">
        <f t="shared" si="215"/>
        <v>44582</v>
      </c>
      <c r="B754">
        <f t="shared" si="210"/>
        <v>5.5</v>
      </c>
      <c r="C754" s="109">
        <f t="shared" si="211"/>
        <v>19.066666666666666</v>
      </c>
      <c r="D754" s="109">
        <f t="shared" si="212"/>
        <v>72.86666666666666</v>
      </c>
      <c r="E754" s="107">
        <f t="shared" si="213"/>
        <v>44582.392361111117</v>
      </c>
      <c r="F754" s="106">
        <f t="shared" si="200"/>
        <v>44582.301850345604</v>
      </c>
      <c r="G754" t="str">
        <f t="shared" si="214"/>
        <v>Friday</v>
      </c>
      <c r="H754" s="129">
        <v>0.62152777777776502</v>
      </c>
      <c r="I754" s="115">
        <f t="shared" si="201"/>
        <v>50.248450437572345</v>
      </c>
      <c r="J754" s="115">
        <f t="shared" si="202"/>
        <v>277.14266892123186</v>
      </c>
      <c r="K754" s="115">
        <f t="shared" si="203"/>
        <v>136.09981321412175</v>
      </c>
      <c r="L754" s="115">
        <f t="shared" si="204"/>
        <v>243.56081739682276</v>
      </c>
      <c r="M754" s="115">
        <f t="shared" si="205"/>
        <v>281.75503726795802</v>
      </c>
      <c r="N754" s="115">
        <f t="shared" si="206"/>
        <v>310.65209428136603</v>
      </c>
      <c r="O754" s="115">
        <f t="shared" si="207"/>
        <v>258.23094398283575</v>
      </c>
      <c r="P754" s="115">
        <f t="shared" si="208"/>
        <v>290.06011949202673</v>
      </c>
      <c r="Q754" s="115">
        <f t="shared" si="209"/>
        <v>34.289569081478653</v>
      </c>
    </row>
    <row r="755" spans="1:17" x14ac:dyDescent="0.25">
      <c r="A755" s="114">
        <f t="shared" si="215"/>
        <v>44582</v>
      </c>
      <c r="B755">
        <f t="shared" si="210"/>
        <v>5.5</v>
      </c>
      <c r="C755" s="109">
        <f t="shared" si="211"/>
        <v>19.066666666666666</v>
      </c>
      <c r="D755" s="109">
        <f t="shared" si="212"/>
        <v>72.86666666666666</v>
      </c>
      <c r="E755" s="107">
        <f t="shared" si="213"/>
        <v>44582.395833333336</v>
      </c>
      <c r="F755" s="106">
        <f t="shared" si="200"/>
        <v>44582.301850345604</v>
      </c>
      <c r="G755" t="str">
        <f t="shared" si="214"/>
        <v>Friday</v>
      </c>
      <c r="H755" s="129">
        <v>0.62499999999998701</v>
      </c>
      <c r="I755" s="115">
        <f t="shared" si="201"/>
        <v>51.464460386624381</v>
      </c>
      <c r="J755" s="115">
        <f t="shared" si="202"/>
        <v>277.14620127542764</v>
      </c>
      <c r="K755" s="115">
        <f t="shared" si="203"/>
        <v>136.14419901470185</v>
      </c>
      <c r="L755" s="115">
        <f t="shared" si="204"/>
        <v>243.56332900893682</v>
      </c>
      <c r="M755" s="115">
        <f t="shared" si="205"/>
        <v>281.75097468886611</v>
      </c>
      <c r="N755" s="115">
        <f t="shared" si="206"/>
        <v>310.65286218099197</v>
      </c>
      <c r="O755" s="115">
        <f t="shared" si="207"/>
        <v>258.22980381767667</v>
      </c>
      <c r="P755" s="115">
        <f t="shared" si="208"/>
        <v>290.06052866844254</v>
      </c>
      <c r="Q755" s="115">
        <f t="shared" si="209"/>
        <v>34.289385081492725</v>
      </c>
    </row>
    <row r="756" spans="1:17" x14ac:dyDescent="0.25">
      <c r="A756" s="114">
        <f t="shared" si="215"/>
        <v>44582</v>
      </c>
      <c r="B756">
        <f t="shared" si="210"/>
        <v>5.5</v>
      </c>
      <c r="C756" s="109">
        <f t="shared" si="211"/>
        <v>19.066666666666666</v>
      </c>
      <c r="D756" s="109">
        <f t="shared" si="212"/>
        <v>72.86666666666666</v>
      </c>
      <c r="E756" s="107">
        <f t="shared" si="213"/>
        <v>44582.399305555555</v>
      </c>
      <c r="F756" s="106">
        <f t="shared" si="200"/>
        <v>44582.301850345604</v>
      </c>
      <c r="G756" t="str">
        <f t="shared" si="214"/>
        <v>Friday</v>
      </c>
      <c r="H756" s="129">
        <v>0.628472222222209</v>
      </c>
      <c r="I756" s="115">
        <f t="shared" si="201"/>
        <v>52.673978864991973</v>
      </c>
      <c r="J756" s="115">
        <f t="shared" si="202"/>
        <v>277.14973362757019</v>
      </c>
      <c r="K756" s="115">
        <f t="shared" si="203"/>
        <v>136.18858711549811</v>
      </c>
      <c r="L756" s="115">
        <f t="shared" si="204"/>
        <v>243.56584062845013</v>
      </c>
      <c r="M756" s="115">
        <f t="shared" si="205"/>
        <v>281.74691097937375</v>
      </c>
      <c r="N756" s="115">
        <f t="shared" si="206"/>
        <v>310.65363009258164</v>
      </c>
      <c r="O756" s="115">
        <f t="shared" si="207"/>
        <v>258.22866412540856</v>
      </c>
      <c r="P756" s="115">
        <f t="shared" si="208"/>
        <v>290.06093784772872</v>
      </c>
      <c r="Q756" s="115">
        <f t="shared" si="209"/>
        <v>34.28920108155652</v>
      </c>
    </row>
    <row r="757" spans="1:17" x14ac:dyDescent="0.25">
      <c r="A757" s="114">
        <f t="shared" si="215"/>
        <v>44582</v>
      </c>
      <c r="B757">
        <f t="shared" si="210"/>
        <v>5.5</v>
      </c>
      <c r="C757" s="109">
        <f t="shared" si="211"/>
        <v>19.066666666666666</v>
      </c>
      <c r="D757" s="109">
        <f t="shared" si="212"/>
        <v>72.86666666666666</v>
      </c>
      <c r="E757" s="107">
        <f t="shared" si="213"/>
        <v>44582.402777777781</v>
      </c>
      <c r="F757" s="106">
        <f t="shared" si="200"/>
        <v>44582.301850345604</v>
      </c>
      <c r="G757" t="str">
        <f t="shared" si="214"/>
        <v>Friday</v>
      </c>
      <c r="H757" s="129">
        <v>0.63194444444443099</v>
      </c>
      <c r="I757" s="115">
        <f t="shared" si="201"/>
        <v>53.877227049454291</v>
      </c>
      <c r="J757" s="115">
        <f t="shared" si="202"/>
        <v>277.1532659785878</v>
      </c>
      <c r="K757" s="115">
        <f t="shared" si="203"/>
        <v>136.23297752889144</v>
      </c>
      <c r="L757" s="115">
        <f t="shared" si="204"/>
        <v>243.56835225597811</v>
      </c>
      <c r="M757" s="115">
        <f t="shared" si="205"/>
        <v>281.74284613959969</v>
      </c>
      <c r="N757" s="115">
        <f t="shared" si="206"/>
        <v>310.65439801629373</v>
      </c>
      <c r="O757" s="115">
        <f t="shared" si="207"/>
        <v>258.22752490545275</v>
      </c>
      <c r="P757" s="115">
        <f t="shared" si="208"/>
        <v>290.06134703059354</v>
      </c>
      <c r="Q757" s="115">
        <f t="shared" si="209"/>
        <v>34.289017081570613</v>
      </c>
    </row>
    <row r="758" spans="1:17" x14ac:dyDescent="0.25">
      <c r="A758" s="114">
        <f t="shared" si="215"/>
        <v>44582</v>
      </c>
      <c r="B758">
        <f t="shared" si="210"/>
        <v>5.5</v>
      </c>
      <c r="C758" s="109">
        <f t="shared" si="211"/>
        <v>19.066666666666666</v>
      </c>
      <c r="D758" s="109">
        <f t="shared" si="212"/>
        <v>72.86666666666666</v>
      </c>
      <c r="E758" s="107">
        <f t="shared" si="213"/>
        <v>44582.40625</v>
      </c>
      <c r="F758" s="106">
        <f t="shared" si="200"/>
        <v>44582.301850345604</v>
      </c>
      <c r="G758" t="str">
        <f t="shared" si="214"/>
        <v>Friday</v>
      </c>
      <c r="H758" s="129">
        <v>0.63541666666665297</v>
      </c>
      <c r="I758" s="115">
        <f t="shared" si="201"/>
        <v>55.074426374876978</v>
      </c>
      <c r="J758" s="115">
        <f t="shared" si="202"/>
        <v>277.15679832760611</v>
      </c>
      <c r="K758" s="115">
        <f t="shared" si="203"/>
        <v>136.27737024358328</v>
      </c>
      <c r="L758" s="115">
        <f t="shared" si="204"/>
        <v>243.57086389101417</v>
      </c>
      <c r="M758" s="115">
        <f t="shared" si="205"/>
        <v>281.73878017232568</v>
      </c>
      <c r="N758" s="115">
        <f t="shared" si="206"/>
        <v>310.6551659521117</v>
      </c>
      <c r="O758" s="115">
        <f t="shared" si="207"/>
        <v>258.22638615846648</v>
      </c>
      <c r="P758" s="115">
        <f t="shared" si="208"/>
        <v>290.06175621695451</v>
      </c>
      <c r="Q758" s="115">
        <f t="shared" si="209"/>
        <v>34.288833081617852</v>
      </c>
    </row>
    <row r="759" spans="1:17" x14ac:dyDescent="0.25">
      <c r="A759" s="114">
        <f t="shared" si="215"/>
        <v>44582</v>
      </c>
      <c r="B759">
        <f t="shared" si="210"/>
        <v>5.5</v>
      </c>
      <c r="C759" s="109">
        <f t="shared" si="211"/>
        <v>19.066666666666666</v>
      </c>
      <c r="D759" s="109">
        <f t="shared" si="212"/>
        <v>72.86666666666666</v>
      </c>
      <c r="E759" s="107">
        <f t="shared" si="213"/>
        <v>44582.409722222226</v>
      </c>
      <c r="F759" s="106">
        <f t="shared" si="200"/>
        <v>44582.301850345604</v>
      </c>
      <c r="G759" t="str">
        <f t="shared" si="214"/>
        <v>Friday</v>
      </c>
      <c r="H759" s="129">
        <v>0.63888888888887496</v>
      </c>
      <c r="I759" s="115">
        <f t="shared" si="201"/>
        <v>56.265799281379145</v>
      </c>
      <c r="J759" s="115">
        <f t="shared" si="202"/>
        <v>277.16033067490019</v>
      </c>
      <c r="K759" s="115">
        <f t="shared" si="203"/>
        <v>136.32176526590825</v>
      </c>
      <c r="L759" s="115">
        <f t="shared" si="204"/>
        <v>243.57337553350217</v>
      </c>
      <c r="M759" s="115">
        <f t="shared" si="205"/>
        <v>281.73471307875428</v>
      </c>
      <c r="N759" s="115">
        <f t="shared" si="206"/>
        <v>310.6559338999034</v>
      </c>
      <c r="O759" s="115">
        <f t="shared" si="207"/>
        <v>258.22524788408464</v>
      </c>
      <c r="P759" s="115">
        <f t="shared" si="208"/>
        <v>290.0621654065468</v>
      </c>
      <c r="Q759" s="115">
        <f t="shared" si="209"/>
        <v>34.288649081681648</v>
      </c>
    </row>
    <row r="760" spans="1:17" x14ac:dyDescent="0.25">
      <c r="A760" s="114">
        <f t="shared" si="215"/>
        <v>44582</v>
      </c>
      <c r="B760">
        <f t="shared" si="210"/>
        <v>5.5</v>
      </c>
      <c r="C760" s="109">
        <f t="shared" si="211"/>
        <v>19.066666666666666</v>
      </c>
      <c r="D760" s="109">
        <f t="shared" si="212"/>
        <v>72.86666666666666</v>
      </c>
      <c r="E760" s="107">
        <f t="shared" si="213"/>
        <v>44582.413194444445</v>
      </c>
      <c r="F760" s="106">
        <f t="shared" si="200"/>
        <v>44582.301850345604</v>
      </c>
      <c r="G760" t="str">
        <f t="shared" si="214"/>
        <v>Friday</v>
      </c>
      <c r="H760" s="129">
        <v>0.64236111111109695</v>
      </c>
      <c r="I760" s="115">
        <f t="shared" si="201"/>
        <v>57.451568362207226</v>
      </c>
      <c r="J760" s="115">
        <f t="shared" si="202"/>
        <v>277.1638630211603</v>
      </c>
      <c r="K760" s="115">
        <f t="shared" si="203"/>
        <v>136.36616260230679</v>
      </c>
      <c r="L760" s="115">
        <f t="shared" si="204"/>
        <v>243.57588718422065</v>
      </c>
      <c r="M760" s="115">
        <f t="shared" si="205"/>
        <v>281.73064485958042</v>
      </c>
      <c r="N760" s="115">
        <f t="shared" si="206"/>
        <v>310.65670185975745</v>
      </c>
      <c r="O760" s="115">
        <f t="shared" si="207"/>
        <v>258.22411008248781</v>
      </c>
      <c r="P760" s="115">
        <f t="shared" si="208"/>
        <v>290.06257460019799</v>
      </c>
      <c r="Q760" s="115">
        <f t="shared" si="209"/>
        <v>34.288465081679192</v>
      </c>
    </row>
    <row r="761" spans="1:17" x14ac:dyDescent="0.25">
      <c r="A761" s="114">
        <f t="shared" si="215"/>
        <v>44582</v>
      </c>
      <c r="B761">
        <f t="shared" si="210"/>
        <v>5.5</v>
      </c>
      <c r="C761" s="109">
        <f t="shared" si="211"/>
        <v>19.066666666666666</v>
      </c>
      <c r="D761" s="109">
        <f t="shared" si="212"/>
        <v>72.86666666666666</v>
      </c>
      <c r="E761" s="107">
        <f t="shared" si="213"/>
        <v>44582.416666666672</v>
      </c>
      <c r="F761" s="106">
        <f t="shared" si="200"/>
        <v>44582.301850345604</v>
      </c>
      <c r="G761" t="str">
        <f t="shared" si="214"/>
        <v>Friday</v>
      </c>
      <c r="H761" s="129">
        <v>0.64583333333331905</v>
      </c>
      <c r="I761" s="115">
        <f t="shared" si="201"/>
        <v>58.631955558078985</v>
      </c>
      <c r="J761" s="115">
        <f t="shared" si="202"/>
        <v>277.16739536533771</v>
      </c>
      <c r="K761" s="115">
        <f t="shared" si="203"/>
        <v>136.41056224144489</v>
      </c>
      <c r="L761" s="115">
        <f t="shared" si="204"/>
        <v>243.57839884226823</v>
      </c>
      <c r="M761" s="115">
        <f t="shared" si="205"/>
        <v>281.72657551743089</v>
      </c>
      <c r="N761" s="115">
        <f t="shared" si="206"/>
        <v>310.65746983137234</v>
      </c>
      <c r="O761" s="115">
        <f t="shared" si="207"/>
        <v>258.2229727537142</v>
      </c>
      <c r="P761" s="115">
        <f t="shared" si="208"/>
        <v>290.06298379636445</v>
      </c>
      <c r="Q761" s="115">
        <f t="shared" si="209"/>
        <v>34.288281081726453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P32"/>
  <sheetViews>
    <sheetView workbookViewId="0">
      <selection activeCell="A24" sqref="A24"/>
    </sheetView>
  </sheetViews>
  <sheetFormatPr defaultColWidth="9.109375" defaultRowHeight="13.2" x14ac:dyDescent="0.25"/>
  <cols>
    <col min="1" max="1" width="19" style="12" bestFit="1" customWidth="1"/>
    <col min="2" max="3" width="5.6640625" style="69" customWidth="1"/>
    <col min="4" max="4" width="5.6640625" style="70" customWidth="1"/>
    <col min="5" max="5" width="6.109375" style="71" bestFit="1" customWidth="1"/>
    <col min="6" max="6" width="12.5546875" style="60" bestFit="1" customWidth="1"/>
    <col min="7" max="7" width="12.5546875" style="73" bestFit="1" customWidth="1"/>
    <col min="8" max="8" width="7.109375" style="20" bestFit="1" customWidth="1"/>
    <col min="9" max="9" width="7.109375" style="12" bestFit="1" customWidth="1"/>
    <col min="10" max="10" width="11.5546875" style="13" customWidth="1"/>
    <col min="11" max="11" width="13.44140625" style="12" bestFit="1" customWidth="1"/>
    <col min="12" max="12" width="10.6640625" style="13" customWidth="1"/>
    <col min="13" max="14" width="3.5546875" style="12" bestFit="1" customWidth="1"/>
    <col min="15" max="15" width="9.109375" style="12"/>
    <col min="16" max="16" width="30.6640625" style="21" bestFit="1" customWidth="1"/>
    <col min="17" max="16384" width="9.109375" style="12"/>
  </cols>
  <sheetData>
    <row r="1" spans="1:16" x14ac:dyDescent="0.25">
      <c r="B1" s="61" t="s">
        <v>51</v>
      </c>
    </row>
    <row r="2" spans="1:16" x14ac:dyDescent="0.25">
      <c r="A2" s="6" t="s">
        <v>30</v>
      </c>
      <c r="B2" s="62">
        <v>9</v>
      </c>
      <c r="C2" s="62">
        <v>1</v>
      </c>
      <c r="D2" s="62">
        <v>12</v>
      </c>
      <c r="E2" s="62">
        <v>1</v>
      </c>
      <c r="F2" s="100"/>
      <c r="H2" s="10"/>
      <c r="I2" s="7"/>
      <c r="J2" s="9"/>
      <c r="K2" s="7"/>
      <c r="L2" s="9"/>
      <c r="M2" s="7"/>
      <c r="N2" s="7"/>
      <c r="O2" s="7"/>
      <c r="P2" s="11"/>
    </row>
    <row r="3" spans="1:16" ht="14.4" x14ac:dyDescent="0.3">
      <c r="A3" s="49" t="s">
        <v>27</v>
      </c>
      <c r="B3" s="63" t="s">
        <v>28</v>
      </c>
      <c r="C3" s="63" t="s">
        <v>10</v>
      </c>
      <c r="D3" s="64" t="s">
        <v>45</v>
      </c>
      <c r="E3" s="65" t="s">
        <v>46</v>
      </c>
      <c r="F3" s="59" t="s">
        <v>47</v>
      </c>
      <c r="G3" s="72" t="s">
        <v>48</v>
      </c>
      <c r="H3" s="50" t="s">
        <v>10</v>
      </c>
      <c r="I3" s="91" t="s">
        <v>31</v>
      </c>
      <c r="K3" s="12" t="s">
        <v>73</v>
      </c>
      <c r="L3" s="13" t="s">
        <v>74</v>
      </c>
      <c r="M3" s="120" t="s">
        <v>91</v>
      </c>
      <c r="N3" s="7" t="s">
        <v>74</v>
      </c>
      <c r="O3" s="7"/>
      <c r="P3" s="11"/>
    </row>
    <row r="4" spans="1:16" x14ac:dyDescent="0.25">
      <c r="A4" s="1" t="s">
        <v>9</v>
      </c>
      <c r="B4" s="66">
        <f ca="1">degree(G4)</f>
        <v>22</v>
      </c>
      <c r="C4" s="66" t="str">
        <f ca="1">Rasi(G4)</f>
        <v>Cn</v>
      </c>
      <c r="D4" s="67">
        <f ca="1">Minutes(G4)</f>
        <v>51</v>
      </c>
      <c r="E4" s="68">
        <f ca="1">seconds(G4)</f>
        <v>18.07</v>
      </c>
      <c r="F4" s="101">
        <f ca="1">Basic!F13</f>
        <v>37.989398318698321</v>
      </c>
      <c r="G4" s="99">
        <f ca="1">divplanetlongitude(divplanetlongitude(F4,B2,C2),D2,E2)</f>
        <v>112.85501841941831</v>
      </c>
      <c r="H4" s="95">
        <f ca="1">rasinum(G4)</f>
        <v>4</v>
      </c>
      <c r="I4" s="95">
        <f ca="1">HouseNum(G4,$G$4)</f>
        <v>1</v>
      </c>
      <c r="J4" s="13">
        <f t="shared" ref="J4:J13" ca="1" si="0">divplanetlongitude(F4,9,1)</f>
        <v>341.90458486828487</v>
      </c>
      <c r="K4" s="12">
        <f ca="1">MOD(F4,30)</f>
        <v>7.9893983186983206</v>
      </c>
      <c r="L4" s="13">
        <f t="shared" ref="L4:L13" ca="1" si="1">MOD(J4,30)</f>
        <v>11.904584868284871</v>
      </c>
      <c r="M4" s="14">
        <f ca="1">degree(K4)</f>
        <v>7</v>
      </c>
      <c r="N4" s="14">
        <f ca="1">degree(L4)</f>
        <v>11</v>
      </c>
      <c r="O4" s="16"/>
      <c r="P4" s="17"/>
    </row>
    <row r="5" spans="1:16" x14ac:dyDescent="0.25">
      <c r="A5" s="1" t="s">
        <v>2</v>
      </c>
      <c r="B5" s="66">
        <f ca="1">degree(G5)</f>
        <v>25</v>
      </c>
      <c r="C5" s="66" t="str">
        <f t="shared" ref="C5:C13" ca="1" si="2">Rasi(G5)</f>
        <v>Le</v>
      </c>
      <c r="D5" s="67">
        <f t="shared" ref="D5:D13" ca="1" si="3">Minutes(G5)</f>
        <v>58</v>
      </c>
      <c r="E5" s="68">
        <f t="shared" ref="E5:E13" ca="1" si="4">seconds(G5)</f>
        <v>45.76</v>
      </c>
      <c r="F5" s="101">
        <f ca="1">Basic!F14</f>
        <v>117.98968842049243</v>
      </c>
      <c r="G5" s="99">
        <f t="shared" ref="G5:G13" ca="1" si="5">divplanetlongitude(F5,2,5)</f>
        <v>145.97937684098486</v>
      </c>
      <c r="H5" s="95">
        <f t="shared" ref="H5:H13" ca="1" si="6">rasinum(G5)</f>
        <v>5</v>
      </c>
      <c r="I5" s="95">
        <f t="shared" ref="I5:I13" ca="1" si="7">HouseNum(G5,$G$4)</f>
        <v>2</v>
      </c>
      <c r="J5" s="13">
        <f t="shared" ca="1" si="0"/>
        <v>341.90719578443185</v>
      </c>
      <c r="K5" s="12">
        <f ca="1">MOD(F5,30)</f>
        <v>27.989688420492428</v>
      </c>
      <c r="L5" s="13">
        <f t="shared" ca="1" si="1"/>
        <v>11.907195784431849</v>
      </c>
      <c r="M5" s="14">
        <f ca="1">degree(K5)</f>
        <v>27</v>
      </c>
      <c r="N5" s="14">
        <f ca="1">degree(L5)</f>
        <v>11</v>
      </c>
      <c r="O5" s="16"/>
      <c r="P5" s="17"/>
    </row>
    <row r="6" spans="1:16" x14ac:dyDescent="0.25">
      <c r="A6" s="1" t="s">
        <v>3</v>
      </c>
      <c r="B6" s="66">
        <f t="shared" ref="B6:B13" ca="1" si="8">degree(G6)</f>
        <v>7</v>
      </c>
      <c r="C6" s="66" t="str">
        <f t="shared" ca="1" si="2"/>
        <v>Cn</v>
      </c>
      <c r="D6" s="67">
        <f t="shared" ca="1" si="3"/>
        <v>59</v>
      </c>
      <c r="E6" s="68">
        <f t="shared" ca="1" si="4"/>
        <v>16.91</v>
      </c>
      <c r="F6" s="101">
        <f ca="1">Basic!F15</f>
        <v>93.994014821954053</v>
      </c>
      <c r="G6" s="99">
        <f t="shared" ca="1" si="5"/>
        <v>97.988029643908106</v>
      </c>
      <c r="H6" s="95">
        <f t="shared" ca="1" si="6"/>
        <v>4</v>
      </c>
      <c r="I6" s="95">
        <f t="shared" ca="1" si="7"/>
        <v>1</v>
      </c>
      <c r="J6" s="13">
        <f t="shared" ca="1" si="0"/>
        <v>125.94613339758645</v>
      </c>
      <c r="K6" s="12">
        <f t="shared" ref="K6:K13" ca="1" si="9">MOD(F6,30)</f>
        <v>3.9940148219540532</v>
      </c>
      <c r="L6" s="13">
        <f t="shared" ca="1" si="1"/>
        <v>5.9461333975864505</v>
      </c>
      <c r="M6" s="14">
        <f t="shared" ref="M6:M13" ca="1" si="10">degree(K6)</f>
        <v>3</v>
      </c>
      <c r="N6" s="14">
        <f t="shared" ref="N6:N13" ca="1" si="11">degree(L6)</f>
        <v>5</v>
      </c>
      <c r="O6" s="16"/>
      <c r="P6" s="17"/>
    </row>
    <row r="7" spans="1:16" x14ac:dyDescent="0.25">
      <c r="A7" s="1" t="s">
        <v>16</v>
      </c>
      <c r="B7" s="66">
        <f t="shared" ca="1" si="8"/>
        <v>14</v>
      </c>
      <c r="C7" s="66" t="str">
        <f t="shared" ca="1" si="2"/>
        <v>Vi</v>
      </c>
      <c r="D7" s="67">
        <f t="shared" ca="1" si="3"/>
        <v>54</v>
      </c>
      <c r="E7" s="68">
        <f t="shared" ca="1" si="4"/>
        <v>48.14</v>
      </c>
      <c r="F7" s="101">
        <f ca="1">Basic!F16</f>
        <v>67.456685439201664</v>
      </c>
      <c r="G7" s="99">
        <f t="shared" ca="1" si="5"/>
        <v>164.91337087840333</v>
      </c>
      <c r="H7" s="95">
        <f t="shared" ca="1" si="6"/>
        <v>6</v>
      </c>
      <c r="I7" s="95">
        <f t="shared" ca="1" si="7"/>
        <v>3</v>
      </c>
      <c r="J7" s="13">
        <f t="shared" ca="1" si="0"/>
        <v>247.11016895281503</v>
      </c>
      <c r="K7" s="12">
        <f t="shared" ca="1" si="9"/>
        <v>7.4566854392016637</v>
      </c>
      <c r="L7" s="13">
        <f t="shared" ca="1" si="1"/>
        <v>7.1101689528150303</v>
      </c>
      <c r="M7" s="14">
        <f t="shared" ca="1" si="10"/>
        <v>7</v>
      </c>
      <c r="N7" s="14">
        <f t="shared" ca="1" si="11"/>
        <v>7</v>
      </c>
      <c r="O7" s="16"/>
      <c r="P7" s="17"/>
    </row>
    <row r="8" spans="1:16" x14ac:dyDescent="0.25">
      <c r="A8" s="1" t="s">
        <v>4</v>
      </c>
      <c r="B8" s="66">
        <f t="shared" ca="1" si="8"/>
        <v>27</v>
      </c>
      <c r="C8" s="66" t="str">
        <f t="shared" ca="1" si="2"/>
        <v>Cn</v>
      </c>
      <c r="D8" s="67">
        <f t="shared" ca="1" si="3"/>
        <v>21</v>
      </c>
      <c r="E8" s="68">
        <f t="shared" ca="1" si="4"/>
        <v>3.82</v>
      </c>
      <c r="F8" s="101">
        <f ca="1">Basic!F17</f>
        <v>103.67553061394177</v>
      </c>
      <c r="G8" s="99">
        <f t="shared" ca="1" si="5"/>
        <v>117.35106122788355</v>
      </c>
      <c r="H8" s="95">
        <f t="shared" ca="1" si="6"/>
        <v>4</v>
      </c>
      <c r="I8" s="95">
        <f t="shared" ca="1" si="7"/>
        <v>1</v>
      </c>
      <c r="J8" s="13">
        <f t="shared" ca="1" si="0"/>
        <v>213.07977552547601</v>
      </c>
      <c r="K8" s="12">
        <f t="shared" ca="1" si="9"/>
        <v>13.675530613941774</v>
      </c>
      <c r="L8" s="13">
        <f t="shared" ca="1" si="1"/>
        <v>3.0797755254760091</v>
      </c>
      <c r="M8" s="14">
        <f t="shared" ca="1" si="10"/>
        <v>13</v>
      </c>
      <c r="N8" s="14">
        <f t="shared" ca="1" si="11"/>
        <v>3</v>
      </c>
      <c r="O8" s="16"/>
      <c r="P8" s="17"/>
    </row>
    <row r="9" spans="1:16" x14ac:dyDescent="0.25">
      <c r="A9" s="1" t="s">
        <v>17</v>
      </c>
      <c r="B9" s="66">
        <f t="shared" ca="1" si="8"/>
        <v>21</v>
      </c>
      <c r="C9" s="66" t="str">
        <f t="shared" ca="1" si="2"/>
        <v>Ta</v>
      </c>
      <c r="D9" s="67">
        <f t="shared" ca="1" si="3"/>
        <v>45</v>
      </c>
      <c r="E9" s="68">
        <f t="shared" ca="1" si="4"/>
        <v>19.89</v>
      </c>
      <c r="F9" s="101">
        <f ca="1">Basic!F18</f>
        <v>205.87776232669091</v>
      </c>
      <c r="G9" s="99">
        <f t="shared" ca="1" si="5"/>
        <v>51.755524653381798</v>
      </c>
      <c r="H9" s="95">
        <f t="shared" ca="1" si="6"/>
        <v>2</v>
      </c>
      <c r="I9" s="95">
        <f t="shared" ca="1" si="7"/>
        <v>11</v>
      </c>
      <c r="J9" s="13">
        <f t="shared" ca="1" si="0"/>
        <v>52.899860940218105</v>
      </c>
      <c r="K9" s="12">
        <f t="shared" ca="1" si="9"/>
        <v>25.877762326690913</v>
      </c>
      <c r="L9" s="13">
        <f t="shared" ca="1" si="1"/>
        <v>22.899860940218105</v>
      </c>
      <c r="M9" s="14">
        <f t="shared" ca="1" si="10"/>
        <v>25</v>
      </c>
      <c r="N9" s="14">
        <f t="shared" ca="1" si="11"/>
        <v>22</v>
      </c>
      <c r="O9" s="16"/>
      <c r="P9" s="17"/>
    </row>
    <row r="10" spans="1:16" x14ac:dyDescent="0.25">
      <c r="A10" s="1" t="s">
        <v>5</v>
      </c>
      <c r="B10" s="66">
        <f t="shared" ca="1" si="8"/>
        <v>15</v>
      </c>
      <c r="C10" s="66" t="str">
        <f t="shared" ca="1" si="2"/>
        <v>Le</v>
      </c>
      <c r="D10" s="67">
        <f t="shared" ca="1" si="3"/>
        <v>7</v>
      </c>
      <c r="E10" s="68">
        <f t="shared" ca="1" si="4"/>
        <v>26.86</v>
      </c>
      <c r="F10" s="101">
        <f ca="1">Basic!F19</f>
        <v>112.5620637049326</v>
      </c>
      <c r="G10" s="99">
        <f t="shared" ca="1" si="5"/>
        <v>135.1241274098652</v>
      </c>
      <c r="H10" s="95">
        <f t="shared" ca="1" si="6"/>
        <v>5</v>
      </c>
      <c r="I10" s="95">
        <f t="shared" ca="1" si="7"/>
        <v>2</v>
      </c>
      <c r="J10" s="13">
        <f t="shared" ca="1" si="0"/>
        <v>293.05857334439344</v>
      </c>
      <c r="K10" s="12">
        <f t="shared" ca="1" si="9"/>
        <v>22.562063704932598</v>
      </c>
      <c r="L10" s="13">
        <f t="shared" ca="1" si="1"/>
        <v>23.058573344393437</v>
      </c>
      <c r="M10" s="14">
        <f t="shared" ca="1" si="10"/>
        <v>22</v>
      </c>
      <c r="N10" s="14">
        <f t="shared" ca="1" si="11"/>
        <v>23</v>
      </c>
      <c r="O10" s="16"/>
      <c r="P10" s="17"/>
    </row>
    <row r="11" spans="1:16" x14ac:dyDescent="0.25">
      <c r="A11" s="1" t="s">
        <v>6</v>
      </c>
      <c r="B11" s="66">
        <f t="shared" ca="1" si="8"/>
        <v>10</v>
      </c>
      <c r="C11" s="66" t="str">
        <f t="shared" ca="1" si="2"/>
        <v>Le</v>
      </c>
      <c r="D11" s="67">
        <f t="shared" ca="1" si="3"/>
        <v>56</v>
      </c>
      <c r="E11" s="68">
        <f t="shared" ca="1" si="4"/>
        <v>46.35</v>
      </c>
      <c r="F11" s="101">
        <f ca="1">Basic!F20</f>
        <v>110.47310370831586</v>
      </c>
      <c r="G11" s="99">
        <f t="shared" ca="1" si="5"/>
        <v>130.94620741663172</v>
      </c>
      <c r="H11" s="95">
        <f t="shared" ca="1" si="6"/>
        <v>5</v>
      </c>
      <c r="I11" s="95">
        <f t="shared" ca="1" si="7"/>
        <v>2</v>
      </c>
      <c r="J11" s="13">
        <f t="shared" ca="1" si="0"/>
        <v>274.25793337484271</v>
      </c>
      <c r="K11" s="12">
        <f t="shared" ca="1" si="9"/>
        <v>20.473103708315861</v>
      </c>
      <c r="L11" s="13">
        <f t="shared" ca="1" si="1"/>
        <v>4.2579333748427075</v>
      </c>
      <c r="M11" s="14">
        <f t="shared" ca="1" si="10"/>
        <v>20</v>
      </c>
      <c r="N11" s="14">
        <f t="shared" ca="1" si="11"/>
        <v>4</v>
      </c>
      <c r="O11" s="16"/>
      <c r="P11" s="17"/>
    </row>
    <row r="12" spans="1:16" x14ac:dyDescent="0.25">
      <c r="A12" s="1" t="s">
        <v>7</v>
      </c>
      <c r="B12" s="66">
        <f t="shared" ca="1" si="8"/>
        <v>10</v>
      </c>
      <c r="C12" s="66" t="str">
        <f t="shared" ca="1" si="2"/>
        <v>Ta</v>
      </c>
      <c r="D12" s="67">
        <f t="shared" ca="1" si="3"/>
        <v>8</v>
      </c>
      <c r="E12" s="68">
        <f t="shared" ca="1" si="4"/>
        <v>21.75</v>
      </c>
      <c r="F12" s="101">
        <f ca="1">Basic!F21</f>
        <v>35.069687925978194</v>
      </c>
      <c r="G12" s="99">
        <f t="shared" ca="1" si="5"/>
        <v>40.139375851956395</v>
      </c>
      <c r="H12" s="95">
        <f t="shared" ca="1" si="6"/>
        <v>2</v>
      </c>
      <c r="I12" s="95">
        <f t="shared" ca="1" si="7"/>
        <v>11</v>
      </c>
      <c r="J12" s="13">
        <f t="shared" ca="1" si="0"/>
        <v>315.62719133380375</v>
      </c>
      <c r="K12" s="12">
        <f t="shared" ca="1" si="9"/>
        <v>5.0696879259781937</v>
      </c>
      <c r="L12" s="13">
        <f t="shared" ca="1" si="1"/>
        <v>15.627191333803751</v>
      </c>
      <c r="M12" s="14">
        <f t="shared" ca="1" si="10"/>
        <v>5</v>
      </c>
      <c r="N12" s="14">
        <f t="shared" ca="1" si="11"/>
        <v>15</v>
      </c>
      <c r="O12" s="16"/>
      <c r="P12" s="17"/>
    </row>
    <row r="13" spans="1:16" x14ac:dyDescent="0.25">
      <c r="A13" s="1" t="s">
        <v>8</v>
      </c>
      <c r="B13" s="66">
        <f t="shared" ca="1" si="8"/>
        <v>10</v>
      </c>
      <c r="C13" s="66" t="str">
        <f t="shared" ca="1" si="2"/>
        <v>Ar</v>
      </c>
      <c r="D13" s="67">
        <f t="shared" ca="1" si="3"/>
        <v>8</v>
      </c>
      <c r="E13" s="68">
        <f t="shared" ca="1" si="4"/>
        <v>21.75</v>
      </c>
      <c r="F13" s="101">
        <f ca="1">Basic!F22</f>
        <v>215.0696879259782</v>
      </c>
      <c r="G13" s="99">
        <f t="shared" ca="1" si="5"/>
        <v>10.13937585195638</v>
      </c>
      <c r="H13" s="95">
        <f t="shared" ca="1" si="6"/>
        <v>1</v>
      </c>
      <c r="I13" s="95">
        <f t="shared" ca="1" si="7"/>
        <v>10</v>
      </c>
      <c r="J13" s="13">
        <f t="shared" ca="1" si="0"/>
        <v>135.62719133380372</v>
      </c>
      <c r="K13" s="12">
        <f t="shared" ca="1" si="9"/>
        <v>5.0696879259782008</v>
      </c>
      <c r="L13" s="13">
        <f t="shared" ca="1" si="1"/>
        <v>15.627191333803722</v>
      </c>
      <c r="M13" s="14">
        <f t="shared" ca="1" si="10"/>
        <v>5</v>
      </c>
      <c r="N13" s="14">
        <f t="shared" ca="1" si="11"/>
        <v>15</v>
      </c>
      <c r="O13" s="16"/>
      <c r="P13" s="17"/>
    </row>
    <row r="14" spans="1:16" x14ac:dyDescent="0.25">
      <c r="M14" s="12">
        <f ca="1">degree(L4)</f>
        <v>11</v>
      </c>
    </row>
    <row r="15" spans="1:16" x14ac:dyDescent="0.25">
      <c r="B15" t="s">
        <v>73</v>
      </c>
      <c r="C15" t="s">
        <v>74</v>
      </c>
      <c r="D15" t="s">
        <v>73</v>
      </c>
      <c r="E15" t="s">
        <v>74</v>
      </c>
      <c r="M15" s="12">
        <f t="shared" ref="M15:M23" ca="1" si="12">degree(L5)</f>
        <v>11</v>
      </c>
    </row>
    <row r="16" spans="1:16" x14ac:dyDescent="0.25">
      <c r="B16" t="s">
        <v>92</v>
      </c>
      <c r="C16">
        <v>11</v>
      </c>
      <c r="D16">
        <v>7</v>
      </c>
      <c r="E16">
        <v>11</v>
      </c>
      <c r="F16" s="60" t="e">
        <f ca="1">MATCH($AJ8,d1check,0)</f>
        <v>#N/A</v>
      </c>
      <c r="M16" s="12">
        <f t="shared" ca="1" si="12"/>
        <v>5</v>
      </c>
    </row>
    <row r="17" spans="1:13" x14ac:dyDescent="0.25">
      <c r="A17" s="123" t="s">
        <v>2</v>
      </c>
      <c r="B17">
        <v>8</v>
      </c>
      <c r="C17">
        <v>16</v>
      </c>
      <c r="D17">
        <v>27</v>
      </c>
      <c r="E17">
        <v>11</v>
      </c>
      <c r="F17" s="124" t="s">
        <v>93</v>
      </c>
      <c r="M17" s="12">
        <f t="shared" ca="1" si="12"/>
        <v>7</v>
      </c>
    </row>
    <row r="18" spans="1:13" x14ac:dyDescent="0.25">
      <c r="A18" s="122" t="s">
        <v>3</v>
      </c>
      <c r="B18">
        <v>28</v>
      </c>
      <c r="C18">
        <v>13</v>
      </c>
      <c r="D18">
        <v>3</v>
      </c>
      <c r="E18">
        <v>5</v>
      </c>
      <c r="M18" s="12">
        <f t="shared" ca="1" si="12"/>
        <v>3</v>
      </c>
    </row>
    <row r="19" spans="1:13" x14ac:dyDescent="0.25">
      <c r="A19" s="121" t="s">
        <v>16</v>
      </c>
      <c r="B19">
        <v>28</v>
      </c>
      <c r="C19">
        <v>13</v>
      </c>
      <c r="D19">
        <v>7</v>
      </c>
      <c r="E19">
        <v>7</v>
      </c>
      <c r="F19" s="124" t="s">
        <v>94</v>
      </c>
      <c r="M19" s="12">
        <f t="shared" ca="1" si="12"/>
        <v>22</v>
      </c>
    </row>
    <row r="20" spans="1:13" x14ac:dyDescent="0.25">
      <c r="A20" s="125" t="s">
        <v>4</v>
      </c>
      <c r="B20">
        <v>28</v>
      </c>
      <c r="C20">
        <v>16</v>
      </c>
      <c r="D20">
        <v>13</v>
      </c>
      <c r="E20">
        <v>3</v>
      </c>
      <c r="M20" s="12">
        <f t="shared" ca="1" si="12"/>
        <v>23</v>
      </c>
    </row>
    <row r="21" spans="1:13" x14ac:dyDescent="0.25">
      <c r="A21" s="128" t="s">
        <v>17</v>
      </c>
      <c r="B21">
        <v>23</v>
      </c>
      <c r="C21">
        <v>2</v>
      </c>
      <c r="D21">
        <v>25</v>
      </c>
      <c r="E21">
        <v>22</v>
      </c>
      <c r="M21" s="12">
        <f t="shared" ca="1" si="12"/>
        <v>4</v>
      </c>
    </row>
    <row r="22" spans="1:13" x14ac:dyDescent="0.25">
      <c r="A22" s="127" t="s">
        <v>5</v>
      </c>
      <c r="B22">
        <v>22</v>
      </c>
      <c r="C22">
        <v>20</v>
      </c>
      <c r="D22">
        <v>22</v>
      </c>
      <c r="E22">
        <v>23</v>
      </c>
      <c r="F22" s="124" t="s">
        <v>96</v>
      </c>
      <c r="M22" s="12">
        <f t="shared" ca="1" si="12"/>
        <v>15</v>
      </c>
    </row>
    <row r="23" spans="1:13" x14ac:dyDescent="0.25">
      <c r="A23" s="1" t="s">
        <v>6</v>
      </c>
      <c r="B23">
        <v>7</v>
      </c>
      <c r="C23">
        <v>11</v>
      </c>
      <c r="D23">
        <v>20</v>
      </c>
      <c r="E23">
        <v>4</v>
      </c>
      <c r="M23" s="12">
        <f t="shared" ca="1" si="12"/>
        <v>15</v>
      </c>
    </row>
    <row r="24" spans="1:13" x14ac:dyDescent="0.25">
      <c r="A24" s="1" t="s">
        <v>7</v>
      </c>
      <c r="B24">
        <v>22</v>
      </c>
      <c r="C24">
        <v>24</v>
      </c>
      <c r="D24">
        <v>5</v>
      </c>
      <c r="E24">
        <v>15</v>
      </c>
    </row>
    <row r="25" spans="1:13" x14ac:dyDescent="0.25">
      <c r="A25" s="1" t="s">
        <v>2</v>
      </c>
      <c r="B25">
        <v>16</v>
      </c>
    </row>
    <row r="26" spans="1:13" x14ac:dyDescent="0.25">
      <c r="A26" s="1" t="s">
        <v>3</v>
      </c>
      <c r="B26">
        <v>13</v>
      </c>
    </row>
    <row r="27" spans="1:13" x14ac:dyDescent="0.25">
      <c r="A27" s="1" t="s">
        <v>16</v>
      </c>
      <c r="B27">
        <v>13</v>
      </c>
    </row>
    <row r="28" spans="1:13" x14ac:dyDescent="0.25">
      <c r="A28" s="1" t="s">
        <v>4</v>
      </c>
      <c r="B28">
        <v>16</v>
      </c>
    </row>
    <row r="29" spans="1:13" x14ac:dyDescent="0.25">
      <c r="A29" s="1" t="s">
        <v>17</v>
      </c>
      <c r="B29">
        <v>2</v>
      </c>
    </row>
    <row r="30" spans="1:13" x14ac:dyDescent="0.25">
      <c r="A30" s="1" t="s">
        <v>5</v>
      </c>
      <c r="B30">
        <v>20</v>
      </c>
    </row>
    <row r="31" spans="1:13" x14ac:dyDescent="0.25">
      <c r="A31" s="1" t="s">
        <v>6</v>
      </c>
      <c r="B31">
        <v>11</v>
      </c>
    </row>
    <row r="32" spans="1:13" x14ac:dyDescent="0.25">
      <c r="A32" s="1" t="s">
        <v>7</v>
      </c>
      <c r="B32">
        <v>24</v>
      </c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U30"/>
  <sheetViews>
    <sheetView workbookViewId="0">
      <selection activeCell="B2" sqref="B2"/>
    </sheetView>
  </sheetViews>
  <sheetFormatPr defaultColWidth="9.109375" defaultRowHeight="13.2" x14ac:dyDescent="0.25"/>
  <cols>
    <col min="1" max="1" width="19" style="12" bestFit="1" customWidth="1"/>
    <col min="2" max="2" width="18.109375" style="12" bestFit="1" customWidth="1"/>
    <col min="3" max="3" width="5.33203125" style="12" bestFit="1" customWidth="1"/>
    <col min="4" max="4" width="8.5546875" style="13" bestFit="1" customWidth="1"/>
    <col min="5" max="5" width="5.6640625" style="13" customWidth="1"/>
    <col min="6" max="6" width="11.109375" style="13" bestFit="1" customWidth="1"/>
    <col min="7" max="7" width="19.33203125" style="12" bestFit="1" customWidth="1"/>
    <col min="8" max="8" width="5.88671875" style="12" bestFit="1" customWidth="1"/>
    <col min="9" max="9" width="13" style="12" bestFit="1" customWidth="1"/>
    <col min="10" max="10" width="17.33203125" style="12" bestFit="1" customWidth="1"/>
    <col min="11" max="11" width="4.88671875" style="20" bestFit="1" customWidth="1"/>
    <col min="12" max="12" width="6.33203125" style="12" bestFit="1" customWidth="1"/>
    <col min="13" max="13" width="10.6640625" style="12" customWidth="1"/>
    <col min="14" max="14" width="4.33203125" style="12" customWidth="1"/>
    <col min="15" max="15" width="23.33203125" style="13" bestFit="1" customWidth="1"/>
    <col min="16" max="16" width="10.6640625" style="13" customWidth="1"/>
    <col min="17" max="17" width="13.44140625" style="12" bestFit="1" customWidth="1"/>
    <col min="18" max="20" width="9.109375" style="12"/>
    <col min="21" max="21" width="30.6640625" style="21" bestFit="1" customWidth="1"/>
    <col min="22" max="16384" width="9.109375" style="12"/>
  </cols>
  <sheetData>
    <row r="1" spans="1:21" ht="15.6" x14ac:dyDescent="0.3">
      <c r="A1" s="41" t="s">
        <v>21</v>
      </c>
      <c r="B1" s="42" t="s">
        <v>95</v>
      </c>
      <c r="C1" s="24"/>
      <c r="D1" s="24"/>
      <c r="E1" s="24"/>
      <c r="F1" s="24"/>
      <c r="G1" s="24"/>
    </row>
    <row r="2" spans="1:21" x14ac:dyDescent="0.25">
      <c r="A2" s="36" t="s">
        <v>22</v>
      </c>
      <c r="B2" s="44">
        <f ca="1">VLOOKUP(INDIRECT(C2),Charts[],2,FALSE)</f>
        <v>17394</v>
      </c>
      <c r="C2" s="25" t="s">
        <v>72</v>
      </c>
      <c r="F2" s="26"/>
      <c r="G2" s="27"/>
      <c r="H2" s="25"/>
      <c r="I2" s="27"/>
      <c r="J2" s="28"/>
      <c r="K2" s="29"/>
      <c r="L2" s="131"/>
      <c r="M2" s="131"/>
      <c r="N2" s="130"/>
      <c r="O2" s="130"/>
      <c r="P2" s="130"/>
      <c r="Q2" s="28"/>
      <c r="R2" s="7"/>
      <c r="S2" s="7"/>
      <c r="T2" s="7"/>
      <c r="U2" s="11"/>
    </row>
    <row r="3" spans="1:21" x14ac:dyDescent="0.25">
      <c r="A3" s="37" t="s">
        <v>23</v>
      </c>
      <c r="B3" s="45">
        <f ca="1">VLOOKUP(INDIRECT(C2),Charts[],3,FALSE)</f>
        <v>6.9444444444444447E-4</v>
      </c>
      <c r="C3" s="25"/>
      <c r="F3" s="26"/>
      <c r="G3" s="27"/>
      <c r="H3" s="25"/>
      <c r="I3" s="27"/>
      <c r="J3" s="28"/>
      <c r="K3" s="31"/>
      <c r="L3" s="28"/>
      <c r="M3" s="28"/>
      <c r="N3" s="28"/>
      <c r="O3" s="28"/>
      <c r="P3" s="28"/>
      <c r="Q3" s="28"/>
      <c r="R3" s="7"/>
      <c r="S3" s="7"/>
      <c r="T3" s="7"/>
      <c r="U3" s="11"/>
    </row>
    <row r="4" spans="1:21" x14ac:dyDescent="0.25">
      <c r="A4" s="37" t="s">
        <v>24</v>
      </c>
      <c r="B4" s="46">
        <f ca="1">VLOOKUP(INDIRECT(C2),Charts[],4,FALSE)</f>
        <v>5.5</v>
      </c>
      <c r="C4" s="25"/>
      <c r="F4" s="26"/>
      <c r="G4" s="27"/>
      <c r="H4" s="32"/>
      <c r="I4" s="27"/>
      <c r="J4" s="33"/>
      <c r="K4" s="28"/>
      <c r="L4" s="28"/>
      <c r="M4" s="28"/>
      <c r="N4" s="28"/>
      <c r="O4" s="28"/>
      <c r="P4" s="28"/>
      <c r="Q4" s="28"/>
      <c r="R4" s="7"/>
      <c r="S4" s="7"/>
      <c r="T4" s="7"/>
      <c r="U4" s="11"/>
    </row>
    <row r="5" spans="1:21" x14ac:dyDescent="0.25">
      <c r="A5" s="37" t="s">
        <v>18</v>
      </c>
      <c r="B5" s="46">
        <f ca="1">VLOOKUP(INDIRECT(C2),Charts[],5,FALSE)</f>
        <v>28.6</v>
      </c>
      <c r="C5" s="28"/>
      <c r="D5" s="28"/>
      <c r="E5" s="28"/>
      <c r="F5" s="28"/>
      <c r="G5" s="7"/>
      <c r="H5" s="7"/>
      <c r="I5" s="7"/>
      <c r="J5" s="11"/>
      <c r="K5" s="12"/>
      <c r="O5" s="12"/>
      <c r="P5" s="12"/>
      <c r="U5" s="12"/>
    </row>
    <row r="6" spans="1:21" x14ac:dyDescent="0.25">
      <c r="A6" s="47" t="s">
        <v>19</v>
      </c>
      <c r="B6" s="48">
        <f ca="1">VLOOKUP(INDIRECT(C2),Charts[],6,FALSE)</f>
        <v>77.2</v>
      </c>
      <c r="C6" s="28"/>
      <c r="D6" s="28"/>
      <c r="E6" s="28"/>
      <c r="F6" s="28"/>
      <c r="G6" s="7"/>
      <c r="H6" s="7"/>
      <c r="I6" s="7"/>
      <c r="J6" s="11"/>
      <c r="K6" s="12"/>
      <c r="O6" s="12"/>
      <c r="P6" s="12"/>
      <c r="U6" s="12"/>
    </row>
    <row r="7" spans="1:21" x14ac:dyDescent="0.25">
      <c r="A7" s="38" t="s">
        <v>25</v>
      </c>
      <c r="B7" s="43">
        <f ca="1">B2+B3-B4/24</f>
        <v>17393.771527777775</v>
      </c>
      <c r="C7" s="30"/>
      <c r="D7" s="30"/>
      <c r="E7" s="30"/>
      <c r="G7" s="34"/>
      <c r="H7" s="7"/>
      <c r="I7" s="7"/>
      <c r="J7" s="7"/>
      <c r="K7" s="10"/>
      <c r="L7" s="7"/>
      <c r="M7" s="7"/>
      <c r="N7" s="7"/>
      <c r="O7" s="9"/>
      <c r="P7" s="9"/>
      <c r="Q7" s="7"/>
      <c r="R7" s="7"/>
      <c r="S7" s="7"/>
      <c r="T7" s="7"/>
      <c r="U7" s="11"/>
    </row>
    <row r="8" spans="1:21" x14ac:dyDescent="0.25">
      <c r="A8" s="38" t="s">
        <v>26</v>
      </c>
      <c r="B8" s="43">
        <f ca="1">sunrise(B5,B6,B7)+B4/24</f>
        <v>17393.24244454705</v>
      </c>
      <c r="C8" s="30"/>
      <c r="D8" s="30"/>
      <c r="E8" s="30"/>
      <c r="G8" s="14"/>
      <c r="H8" s="35"/>
      <c r="I8" s="7"/>
      <c r="J8" s="7"/>
      <c r="K8" s="22"/>
      <c r="L8" s="23"/>
      <c r="M8" s="23"/>
      <c r="N8" s="7"/>
      <c r="O8" s="9"/>
      <c r="P8" s="9"/>
      <c r="Q8" s="7"/>
      <c r="R8" s="7"/>
      <c r="S8" s="7"/>
      <c r="T8" s="7"/>
      <c r="U8" s="11"/>
    </row>
    <row r="9" spans="1:21" x14ac:dyDescent="0.25">
      <c r="A9" s="38" t="s">
        <v>67</v>
      </c>
      <c r="B9" s="43">
        <f ca="1">sunset(B5,B6,B7)+B4/24</f>
        <v>17393.793318994034</v>
      </c>
      <c r="C9" s="112"/>
      <c r="D9" s="112"/>
      <c r="E9" s="112"/>
      <c r="G9" s="14"/>
      <c r="H9" s="35"/>
      <c r="I9" s="7"/>
      <c r="J9" s="7"/>
      <c r="K9" s="22"/>
      <c r="L9" s="23"/>
      <c r="M9" s="23"/>
      <c r="N9" s="7"/>
      <c r="O9" s="9"/>
      <c r="P9" s="9"/>
      <c r="Q9" s="7"/>
      <c r="R9" s="7"/>
      <c r="S9" s="7"/>
      <c r="T9" s="7"/>
      <c r="U9" s="11"/>
    </row>
    <row r="10" spans="1:21" x14ac:dyDescent="0.25">
      <c r="A10" s="39" t="s">
        <v>20</v>
      </c>
      <c r="B10" s="40" t="str">
        <f ca="1">CHOOSE(WEEKDAY(B7),"Sunday","Monday","Tuesday","Wednesday","Thursday","Friday","Saturday")</f>
        <v>Thursday</v>
      </c>
      <c r="C10" s="9"/>
      <c r="D10" s="9"/>
      <c r="E10" s="9"/>
      <c r="G10" s="7"/>
      <c r="H10" s="7"/>
      <c r="I10" s="7"/>
      <c r="J10" s="7"/>
      <c r="K10" s="10"/>
      <c r="L10" s="7"/>
      <c r="M10" s="7"/>
      <c r="N10" s="7"/>
      <c r="O10" s="9"/>
      <c r="P10" s="9"/>
      <c r="Q10" s="7"/>
      <c r="R10" s="7"/>
      <c r="S10" s="7"/>
      <c r="T10" s="7"/>
      <c r="U10" s="11"/>
    </row>
    <row r="11" spans="1:21" x14ac:dyDescent="0.25">
      <c r="A11" s="6"/>
      <c r="B11" s="7"/>
      <c r="C11" s="8"/>
      <c r="D11" s="9"/>
      <c r="E11" s="9"/>
      <c r="F11" s="9"/>
      <c r="G11" s="7"/>
      <c r="H11" s="7"/>
      <c r="I11" s="7"/>
      <c r="J11" s="7"/>
      <c r="K11" s="10"/>
      <c r="L11" s="7"/>
      <c r="M11" s="7"/>
      <c r="N11" s="7"/>
      <c r="O11" s="9"/>
      <c r="P11" s="9"/>
      <c r="Q11" s="7"/>
      <c r="R11" s="7"/>
      <c r="S11" s="7"/>
      <c r="T11" s="7"/>
      <c r="U11" s="11"/>
    </row>
    <row r="12" spans="1:21" s="86" customFormat="1" ht="15.6" x14ac:dyDescent="0.3">
      <c r="A12" s="82" t="s">
        <v>27</v>
      </c>
      <c r="B12" s="90" t="s">
        <v>28</v>
      </c>
      <c r="C12" s="83" t="s">
        <v>10</v>
      </c>
      <c r="D12" s="83" t="s">
        <v>45</v>
      </c>
      <c r="E12" s="83" t="s">
        <v>46</v>
      </c>
      <c r="F12" s="83" t="s">
        <v>47</v>
      </c>
      <c r="G12" s="84" t="s">
        <v>15</v>
      </c>
      <c r="H12" s="83" t="s">
        <v>1</v>
      </c>
      <c r="I12" s="83" t="s">
        <v>49</v>
      </c>
      <c r="J12" s="83" t="s">
        <v>50</v>
      </c>
      <c r="K12" s="84" t="s">
        <v>10</v>
      </c>
      <c r="L12" s="85" t="s">
        <v>31</v>
      </c>
      <c r="O12" s="87"/>
      <c r="P12" s="87"/>
      <c r="R12" s="88"/>
      <c r="S12" s="88"/>
      <c r="T12" s="88"/>
      <c r="U12" s="89"/>
    </row>
    <row r="13" spans="1:21" x14ac:dyDescent="0.25">
      <c r="A13" s="1" t="s">
        <v>9</v>
      </c>
      <c r="B13" s="2">
        <f ca="1">degree(F13)</f>
        <v>7</v>
      </c>
      <c r="C13" s="2" t="str">
        <f ca="1">Rasi(F13)</f>
        <v>Ta</v>
      </c>
      <c r="D13" s="4">
        <f ca="1">Minutes(F13)</f>
        <v>59</v>
      </c>
      <c r="E13" s="4">
        <f ca="1">seconds(F13)</f>
        <v>21.83</v>
      </c>
      <c r="F13" s="104">
        <f ca="1">Asdt(B5,B6,B7)</f>
        <v>37.989398318698321</v>
      </c>
      <c r="G13" s="3" t="str">
        <f t="shared" ref="G13:G27" ca="1" si="0">naks(F13)</f>
        <v>Krittika</v>
      </c>
      <c r="H13" s="5">
        <f ca="1">ROUNDUP(MOD(F13/3.3333333,4),0)</f>
        <v>4</v>
      </c>
      <c r="I13" s="5" t="str">
        <f t="shared" ref="I13:I22" ca="1" si="1">naksdeity(F13)</f>
        <v>Agni</v>
      </c>
      <c r="J13" s="5" t="str">
        <f t="shared" ref="J13:J22" ca="1" si="2">nakslord(F13)</f>
        <v>Sun</v>
      </c>
      <c r="K13" s="95">
        <f ca="1">rasinum(F13)</f>
        <v>2</v>
      </c>
      <c r="L13" s="95">
        <f ca="1">HouseNum(F13,$F$13)</f>
        <v>1</v>
      </c>
      <c r="R13" s="7"/>
      <c r="S13" s="16"/>
      <c r="T13" s="16"/>
      <c r="U13" s="17"/>
    </row>
    <row r="14" spans="1:21" x14ac:dyDescent="0.25">
      <c r="A14" s="1" t="s">
        <v>2</v>
      </c>
      <c r="B14" s="2">
        <f t="shared" ref="B14:B27" ca="1" si="3">degree(F14)</f>
        <v>27</v>
      </c>
      <c r="C14" s="2" t="str">
        <f t="shared" ref="C14:C27" ca="1" si="4">Rasi(F14)</f>
        <v>Cn</v>
      </c>
      <c r="D14" s="4">
        <f t="shared" ref="D14:D27" ca="1" si="5">Minutes(F14)</f>
        <v>59</v>
      </c>
      <c r="E14" s="4">
        <f t="shared" ref="E14:E27" ca="1" si="6">seconds(F14)</f>
        <v>22.88</v>
      </c>
      <c r="F14" s="104">
        <f ca="1">Planet($B$7,0)</f>
        <v>117.98968842049243</v>
      </c>
      <c r="G14" s="3" t="str">
        <f t="shared" ca="1" si="0"/>
        <v>Aslesha</v>
      </c>
      <c r="H14" s="5">
        <f t="shared" ref="H14:H27" ca="1" si="7">ROUNDUP(MOD(F14/3.3333333,4),0)</f>
        <v>4</v>
      </c>
      <c r="I14" s="5" t="str">
        <f t="shared" ca="1" si="1"/>
        <v>Nagas</v>
      </c>
      <c r="J14" s="5" t="str">
        <f t="shared" ca="1" si="2"/>
        <v>Mercury</v>
      </c>
      <c r="K14" s="95">
        <f t="shared" ref="K14:K22" ca="1" si="8">rasinum(F14)</f>
        <v>4</v>
      </c>
      <c r="L14" s="95">
        <f t="shared" ref="L14:L22" ca="1" si="9">HouseNum(F14,$F$13)</f>
        <v>3</v>
      </c>
      <c r="R14" s="14"/>
      <c r="S14" s="16"/>
      <c r="T14" s="16"/>
      <c r="U14" s="17"/>
    </row>
    <row r="15" spans="1:21" x14ac:dyDescent="0.25">
      <c r="A15" s="1" t="s">
        <v>3</v>
      </c>
      <c r="B15" s="2">
        <f t="shared" ca="1" si="3"/>
        <v>3</v>
      </c>
      <c r="C15" s="2" t="str">
        <f t="shared" ca="1" si="4"/>
        <v>Cn</v>
      </c>
      <c r="D15" s="4">
        <f t="shared" ca="1" si="5"/>
        <v>59</v>
      </c>
      <c r="E15" s="4">
        <f t="shared" ca="1" si="6"/>
        <v>38.450000000000003</v>
      </c>
      <c r="F15" s="104">
        <f ca="1">Planet($B$7,1)</f>
        <v>93.994014821954053</v>
      </c>
      <c r="G15" s="3" t="str">
        <f t="shared" ca="1" si="0"/>
        <v>Pushya</v>
      </c>
      <c r="H15" s="5">
        <f t="shared" ca="1" si="7"/>
        <v>1</v>
      </c>
      <c r="I15" s="5" t="str">
        <f t="shared" ca="1" si="1"/>
        <v>Brhaspati</v>
      </c>
      <c r="J15" s="5" t="str">
        <f t="shared" ca="1" si="2"/>
        <v>Saturn</v>
      </c>
      <c r="K15" s="95">
        <f t="shared" ca="1" si="8"/>
        <v>4</v>
      </c>
      <c r="L15" s="95">
        <f t="shared" ca="1" si="9"/>
        <v>3</v>
      </c>
      <c r="R15" s="14"/>
      <c r="S15" s="16"/>
      <c r="T15" s="16"/>
      <c r="U15" s="17"/>
    </row>
    <row r="16" spans="1:21" x14ac:dyDescent="0.25">
      <c r="A16" s="1" t="s">
        <v>16</v>
      </c>
      <c r="B16" s="2">
        <f t="shared" ca="1" si="3"/>
        <v>7</v>
      </c>
      <c r="C16" s="2" t="str">
        <f t="shared" ca="1" si="4"/>
        <v>Ge</v>
      </c>
      <c r="D16" s="4">
        <f t="shared" ca="1" si="5"/>
        <v>27</v>
      </c>
      <c r="E16" s="4">
        <f t="shared" ca="1" si="6"/>
        <v>24.07</v>
      </c>
      <c r="F16" s="104">
        <f ca="1">Planet($B$7,4)</f>
        <v>67.456685439201664</v>
      </c>
      <c r="G16" s="3" t="str">
        <f t="shared" ca="1" si="0"/>
        <v>Ardra</v>
      </c>
      <c r="H16" s="5">
        <f t="shared" ca="1" si="7"/>
        <v>1</v>
      </c>
      <c r="I16" s="5" t="str">
        <f t="shared" ca="1" si="1"/>
        <v>Rudra</v>
      </c>
      <c r="J16" s="5" t="str">
        <f t="shared" ca="1" si="2"/>
        <v>Rahu</v>
      </c>
      <c r="K16" s="95">
        <f t="shared" ca="1" si="8"/>
        <v>3</v>
      </c>
      <c r="L16" s="95">
        <f t="shared" ca="1" si="9"/>
        <v>2</v>
      </c>
      <c r="R16" s="14"/>
      <c r="S16" s="16"/>
      <c r="T16" s="16"/>
      <c r="U16" s="17"/>
    </row>
    <row r="17" spans="1:21" x14ac:dyDescent="0.25">
      <c r="A17" s="1" t="s">
        <v>4</v>
      </c>
      <c r="B17" s="2">
        <f t="shared" ca="1" si="3"/>
        <v>13</v>
      </c>
      <c r="C17" s="2" t="str">
        <f t="shared" ca="1" si="4"/>
        <v>Cn</v>
      </c>
      <c r="D17" s="4">
        <f t="shared" ca="1" si="5"/>
        <v>40</v>
      </c>
      <c r="E17" s="4">
        <f t="shared" ca="1" si="6"/>
        <v>31.91</v>
      </c>
      <c r="F17" s="104">
        <f ca="1">Planet($B$7,2)</f>
        <v>103.67553061394177</v>
      </c>
      <c r="G17" s="3" t="str">
        <f t="shared" ca="1" si="0"/>
        <v>Pushya</v>
      </c>
      <c r="H17" s="5">
        <f t="shared" ca="1" si="7"/>
        <v>4</v>
      </c>
      <c r="I17" s="5" t="str">
        <f t="shared" ca="1" si="1"/>
        <v>Brhaspati</v>
      </c>
      <c r="J17" s="5" t="str">
        <f t="shared" ca="1" si="2"/>
        <v>Saturn</v>
      </c>
      <c r="K17" s="95">
        <f t="shared" ca="1" si="8"/>
        <v>4</v>
      </c>
      <c r="L17" s="95">
        <f t="shared" ca="1" si="9"/>
        <v>3</v>
      </c>
      <c r="R17" s="14"/>
      <c r="S17" s="16"/>
      <c r="T17" s="16"/>
      <c r="U17" s="17"/>
    </row>
    <row r="18" spans="1:21" x14ac:dyDescent="0.25">
      <c r="A18" s="1" t="s">
        <v>44</v>
      </c>
      <c r="B18" s="2">
        <f t="shared" ca="1" si="3"/>
        <v>25</v>
      </c>
      <c r="C18" s="2" t="str">
        <f t="shared" ca="1" si="4"/>
        <v>Li</v>
      </c>
      <c r="D18" s="4">
        <f t="shared" ca="1" si="5"/>
        <v>52</v>
      </c>
      <c r="E18" s="4">
        <f t="shared" ca="1" si="6"/>
        <v>39.94</v>
      </c>
      <c r="F18" s="104">
        <f ca="1">Planet($B$7,5)</f>
        <v>205.87776232669091</v>
      </c>
      <c r="G18" s="3" t="str">
        <f t="shared" ca="1" si="0"/>
        <v>Visakha</v>
      </c>
      <c r="H18" s="5">
        <f t="shared" ca="1" si="7"/>
        <v>2</v>
      </c>
      <c r="I18" s="5" t="str">
        <f t="shared" ca="1" si="1"/>
        <v>Indragni</v>
      </c>
      <c r="J18" s="5" t="str">
        <f t="shared" ca="1" si="2"/>
        <v>Jupiter</v>
      </c>
      <c r="K18" s="95">
        <f t="shared" ca="1" si="8"/>
        <v>7</v>
      </c>
      <c r="L18" s="95">
        <f t="shared" ca="1" si="9"/>
        <v>6</v>
      </c>
      <c r="R18" s="14"/>
      <c r="S18" s="16"/>
      <c r="T18" s="16"/>
      <c r="U18" s="17"/>
    </row>
    <row r="19" spans="1:21" x14ac:dyDescent="0.25">
      <c r="A19" s="1" t="s">
        <v>5</v>
      </c>
      <c r="B19" s="2">
        <f t="shared" ca="1" si="3"/>
        <v>22</v>
      </c>
      <c r="C19" s="2" t="str">
        <f t="shared" ca="1" si="4"/>
        <v>Cn</v>
      </c>
      <c r="D19" s="4">
        <f t="shared" ca="1" si="5"/>
        <v>33</v>
      </c>
      <c r="E19" s="4">
        <f t="shared" ca="1" si="6"/>
        <v>43.43</v>
      </c>
      <c r="F19" s="104">
        <f ca="1">Planet($B$7,3)</f>
        <v>112.5620637049326</v>
      </c>
      <c r="G19" s="3" t="str">
        <f t="shared" ca="1" si="0"/>
        <v>Aslesha</v>
      </c>
      <c r="H19" s="5">
        <f t="shared" ca="1" si="7"/>
        <v>2</v>
      </c>
      <c r="I19" s="5" t="str">
        <f t="shared" ca="1" si="1"/>
        <v>Nagas</v>
      </c>
      <c r="J19" s="5" t="str">
        <f t="shared" ca="1" si="2"/>
        <v>Mercury</v>
      </c>
      <c r="K19" s="95">
        <f t="shared" ca="1" si="8"/>
        <v>4</v>
      </c>
      <c r="L19" s="95">
        <f t="shared" ca="1" si="9"/>
        <v>3</v>
      </c>
      <c r="R19" s="14"/>
      <c r="S19" s="16"/>
      <c r="T19" s="16"/>
      <c r="U19" s="17"/>
    </row>
    <row r="20" spans="1:21" x14ac:dyDescent="0.25">
      <c r="A20" s="1" t="s">
        <v>6</v>
      </c>
      <c r="B20" s="2">
        <f t="shared" ca="1" si="3"/>
        <v>20</v>
      </c>
      <c r="C20" s="2" t="str">
        <f t="shared" ca="1" si="4"/>
        <v>Cn</v>
      </c>
      <c r="D20" s="4">
        <f t="shared" ca="1" si="5"/>
        <v>28</v>
      </c>
      <c r="E20" s="4">
        <f t="shared" ca="1" si="6"/>
        <v>23.17</v>
      </c>
      <c r="F20" s="104">
        <f ca="1">Planet($B$7,6)</f>
        <v>110.47310370831586</v>
      </c>
      <c r="G20" s="3" t="str">
        <f t="shared" ca="1" si="0"/>
        <v>Aslesha</v>
      </c>
      <c r="H20" s="5">
        <f t="shared" ca="1" si="7"/>
        <v>2</v>
      </c>
      <c r="I20" s="5" t="str">
        <f t="shared" ca="1" si="1"/>
        <v>Nagas</v>
      </c>
      <c r="J20" s="5" t="str">
        <f t="shared" ca="1" si="2"/>
        <v>Mercury</v>
      </c>
      <c r="K20" s="95">
        <f t="shared" ca="1" si="8"/>
        <v>4</v>
      </c>
      <c r="L20" s="95">
        <f t="shared" ca="1" si="9"/>
        <v>3</v>
      </c>
      <c r="R20" s="14"/>
      <c r="S20" s="16"/>
      <c r="T20" s="16"/>
      <c r="U20" s="17"/>
    </row>
    <row r="21" spans="1:21" x14ac:dyDescent="0.25">
      <c r="A21" s="1" t="s">
        <v>7</v>
      </c>
      <c r="B21" s="2">
        <f t="shared" ca="1" si="3"/>
        <v>5</v>
      </c>
      <c r="C21" s="2" t="str">
        <f t="shared" ca="1" si="4"/>
        <v>Ta</v>
      </c>
      <c r="D21" s="4">
        <f t="shared" ca="1" si="5"/>
        <v>4</v>
      </c>
      <c r="E21" s="4">
        <f t="shared" ca="1" si="6"/>
        <v>10.88</v>
      </c>
      <c r="F21" s="104">
        <f ca="1">Planet($B$7,10)</f>
        <v>35.069687925978194</v>
      </c>
      <c r="G21" s="3" t="str">
        <f t="shared" ca="1" si="0"/>
        <v>Krittika</v>
      </c>
      <c r="H21" s="5">
        <f t="shared" ca="1" si="7"/>
        <v>3</v>
      </c>
      <c r="I21" s="5" t="str">
        <f t="shared" ca="1" si="1"/>
        <v>Agni</v>
      </c>
      <c r="J21" s="5" t="str">
        <f t="shared" ca="1" si="2"/>
        <v>Sun</v>
      </c>
      <c r="K21" s="95">
        <f t="shared" ca="1" si="8"/>
        <v>2</v>
      </c>
      <c r="L21" s="95">
        <f t="shared" ca="1" si="9"/>
        <v>1</v>
      </c>
      <c r="R21" s="14"/>
      <c r="S21" s="16"/>
      <c r="T21" s="16"/>
      <c r="U21" s="17"/>
    </row>
    <row r="22" spans="1:21" x14ac:dyDescent="0.25">
      <c r="A22" s="1" t="s">
        <v>8</v>
      </c>
      <c r="B22" s="2">
        <f t="shared" ca="1" si="3"/>
        <v>5</v>
      </c>
      <c r="C22" s="2" t="str">
        <f t="shared" ca="1" si="4"/>
        <v>Sc</v>
      </c>
      <c r="D22" s="4">
        <f t="shared" ca="1" si="5"/>
        <v>4</v>
      </c>
      <c r="E22" s="4">
        <f t="shared" ca="1" si="6"/>
        <v>10.88</v>
      </c>
      <c r="F22" s="104">
        <f ca="1">IF(F21&lt;180,F21+180,F21-180)</f>
        <v>215.0696879259782</v>
      </c>
      <c r="G22" s="3" t="str">
        <f t="shared" ca="1" si="0"/>
        <v>Anuradha</v>
      </c>
      <c r="H22" s="5">
        <f t="shared" ca="1" si="7"/>
        <v>1</v>
      </c>
      <c r="I22" s="5" t="str">
        <f t="shared" ca="1" si="1"/>
        <v xml:space="preserve">Mitra </v>
      </c>
      <c r="J22" s="5" t="str">
        <f t="shared" ca="1" si="2"/>
        <v>Saturn</v>
      </c>
      <c r="K22" s="95">
        <f t="shared" ca="1" si="8"/>
        <v>8</v>
      </c>
      <c r="L22" s="95">
        <f t="shared" ca="1" si="9"/>
        <v>7</v>
      </c>
      <c r="R22" s="7"/>
      <c r="S22" s="16"/>
      <c r="T22" s="16"/>
      <c r="U22" s="17"/>
    </row>
    <row r="23" spans="1:21" x14ac:dyDescent="0.25">
      <c r="A23" s="92" t="s">
        <v>11</v>
      </c>
      <c r="B23" s="93">
        <f t="shared" ca="1" si="3"/>
        <v>11</v>
      </c>
      <c r="C23" s="93" t="str">
        <f t="shared" ca="1" si="4"/>
        <v>Sg</v>
      </c>
      <c r="D23" s="94">
        <f t="shared" ca="1" si="5"/>
        <v>19</v>
      </c>
      <c r="E23" s="94">
        <f t="shared" ca="1" si="6"/>
        <v>10.88</v>
      </c>
      <c r="F23" s="105">
        <f ca="1">(F14+133.33)-FLOOR((F14+133.33)/360,1)*360</f>
        <v>251.31968842049244</v>
      </c>
      <c r="G23" s="96" t="str">
        <f t="shared" ca="1" si="0"/>
        <v>Moola</v>
      </c>
      <c r="H23" s="5">
        <f t="shared" ca="1" si="7"/>
        <v>4</v>
      </c>
      <c r="I23" s="97" t="str">
        <f ca="1">naksdeity(F23)</f>
        <v>Nirriti</v>
      </c>
      <c r="J23" s="97" t="str">
        <f ca="1">nakslord(F23)</f>
        <v>Ketu</v>
      </c>
      <c r="K23" s="98">
        <f ca="1">rasinum(F23)</f>
        <v>9</v>
      </c>
      <c r="L23" s="98">
        <f ca="1">HouseNum(F23,$F$13)</f>
        <v>8</v>
      </c>
      <c r="M23" s="15"/>
      <c r="N23" s="18"/>
      <c r="O23" s="15"/>
      <c r="P23" s="15"/>
      <c r="Q23" s="19"/>
      <c r="R23" s="7"/>
      <c r="S23" s="16"/>
      <c r="T23" s="16"/>
      <c r="U23" s="17"/>
    </row>
    <row r="24" spans="1:21" x14ac:dyDescent="0.25">
      <c r="A24" s="92" t="s">
        <v>12</v>
      </c>
      <c r="B24" s="93">
        <f t="shared" ca="1" si="3"/>
        <v>18</v>
      </c>
      <c r="C24" s="93" t="str">
        <f t="shared" ca="1" si="4"/>
        <v>Cn</v>
      </c>
      <c r="D24" s="94">
        <f t="shared" ca="1" si="5"/>
        <v>40</v>
      </c>
      <c r="E24" s="94">
        <f t="shared" ca="1" si="6"/>
        <v>49.12</v>
      </c>
      <c r="F24" s="105">
        <f ca="1">360-F23</f>
        <v>108.68031157950756</v>
      </c>
      <c r="G24" s="96" t="str">
        <f t="shared" ca="1" si="0"/>
        <v>Aslesha</v>
      </c>
      <c r="H24" s="5">
        <f t="shared" ca="1" si="7"/>
        <v>1</v>
      </c>
      <c r="I24" s="97" t="str">
        <f ca="1">naksdeity(F24)</f>
        <v>Nagas</v>
      </c>
      <c r="J24" s="97" t="str">
        <f ca="1">nakslord(F24)</f>
        <v>Mercury</v>
      </c>
      <c r="K24" s="98">
        <f ca="1">rasinum(F24)</f>
        <v>4</v>
      </c>
      <c r="L24" s="98">
        <f ca="1">HouseNum(F24,$F$13)</f>
        <v>3</v>
      </c>
      <c r="M24" s="15"/>
      <c r="N24" s="18"/>
      <c r="O24" s="15"/>
      <c r="P24" s="15"/>
      <c r="Q24" s="19"/>
      <c r="R24" s="14"/>
      <c r="S24" s="16"/>
      <c r="T24" s="16"/>
      <c r="U24" s="17"/>
    </row>
    <row r="25" spans="1:21" x14ac:dyDescent="0.25">
      <c r="A25" s="92" t="s">
        <v>29</v>
      </c>
      <c r="B25" s="93">
        <f t="shared" ca="1" si="3"/>
        <v>18</v>
      </c>
      <c r="C25" s="93" t="str">
        <f t="shared" ca="1" si="4"/>
        <v>Cp</v>
      </c>
      <c r="D25" s="94">
        <f t="shared" ca="1" si="5"/>
        <v>40</v>
      </c>
      <c r="E25" s="94">
        <f t="shared" ca="1" si="6"/>
        <v>49.12</v>
      </c>
      <c r="F25" s="105">
        <f ca="1">(180+F24)-FLOOR((180+F24)/360,1)*360</f>
        <v>288.68031157950759</v>
      </c>
      <c r="G25" s="96" t="str">
        <f t="shared" ca="1" si="0"/>
        <v>Sravana</v>
      </c>
      <c r="H25" s="5">
        <f t="shared" ca="1" si="7"/>
        <v>3</v>
      </c>
      <c r="I25" s="97" t="str">
        <f ca="1">naksdeity(F25)</f>
        <v>Vishnu</v>
      </c>
      <c r="J25" s="97" t="str">
        <f ca="1">nakslord(F25)</f>
        <v>Moon</v>
      </c>
      <c r="K25" s="98">
        <f ca="1">rasinum(F25)</f>
        <v>10</v>
      </c>
      <c r="L25" s="98">
        <f ca="1">HouseNum(F25,$F$13)</f>
        <v>9</v>
      </c>
      <c r="M25" s="15"/>
      <c r="N25" s="18"/>
      <c r="O25" s="15"/>
      <c r="P25" s="15"/>
      <c r="Q25" s="19"/>
      <c r="R25" s="7"/>
      <c r="S25" s="16"/>
      <c r="T25" s="16"/>
      <c r="U25" s="17"/>
    </row>
    <row r="26" spans="1:21" x14ac:dyDescent="0.25">
      <c r="A26" s="92" t="s">
        <v>13</v>
      </c>
      <c r="B26" s="93">
        <f t="shared" ca="1" si="3"/>
        <v>11</v>
      </c>
      <c r="C26" s="93" t="str">
        <f t="shared" ca="1" si="4"/>
        <v>Ge</v>
      </c>
      <c r="D26" s="94">
        <f t="shared" ca="1" si="5"/>
        <v>19</v>
      </c>
      <c r="E26" s="94">
        <f t="shared" ca="1" si="6"/>
        <v>10.88</v>
      </c>
      <c r="F26" s="105">
        <f ca="1">360-F25</f>
        <v>71.319688420492412</v>
      </c>
      <c r="G26" s="96" t="str">
        <f t="shared" ca="1" si="0"/>
        <v>Ardra</v>
      </c>
      <c r="H26" s="5">
        <f t="shared" ca="1" si="7"/>
        <v>2</v>
      </c>
      <c r="I26" s="97" t="str">
        <f ca="1">naksdeity(F26)</f>
        <v>Rudra</v>
      </c>
      <c r="J26" s="97" t="str">
        <f ca="1">nakslord(F26)</f>
        <v>Rahu</v>
      </c>
      <c r="K26" s="98">
        <f ca="1">rasinum(F26)</f>
        <v>3</v>
      </c>
      <c r="L26" s="98">
        <f ca="1">HouseNum(F26,$F$13)</f>
        <v>2</v>
      </c>
      <c r="M26" s="15"/>
      <c r="N26" s="18"/>
      <c r="O26" s="15"/>
      <c r="P26" s="15"/>
      <c r="Q26" s="19"/>
      <c r="R26" s="14"/>
      <c r="S26" s="16"/>
      <c r="T26" s="16"/>
      <c r="U26" s="17"/>
    </row>
    <row r="27" spans="1:21" x14ac:dyDescent="0.25">
      <c r="A27" s="92" t="s">
        <v>14</v>
      </c>
      <c r="B27" s="93">
        <f t="shared" ca="1" si="3"/>
        <v>27</v>
      </c>
      <c r="C27" s="93" t="str">
        <f t="shared" ca="1" si="4"/>
        <v>Ge</v>
      </c>
      <c r="D27" s="94">
        <f t="shared" ca="1" si="5"/>
        <v>59</v>
      </c>
      <c r="E27" s="94">
        <f t="shared" ca="1" si="6"/>
        <v>22.88</v>
      </c>
      <c r="F27" s="105">
        <f ca="1">(F26+16.67)-FLOOR((F26+16.67)/360,1)*360</f>
        <v>87.989688420492413</v>
      </c>
      <c r="G27" s="96" t="str">
        <f t="shared" ca="1" si="0"/>
        <v>Punarvasu</v>
      </c>
      <c r="H27" s="5">
        <f t="shared" ca="1" si="7"/>
        <v>3</v>
      </c>
      <c r="I27" s="97" t="str">
        <f ca="1">naksdeity(F27)</f>
        <v>Aditi</v>
      </c>
      <c r="J27" s="97" t="str">
        <f ca="1">nakslord(F27)</f>
        <v>Jupiter</v>
      </c>
      <c r="K27" s="98">
        <f ca="1">rasinum(F27)</f>
        <v>3</v>
      </c>
      <c r="L27" s="98">
        <f ca="1">HouseNum(F27,$F$13)</f>
        <v>2</v>
      </c>
      <c r="M27" s="15"/>
      <c r="N27" s="18"/>
      <c r="O27" s="15"/>
      <c r="P27" s="15"/>
      <c r="Q27" s="19"/>
      <c r="R27" s="7"/>
      <c r="S27" s="16"/>
      <c r="T27" s="16"/>
      <c r="U27" s="17"/>
    </row>
    <row r="28" spans="1:21" x14ac:dyDescent="0.25">
      <c r="A28" s="12" t="s">
        <v>64</v>
      </c>
      <c r="B28" s="93">
        <f ca="1">degree(F28)</f>
        <v>3</v>
      </c>
      <c r="C28" s="93" t="str">
        <f ca="1">Rasi(F28)</f>
        <v>Aq</v>
      </c>
      <c r="D28" s="94">
        <f ca="1">Minutes(F28)</f>
        <v>55</v>
      </c>
      <c r="E28" s="94">
        <f ca="1">seconds(F28)</f>
        <v>46.61</v>
      </c>
      <c r="F28" s="113">
        <f ca="1">MOD((B2+B3-B8)*24*30+F14,360)</f>
        <v>303.92961454373904</v>
      </c>
    </row>
    <row r="29" spans="1:21" x14ac:dyDescent="0.25">
      <c r="A29" s="12" t="s">
        <v>65</v>
      </c>
      <c r="B29" s="93">
        <f ca="1">degree(F29)</f>
        <v>12</v>
      </c>
      <c r="C29" s="93" t="str">
        <f ca="1">Rasi(F29)</f>
        <v>Ta</v>
      </c>
      <c r="D29" s="94">
        <f ca="1">Minutes(F29)</f>
        <v>50</v>
      </c>
      <c r="E29" s="94">
        <f ca="1">seconds(F29)</f>
        <v>22.21</v>
      </c>
      <c r="F29" s="113">
        <f ca="1">MOD((B2+B3-B8)*60*30+F14,360)</f>
        <v>42.839503728608861</v>
      </c>
    </row>
    <row r="30" spans="1:21" x14ac:dyDescent="0.25">
      <c r="A30" s="12" t="s">
        <v>66</v>
      </c>
      <c r="B30" s="12">
        <f ca="1">degree(F30)</f>
        <v>0</v>
      </c>
      <c r="C30" s="12" t="str">
        <f ca="1">Rasi(F30)</f>
        <v>Ta</v>
      </c>
      <c r="D30" s="13">
        <f ca="1">Minutes(F30)</f>
        <v>57</v>
      </c>
      <c r="E30" s="13">
        <f ca="1">seconds(F30)</f>
        <v>34.75</v>
      </c>
      <c r="F30" s="113">
        <f ca="1">MOD((B2+B3-B8)*12*30+F14,360)</f>
        <v>30.959651482115703</v>
      </c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Values are selected from Charts " prompt="Enter your values in Charts tab" xr:uid="{00000000-0002-0000-0300-000000000000}">
          <x14:formula1>
            <xm:f>Charts!$A:$A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2:M42"/>
  <sheetViews>
    <sheetView zoomScale="70" zoomScaleNormal="70" workbookViewId="0">
      <selection activeCell="G3" sqref="G3"/>
    </sheetView>
  </sheetViews>
  <sheetFormatPr defaultColWidth="9.109375" defaultRowHeight="13.2" x14ac:dyDescent="0.25"/>
  <cols>
    <col min="1" max="1" width="9.109375" style="51"/>
    <col min="2" max="5" width="13.33203125" style="51" customWidth="1"/>
    <col min="6" max="6" width="9.109375" style="51"/>
    <col min="7" max="10" width="13.33203125" style="51" customWidth="1"/>
    <col min="11" max="16384" width="9.109375" style="51"/>
  </cols>
  <sheetData>
    <row r="2" spans="2:13" ht="13.8" thickBot="1" x14ac:dyDescent="0.3">
      <c r="C2" s="102">
        <v>1</v>
      </c>
      <c r="D2" s="102">
        <v>1</v>
      </c>
      <c r="H2" s="102">
        <v>9</v>
      </c>
      <c r="I2" s="102">
        <v>1</v>
      </c>
    </row>
    <row r="3" spans="2:13" ht="75" customHeight="1" x14ac:dyDescent="0.25">
      <c r="B3" s="74" t="str">
        <f ca="1">RasiContent(12,Basic!$B$7,C2,D2,Basic!$F$13)</f>
        <v/>
      </c>
      <c r="C3" s="75" t="str">
        <f ca="1">RasiContent(1,Basic!$B$7,C2,D2,Basic!$F$13)</f>
        <v/>
      </c>
      <c r="D3" s="75" t="str">
        <f ca="1">RasiContent(2,Basic!$B$7,C2,D2,Basic!$F$13)</f>
        <v xml:space="preserve"> Rahu Asdt</v>
      </c>
      <c r="E3" s="76" t="str">
        <f ca="1">RasiContent(3,Basic!$B$7,C2,D2,Basic!$F$13)</f>
        <v xml:space="preserve"> Mars </v>
      </c>
      <c r="F3" s="52"/>
      <c r="G3" s="74" t="str">
        <f ca="1">RasiContent(12,Basic!$B$7,H2,I2,Basic!$F$13)</f>
        <v xml:space="preserve"> Sun Asdt</v>
      </c>
      <c r="H3" s="75" t="str">
        <f ca="1">RasiContent(1,Basic!$B$7,H2,I2,Basic!$F$13)</f>
        <v/>
      </c>
      <c r="I3" s="75" t="str">
        <f ca="1">RasiContent(2,Basic!$B$7,H2,I2,Basic!$F$13)</f>
        <v xml:space="preserve"> Jupiter </v>
      </c>
      <c r="J3" s="76" t="str">
        <f ca="1">RasiContent(3,Basic!$B$7,H2,I2,Basic!$F$13)</f>
        <v/>
      </c>
    </row>
    <row r="4" spans="2:13" ht="75" customHeight="1" x14ac:dyDescent="0.25">
      <c r="B4" s="77" t="str">
        <f ca="1">RasiContent(11,Basic!$B$7,C2,D2,Basic!$F$13)</f>
        <v/>
      </c>
      <c r="C4" s="132" t="str">
        <f>divname(C2,D2)</f>
        <v>Rasi</v>
      </c>
      <c r="D4" s="132"/>
      <c r="E4" s="78" t="str">
        <f ca="1">RasiContent(4,Basic!$B$7,C2,D2,Basic!$F$13)</f>
        <v xml:space="preserve"> Sun Moon Merc Venus Saturn </v>
      </c>
      <c r="F4" s="52"/>
      <c r="G4" s="77" t="str">
        <f ca="1">RasiContent(11,Basic!$B$7,H2,I2,Basic!$F$13)</f>
        <v xml:space="preserve"> Rahu</v>
      </c>
      <c r="H4" s="132" t="str">
        <f>divname(H2,I2)</f>
        <v>Navamsa</v>
      </c>
      <c r="I4" s="132"/>
      <c r="J4" s="78" t="str">
        <f ca="1">RasiContent(4,Basic!$B$7,H2,I2,Basic!$F$13)</f>
        <v/>
      </c>
    </row>
    <row r="5" spans="2:13" ht="75" customHeight="1" x14ac:dyDescent="0.25">
      <c r="B5" s="77" t="str">
        <f ca="1">RasiContent(10,Basic!$B$7,C2,D2,Basic!$F$13)</f>
        <v/>
      </c>
      <c r="C5" s="132"/>
      <c r="D5" s="132"/>
      <c r="E5" s="78" t="str">
        <f ca="1">RasiContent(5,Basic!$B$7,C2,D2,Basic!$F$13)</f>
        <v/>
      </c>
      <c r="F5" s="52"/>
      <c r="G5" s="77" t="str">
        <f ca="1">RasiContent(10,Basic!$B$7,H2,I2,Basic!$F$13)</f>
        <v xml:space="preserve"> Venus Saturn </v>
      </c>
      <c r="H5" s="132"/>
      <c r="I5" s="132"/>
      <c r="J5" s="78" t="str">
        <f ca="1">RasiContent(5,Basic!$B$7,H2,I2,Basic!$F$13)</f>
        <v xml:space="preserve"> Moon Ketu</v>
      </c>
    </row>
    <row r="6" spans="2:13" ht="75" customHeight="1" thickBot="1" x14ac:dyDescent="0.3">
      <c r="B6" s="79" t="str">
        <f ca="1">RasiContent(9,Basic!$B$7,C2,D2,Basic!$F$13)</f>
        <v/>
      </c>
      <c r="C6" s="80" t="str">
        <f ca="1">RasiContent(8,Basic!$B$7,C2,D2,Basic!$F$13)</f>
        <v xml:space="preserve"> Ketu</v>
      </c>
      <c r="D6" s="80" t="str">
        <f ca="1">RasiContent(7,Basic!$B$7,C2,D2,Basic!$F$13)</f>
        <v xml:space="preserve"> Jupiter</v>
      </c>
      <c r="E6" s="81" t="str">
        <f ca="1">RasiContent(6,Basic!$B$7,C2,D2,Basic!$F$13)</f>
        <v xml:space="preserve"> </v>
      </c>
      <c r="F6" s="52"/>
      <c r="G6" s="79" t="str">
        <f ca="1">RasiContent(9,Basic!$B$7,H2,I2,Basic!$F$13)</f>
        <v xml:space="preserve"> Mars</v>
      </c>
      <c r="H6" s="80" t="str">
        <f ca="1">RasiContent(8,Basic!$B$7,H2,I2,Basic!$F$13)</f>
        <v xml:space="preserve"> Merc</v>
      </c>
      <c r="I6" s="80" t="str">
        <f ca="1">RasiContent(7,Basic!$B$7,H2,I2,Basic!$F$13)</f>
        <v xml:space="preserve"> </v>
      </c>
      <c r="J6" s="81" t="str">
        <f ca="1">RasiContent(6,Basic!$B$7,H2,I2,Basic!$F$13)</f>
        <v/>
      </c>
    </row>
    <row r="9" spans="2:13" s="53" customFormat="1" x14ac:dyDescent="0.25"/>
    <row r="10" spans="2:13" s="53" customFormat="1" x14ac:dyDescent="0.25">
      <c r="B10" s="53" t="s">
        <v>10</v>
      </c>
      <c r="C10" s="53">
        <v>1</v>
      </c>
      <c r="D10" s="53">
        <v>2</v>
      </c>
      <c r="E10" s="53">
        <v>3</v>
      </c>
      <c r="F10" s="53">
        <v>4</v>
      </c>
      <c r="G10" s="53">
        <v>5</v>
      </c>
      <c r="H10" s="53">
        <v>6</v>
      </c>
      <c r="I10" s="53">
        <v>7</v>
      </c>
      <c r="J10" s="53">
        <v>8</v>
      </c>
      <c r="K10" s="53">
        <v>9</v>
      </c>
      <c r="L10" s="53">
        <v>10</v>
      </c>
    </row>
    <row r="11" spans="2:13" s="53" customFormat="1" x14ac:dyDescent="0.25">
      <c r="B11" s="53" t="s">
        <v>32</v>
      </c>
      <c r="C11" s="53" t="str">
        <f ca="1">IF(B11=Basic!$C$13,Basic!$A$13,"")</f>
        <v/>
      </c>
      <c r="D11" s="53" t="str">
        <f ca="1">IF(B11=Basic!$C$14,Basic!$A$14,"")</f>
        <v/>
      </c>
      <c r="E11" s="53" t="str">
        <f ca="1">IF(B11=Basic!$C$15,Basic!$A$15,"")</f>
        <v/>
      </c>
      <c r="F11" s="53" t="str">
        <f ca="1">IF(B11=Basic!$C$16,Basic!$A$16,"")</f>
        <v/>
      </c>
      <c r="G11" s="53" t="str">
        <f ca="1">IF(B11=Basic!$C$17,Basic!$A$17,"")</f>
        <v/>
      </c>
      <c r="H11" s="53" t="str">
        <f ca="1">IF(B11=Basic!$C$18,Basic!$A$18,"")</f>
        <v/>
      </c>
      <c r="I11" s="53" t="str">
        <f ca="1">IF(B11=Basic!$C$19,Basic!$A$19,"")</f>
        <v/>
      </c>
      <c r="J11" s="53" t="str">
        <f ca="1">IF(B11=Basic!$C$20,Basic!$A$20,"")</f>
        <v/>
      </c>
      <c r="K11" s="53" t="str">
        <f ca="1">IF(B11=Basic!$C$21,Basic!$A$21,"")</f>
        <v/>
      </c>
      <c r="L11" s="53" t="str">
        <f ca="1">IF(B11=Basic!$C$22,Basic!$A$22,"")</f>
        <v/>
      </c>
      <c r="M11" s="53" t="str">
        <f ca="1">IF(K11=Basic!$C$14,Basic!$A$14,"")</f>
        <v/>
      </c>
    </row>
    <row r="12" spans="2:13" s="53" customFormat="1" x14ac:dyDescent="0.25">
      <c r="B12" s="53" t="s">
        <v>33</v>
      </c>
      <c r="C12" s="53" t="str">
        <f ca="1">IF(B12=Basic!$C$13,Basic!$A$13,"")</f>
        <v xml:space="preserve">Asdt </v>
      </c>
      <c r="D12" s="53" t="str">
        <f ca="1">IF(B12=Basic!$C$14,Basic!$A$14,"")</f>
        <v/>
      </c>
      <c r="E12" s="53" t="str">
        <f ca="1">IF(B12=Basic!$C$15,Basic!$A$15,"")</f>
        <v/>
      </c>
      <c r="F12" s="53" t="str">
        <f ca="1">IF(B12=Basic!$C$16,Basic!$A$16,"")</f>
        <v/>
      </c>
      <c r="G12" s="53" t="str">
        <f ca="1">IF(B12=Basic!$C$17,Basic!$A$17,"")</f>
        <v/>
      </c>
      <c r="H12" s="53" t="str">
        <f ca="1">IF(B12=Basic!$C$18,Basic!$A$18,"")</f>
        <v/>
      </c>
      <c r="I12" s="53" t="str">
        <f ca="1">IF(B12=Basic!$C$19,Basic!$A$19,"")</f>
        <v/>
      </c>
      <c r="J12" s="53" t="str">
        <f ca="1">IF(B12=Basic!$C$20,Basic!$A$20,"")</f>
        <v/>
      </c>
      <c r="K12" s="53" t="str">
        <f ca="1">IF(B12=Basic!$C$21,Basic!$A$21,"")</f>
        <v xml:space="preserve">Rahu </v>
      </c>
      <c r="L12" s="53" t="str">
        <f ca="1">IF(B12=Basic!$C$22,Basic!$A$22,"")</f>
        <v/>
      </c>
      <c r="M12" s="53" t="str">
        <f ca="1">CONCATENATE(C12,D12,E12,F12,G12,H12,I12,J12,K12,L12)</f>
        <v xml:space="preserve">Asdt Rahu </v>
      </c>
    </row>
    <row r="13" spans="2:13" s="53" customFormat="1" x14ac:dyDescent="0.25">
      <c r="B13" s="53" t="s">
        <v>34</v>
      </c>
      <c r="C13" s="53" t="str">
        <f ca="1">IF(B13=Basic!$C$13,Basic!$A$13,"")</f>
        <v/>
      </c>
      <c r="D13" s="53" t="str">
        <f ca="1">IF(B13=Basic!$C$14,Basic!$A$14,"")</f>
        <v/>
      </c>
      <c r="E13" s="53" t="str">
        <f ca="1">IF(B13=Basic!$C$15,Basic!$A$15,"")</f>
        <v/>
      </c>
      <c r="F13" s="53" t="str">
        <f ca="1">IF(B13=Basic!$C$16,Basic!$A$16,"")</f>
        <v xml:space="preserve">Mars </v>
      </c>
      <c r="G13" s="53" t="str">
        <f ca="1">IF(B13=Basic!$C$17,Basic!$A$17,"")</f>
        <v/>
      </c>
      <c r="H13" s="53" t="str">
        <f ca="1">IF(B13=Basic!$C$18,Basic!$A$18,"")</f>
        <v/>
      </c>
      <c r="I13" s="53" t="str">
        <f ca="1">IF(B13=Basic!$C$19,Basic!$A$19,"")</f>
        <v/>
      </c>
      <c r="J13" s="53" t="str">
        <f ca="1">IF(B13=Basic!$C$20,Basic!$A$20,"")</f>
        <v/>
      </c>
      <c r="K13" s="53" t="str">
        <f ca="1">IF(B13=Basic!$C$21,Basic!$A$21,"")</f>
        <v/>
      </c>
      <c r="L13" s="53" t="str">
        <f ca="1">IF(B13=Basic!$C$22,Basic!$A$22,"")</f>
        <v/>
      </c>
      <c r="M13" s="53" t="str">
        <f t="shared" ref="M13:M22" ca="1" si="0">CONCATENATE(C13,D13,E13,F13,G13,H13,I13,J13,K13,L13)</f>
        <v xml:space="preserve">Mars </v>
      </c>
    </row>
    <row r="14" spans="2:13" s="53" customFormat="1" x14ac:dyDescent="0.25">
      <c r="B14" s="53" t="s">
        <v>35</v>
      </c>
      <c r="C14" s="53" t="str">
        <f ca="1">IF(B14=Basic!$C$13,Basic!$A$13,"")</f>
        <v/>
      </c>
      <c r="D14" s="53" t="str">
        <f ca="1">IF(B14=Basic!$C$14,Basic!$A$14,"")</f>
        <v xml:space="preserve">Sun </v>
      </c>
      <c r="E14" s="53" t="str">
        <f ca="1">IF(B14=Basic!$C$15,Basic!$A$15,"")</f>
        <v xml:space="preserve">Moon </v>
      </c>
      <c r="F14" s="53" t="str">
        <f ca="1">IF(B14=Basic!$C$16,Basic!$A$16,"")</f>
        <v/>
      </c>
      <c r="G14" s="53" t="str">
        <f ca="1">IF(B14=Basic!$C$17,Basic!$A$17,"")</f>
        <v xml:space="preserve">Mercury </v>
      </c>
      <c r="H14" s="53" t="str">
        <f ca="1">IF(B14=Basic!$C$18,Basic!$A$18,"")</f>
        <v/>
      </c>
      <c r="I14" s="53" t="str">
        <f ca="1">IF(B14=Basic!$C$19,Basic!$A$19,"")</f>
        <v xml:space="preserve">Venus </v>
      </c>
      <c r="J14" s="53" t="str">
        <f ca="1">IF(B14=Basic!$C$20,Basic!$A$20,"")</f>
        <v xml:space="preserve">Saturn </v>
      </c>
      <c r="K14" s="53" t="str">
        <f ca="1">IF(B14=Basic!$C$21,Basic!$A$21,"")</f>
        <v/>
      </c>
      <c r="L14" s="53" t="str">
        <f ca="1">IF(B14=Basic!$C$22,Basic!$A$22,"")</f>
        <v/>
      </c>
      <c r="M14" s="53" t="str">
        <f t="shared" ca="1" si="0"/>
        <v xml:space="preserve">Sun Moon Mercury Venus Saturn </v>
      </c>
    </row>
    <row r="15" spans="2:13" s="53" customFormat="1" x14ac:dyDescent="0.25">
      <c r="B15" s="53" t="s">
        <v>36</v>
      </c>
      <c r="C15" s="53" t="str">
        <f ca="1">IF(B15=Basic!$C$13,Basic!$A$13,"")</f>
        <v/>
      </c>
      <c r="D15" s="53" t="str">
        <f ca="1">IF(B15=Basic!$C$14,Basic!$A$14,"")</f>
        <v/>
      </c>
      <c r="E15" s="53" t="str">
        <f ca="1">IF(B15=Basic!$C$15,Basic!$A$15,"")</f>
        <v/>
      </c>
      <c r="F15" s="53" t="str">
        <f ca="1">IF(B15=Basic!$C$16,Basic!$A$16,"")</f>
        <v/>
      </c>
      <c r="G15" s="53" t="str">
        <f ca="1">IF(B15=Basic!$C$17,Basic!$A$17,"")</f>
        <v/>
      </c>
      <c r="H15" s="53" t="str">
        <f ca="1">IF(B15=Basic!$C$18,Basic!$A$18,"")</f>
        <v/>
      </c>
      <c r="I15" s="53" t="str">
        <f ca="1">IF(B15=Basic!$C$19,Basic!$A$19,"")</f>
        <v/>
      </c>
      <c r="J15" s="53" t="str">
        <f ca="1">IF(B15=Basic!$C$20,Basic!$A$20,"")</f>
        <v/>
      </c>
      <c r="K15" s="53" t="str">
        <f ca="1">IF(B15=Basic!$C$21,Basic!$A$21,"")</f>
        <v/>
      </c>
      <c r="L15" s="53" t="str">
        <f ca="1">IF(B15=Basic!$C$22,Basic!$A$22,"")</f>
        <v/>
      </c>
      <c r="M15" s="53" t="str">
        <f t="shared" ca="1" si="0"/>
        <v/>
      </c>
    </row>
    <row r="16" spans="2:13" s="53" customFormat="1" x14ac:dyDescent="0.25">
      <c r="B16" s="53" t="s">
        <v>37</v>
      </c>
      <c r="C16" s="53" t="str">
        <f ca="1">IF(B16=Basic!$C$13,Basic!$A$13,"")</f>
        <v/>
      </c>
      <c r="D16" s="53" t="str">
        <f ca="1">IF(B16=Basic!$C$14,Basic!$A$14,"")</f>
        <v/>
      </c>
      <c r="E16" s="53" t="str">
        <f ca="1">IF(B16=Basic!$C$15,Basic!$A$15,"")</f>
        <v/>
      </c>
      <c r="F16" s="53" t="str">
        <f ca="1">IF(B16=Basic!$C$16,Basic!$A$16,"")</f>
        <v/>
      </c>
      <c r="G16" s="53" t="str">
        <f ca="1">IF(B16=Basic!$C$17,Basic!$A$17,"")</f>
        <v/>
      </c>
      <c r="H16" s="53" t="str">
        <f ca="1">IF(B16=Basic!$C$18,Basic!$A$18,"")</f>
        <v/>
      </c>
      <c r="I16" s="53" t="str">
        <f ca="1">IF(B16=Basic!$C$19,Basic!$A$19,"")</f>
        <v/>
      </c>
      <c r="J16" s="53" t="str">
        <f ca="1">IF(B16=Basic!$C$20,Basic!$A$20,"")</f>
        <v/>
      </c>
      <c r="K16" s="53" t="str">
        <f ca="1">IF(B16=Basic!$C$21,Basic!$A$21,"")</f>
        <v/>
      </c>
      <c r="L16" s="53" t="str">
        <f ca="1">IF(B16=Basic!$C$22,Basic!$A$22,"")</f>
        <v/>
      </c>
      <c r="M16" s="53" t="str">
        <f t="shared" ca="1" si="0"/>
        <v/>
      </c>
    </row>
    <row r="17" spans="2:13" s="53" customFormat="1" x14ac:dyDescent="0.25">
      <c r="B17" s="53" t="s">
        <v>38</v>
      </c>
      <c r="C17" s="53" t="str">
        <f ca="1">IF(B17=Basic!$C$13,Basic!$A$13,"")</f>
        <v/>
      </c>
      <c r="D17" s="53" t="str">
        <f ca="1">IF(B17=Basic!$C$14,Basic!$A$14,"")</f>
        <v/>
      </c>
      <c r="E17" s="53" t="str">
        <f ca="1">IF(B17=Basic!$C$15,Basic!$A$15,"")</f>
        <v/>
      </c>
      <c r="F17" s="53" t="str">
        <f ca="1">IF(B17=Basic!$C$16,Basic!$A$16,"")</f>
        <v/>
      </c>
      <c r="G17" s="53" t="str">
        <f ca="1">IF(B17=Basic!$C$17,Basic!$A$17,"")</f>
        <v/>
      </c>
      <c r="H17" s="53" t="str">
        <f ca="1">IF(B17=Basic!$C$18,Basic!$A$18,"")</f>
        <v>Jupiter</v>
      </c>
      <c r="I17" s="53" t="str">
        <f ca="1">IF(B17=Basic!$C$19,Basic!$A$19,"")</f>
        <v/>
      </c>
      <c r="J17" s="53" t="str">
        <f ca="1">IF(B17=Basic!$C$20,Basic!$A$20,"")</f>
        <v/>
      </c>
      <c r="K17" s="53" t="str">
        <f ca="1">IF(B17=Basic!$C$21,Basic!$A$21,"")</f>
        <v/>
      </c>
      <c r="L17" s="53" t="str">
        <f ca="1">IF(B17=Basic!$C$22,Basic!$A$22,"")</f>
        <v/>
      </c>
      <c r="M17" s="53" t="str">
        <f t="shared" ca="1" si="0"/>
        <v>Jupiter</v>
      </c>
    </row>
    <row r="18" spans="2:13" s="53" customFormat="1" x14ac:dyDescent="0.25">
      <c r="B18" s="53" t="s">
        <v>39</v>
      </c>
      <c r="C18" s="53" t="str">
        <f ca="1">IF(B18=Basic!$C$13,Basic!$A$13,"")</f>
        <v/>
      </c>
      <c r="D18" s="53" t="str">
        <f ca="1">IF(B18=Basic!$C$14,Basic!$A$14,"")</f>
        <v/>
      </c>
      <c r="E18" s="53" t="str">
        <f ca="1">IF(B18=Basic!$C$15,Basic!$A$15,"")</f>
        <v/>
      </c>
      <c r="F18" s="53" t="str">
        <f ca="1">IF(B18=Basic!$C$16,Basic!$A$16,"")</f>
        <v/>
      </c>
      <c r="G18" s="53" t="str">
        <f ca="1">IF(B18=Basic!$C$17,Basic!$A$17,"")</f>
        <v/>
      </c>
      <c r="H18" s="53" t="str">
        <f ca="1">IF(B18=Basic!$C$18,Basic!$A$18,"")</f>
        <v/>
      </c>
      <c r="I18" s="53" t="str">
        <f ca="1">IF(B18=Basic!$C$19,Basic!$A$19,"")</f>
        <v/>
      </c>
      <c r="J18" s="53" t="str">
        <f ca="1">IF(B18=Basic!$C$20,Basic!$A$20,"")</f>
        <v/>
      </c>
      <c r="K18" s="53" t="str">
        <f ca="1">IF(B18=Basic!$C$21,Basic!$A$21,"")</f>
        <v/>
      </c>
      <c r="L18" s="53" t="str">
        <f ca="1">IF(B18=Basic!$C$22,Basic!$A$22,"")</f>
        <v xml:space="preserve">Ketu </v>
      </c>
      <c r="M18" s="53" t="str">
        <f ca="1">CONCATENATE(C18,D18,E18,F18,G18,H18,I18,J18,K18,L18)</f>
        <v xml:space="preserve">Ketu </v>
      </c>
    </row>
    <row r="19" spans="2:13" s="53" customFormat="1" x14ac:dyDescent="0.25">
      <c r="B19" s="53" t="s">
        <v>40</v>
      </c>
      <c r="C19" s="53" t="str">
        <f ca="1">IF(B19=Basic!$C$13,Basic!$A$13,"")</f>
        <v/>
      </c>
      <c r="D19" s="53" t="str">
        <f ca="1">IF(B19=Basic!$C$14,Basic!$A$14,"")</f>
        <v/>
      </c>
      <c r="E19" s="53" t="str">
        <f ca="1">IF(B19=Basic!$C$15,Basic!$A$15,"")</f>
        <v/>
      </c>
      <c r="F19" s="53" t="str">
        <f ca="1">IF(B19=Basic!$C$16,Basic!$A$16,"")</f>
        <v/>
      </c>
      <c r="G19" s="53" t="str">
        <f ca="1">IF(B19=Basic!$C$17,Basic!$A$17,"")</f>
        <v/>
      </c>
      <c r="H19" s="53" t="str">
        <f ca="1">IF(B19=Basic!$C$18,Basic!$A$18,"")</f>
        <v/>
      </c>
      <c r="I19" s="53" t="str">
        <f ca="1">IF(B19=Basic!$C$19,Basic!$A$19,"")</f>
        <v/>
      </c>
      <c r="J19" s="53" t="str">
        <f ca="1">IF(B19=Basic!$C$20,Basic!$A$20,"")</f>
        <v/>
      </c>
      <c r="K19" s="53" t="str">
        <f ca="1">IF(B19=Basic!$C$21,Basic!$A$21,"")</f>
        <v/>
      </c>
      <c r="L19" s="53" t="str">
        <f ca="1">IF(B19=Basic!$C$22,Basic!$A$22,"")</f>
        <v/>
      </c>
      <c r="M19" s="53" t="str">
        <f t="shared" ca="1" si="0"/>
        <v/>
      </c>
    </row>
    <row r="20" spans="2:13" s="53" customFormat="1" x14ac:dyDescent="0.25">
      <c r="B20" s="53" t="s">
        <v>41</v>
      </c>
      <c r="C20" s="53" t="str">
        <f ca="1">IF(B20=Basic!$C$13,Basic!$A$13,"")</f>
        <v/>
      </c>
      <c r="D20" s="53" t="str">
        <f ca="1">IF(B20=Basic!$C$14,Basic!$A$14,"")</f>
        <v/>
      </c>
      <c r="E20" s="53" t="str">
        <f ca="1">IF(B20=Basic!$C$15,Basic!$A$15,"")</f>
        <v/>
      </c>
      <c r="F20" s="53" t="str">
        <f ca="1">IF(B20=Basic!$C$16,Basic!$A$16,"")</f>
        <v/>
      </c>
      <c r="G20" s="53" t="str">
        <f ca="1">IF(B20=Basic!$C$17,Basic!$A$17,"")</f>
        <v/>
      </c>
      <c r="H20" s="53" t="str">
        <f ca="1">IF(B20=Basic!$C$18,Basic!$A$18,"")</f>
        <v/>
      </c>
      <c r="I20" s="53" t="str">
        <f ca="1">IF(B20=Basic!$C$19,Basic!$A$19,"")</f>
        <v/>
      </c>
      <c r="J20" s="53" t="str">
        <f ca="1">IF(B20=Basic!$C$20,Basic!$A$20,"")</f>
        <v/>
      </c>
      <c r="K20" s="53" t="str">
        <f ca="1">IF(B20=Basic!$C$21,Basic!$A$21,"")</f>
        <v/>
      </c>
      <c r="L20" s="53" t="str">
        <f ca="1">IF(B20=Basic!$C$22,Basic!$A$22,"")</f>
        <v/>
      </c>
      <c r="M20" s="53" t="str">
        <f t="shared" ca="1" si="0"/>
        <v/>
      </c>
    </row>
    <row r="21" spans="2:13" s="53" customFormat="1" x14ac:dyDescent="0.25">
      <c r="B21" s="53" t="s">
        <v>42</v>
      </c>
      <c r="C21" s="53" t="str">
        <f ca="1">IF(B21=Basic!$C$13,Basic!$A$13,"")</f>
        <v/>
      </c>
      <c r="D21" s="53" t="str">
        <f ca="1">IF(B21=Basic!$C$14,Basic!$A$14,"")</f>
        <v/>
      </c>
      <c r="E21" s="53" t="str">
        <f ca="1">IF(B21=Basic!$C$15,Basic!$A$15,"")</f>
        <v/>
      </c>
      <c r="F21" s="53" t="str">
        <f ca="1">IF(B21=Basic!$C$16,Basic!$A$16,"")</f>
        <v/>
      </c>
      <c r="G21" s="53" t="str">
        <f ca="1">IF(B21=Basic!$C$17,Basic!$A$17,"")</f>
        <v/>
      </c>
      <c r="H21" s="53" t="str">
        <f ca="1">IF(B21=Basic!$C$18,Basic!$A$18,"")</f>
        <v/>
      </c>
      <c r="I21" s="53" t="str">
        <f ca="1">IF(B21=Basic!$C$19,Basic!$A$19,"")</f>
        <v/>
      </c>
      <c r="J21" s="53" t="str">
        <f ca="1">IF(B21=Basic!$C$20,Basic!$A$20,"")</f>
        <v/>
      </c>
      <c r="K21" s="53" t="str">
        <f ca="1">IF(B21=Basic!$C$21,Basic!$A$21,"")</f>
        <v/>
      </c>
      <c r="L21" s="53" t="str">
        <f ca="1">IF(B21=Basic!$C$22,Basic!$A$22,"")</f>
        <v/>
      </c>
      <c r="M21" s="53" t="str">
        <f t="shared" ca="1" si="0"/>
        <v/>
      </c>
    </row>
    <row r="22" spans="2:13" s="53" customFormat="1" x14ac:dyDescent="0.25">
      <c r="B22" s="53" t="s">
        <v>43</v>
      </c>
      <c r="C22" s="53" t="str">
        <f ca="1">IF(B22=Basic!$C$13,Basic!$A$13,"")</f>
        <v/>
      </c>
      <c r="D22" s="53" t="str">
        <f ca="1">IF(B22=Basic!$C$14,Basic!$A$14,"")</f>
        <v/>
      </c>
      <c r="E22" s="53" t="str">
        <f ca="1">IF(B22=Basic!$C$15,Basic!$A$15,"")</f>
        <v/>
      </c>
      <c r="F22" s="53" t="str">
        <f ca="1">IF(B22=Basic!$C$16,Basic!$A$16,"")</f>
        <v/>
      </c>
      <c r="G22" s="53" t="str">
        <f ca="1">IF(B22=Basic!$C$17,Basic!$A$17,"")</f>
        <v/>
      </c>
      <c r="H22" s="53" t="str">
        <f ca="1">IF(B22=Basic!$C$18,Basic!$A$18,"")</f>
        <v/>
      </c>
      <c r="I22" s="53" t="str">
        <f ca="1">IF(B22=Basic!$C$19,Basic!$A$19,"")</f>
        <v/>
      </c>
      <c r="J22" s="53" t="str">
        <f ca="1">IF(B22=Basic!$C$20,Basic!$A$20,"")</f>
        <v/>
      </c>
      <c r="K22" s="53" t="str">
        <f ca="1">IF(B22=Basic!$C$21,Basic!$A$21,"")</f>
        <v/>
      </c>
      <c r="L22" s="53" t="str">
        <f ca="1">IF(B22=Basic!$C$22,Basic!$A$22,"")</f>
        <v/>
      </c>
      <c r="M22" s="53" t="str">
        <f t="shared" ca="1" si="0"/>
        <v/>
      </c>
    </row>
    <row r="23" spans="2:13" s="53" customFormat="1" x14ac:dyDescent="0.25"/>
    <row r="24" spans="2:13" s="53" customFormat="1" x14ac:dyDescent="0.25">
      <c r="B24" s="53" t="s">
        <v>10</v>
      </c>
      <c r="C24" s="53">
        <v>1</v>
      </c>
      <c r="D24" s="53">
        <v>2</v>
      </c>
      <c r="E24" s="53">
        <v>3</v>
      </c>
      <c r="F24" s="53">
        <v>4</v>
      </c>
      <c r="G24" s="53">
        <v>5</v>
      </c>
      <c r="H24" s="53">
        <v>6</v>
      </c>
      <c r="I24" s="53">
        <v>7</v>
      </c>
      <c r="J24" s="53">
        <v>8</v>
      </c>
      <c r="K24" s="53">
        <v>9</v>
      </c>
      <c r="L24" s="53">
        <v>10</v>
      </c>
    </row>
    <row r="25" spans="2:13" s="53" customFormat="1" x14ac:dyDescent="0.25">
      <c r="B25" s="53" t="s">
        <v>32</v>
      </c>
      <c r="C25" s="53" t="str">
        <f ca="1">IF(B25=div!$C$4,div!$A$4,"")</f>
        <v/>
      </c>
      <c r="D25" s="53" t="str">
        <f ca="1">IF(B25=div!$C$5,div!$A$5,"")</f>
        <v/>
      </c>
      <c r="E25" s="53" t="str">
        <f ca="1">IF(B25=div!$C$6,div!$A$6,"")</f>
        <v/>
      </c>
      <c r="F25" s="53" t="str">
        <f ca="1">IF(B25=div!$C$7,div!$A$7,"")</f>
        <v/>
      </c>
      <c r="G25" s="53" t="str">
        <f ca="1">IF(B25=div!$C$8,div!$A$8,"")</f>
        <v/>
      </c>
      <c r="H25" s="53" t="str">
        <f ca="1">IF(B25=div!$C$9,div!$A$9,"")</f>
        <v/>
      </c>
      <c r="I25" s="53" t="str">
        <f ca="1">IF(B25=div!$C$10,div!$A$10,"")</f>
        <v/>
      </c>
      <c r="J25" s="53" t="str">
        <f ca="1">IF(B25=div!$C$11,div!$A$11,"")</f>
        <v/>
      </c>
      <c r="K25" s="53" t="str">
        <f ca="1">IF(B25=div!$C$12,div!$A$12,"")</f>
        <v/>
      </c>
      <c r="L25" s="53" t="str">
        <f ca="1">IF(B25=div!$C$13,div!$A$13,"")</f>
        <v xml:space="preserve">Ketu </v>
      </c>
      <c r="M25" s="53" t="str">
        <f t="shared" ref="M25:M36" ca="1" si="1">CONCATENATE(C25,D25,E25,F25,G25,H25,I25,J25,K25,L25)</f>
        <v xml:space="preserve">Ketu </v>
      </c>
    </row>
    <row r="26" spans="2:13" s="53" customFormat="1" x14ac:dyDescent="0.25">
      <c r="B26" s="53" t="s">
        <v>33</v>
      </c>
      <c r="C26" s="53" t="str">
        <f ca="1">IF(B26=div!$C$4,div!$A$4,"")</f>
        <v/>
      </c>
      <c r="D26" s="53" t="str">
        <f ca="1">IF(B26=div!$C$5,div!$A$5,"")</f>
        <v/>
      </c>
      <c r="E26" s="53" t="str">
        <f ca="1">IF(B26=div!$C$6,div!$A$6,"")</f>
        <v/>
      </c>
      <c r="F26" s="53" t="str">
        <f ca="1">IF(B26=div!$C$7,div!$A$7,"")</f>
        <v/>
      </c>
      <c r="G26" s="53" t="str">
        <f ca="1">IF(B26=div!$C$8,div!$A$8,"")</f>
        <v/>
      </c>
      <c r="H26" s="53" t="str">
        <f ca="1">IF(B26=div!$C$9,div!$A$9,"")</f>
        <v xml:space="preserve">(Jupiter) </v>
      </c>
      <c r="I26" s="53" t="str">
        <f ca="1">IF(B26=div!$C$10,div!$A$10,"")</f>
        <v/>
      </c>
      <c r="J26" s="53" t="str">
        <f ca="1">IF(B26=div!$C$11,div!$A$11,"")</f>
        <v/>
      </c>
      <c r="K26" s="53" t="str">
        <f ca="1">IF(B26=div!$C$12,div!$A$12,"")</f>
        <v xml:space="preserve">Rahu </v>
      </c>
      <c r="L26" s="53" t="str">
        <f ca="1">IF(B26=div!$C$13,div!$A$13,"")</f>
        <v/>
      </c>
      <c r="M26" s="53" t="str">
        <f t="shared" ca="1" si="1"/>
        <v xml:space="preserve">(Jupiter) Rahu </v>
      </c>
    </row>
    <row r="27" spans="2:13" s="53" customFormat="1" x14ac:dyDescent="0.25">
      <c r="B27" s="53" t="s">
        <v>34</v>
      </c>
      <c r="C27" s="53" t="str">
        <f ca="1">IF(B27=div!$C$4,div!$A$4,"")</f>
        <v/>
      </c>
      <c r="D27" s="53" t="str">
        <f ca="1">IF(B27=div!$C$5,div!$A$5,"")</f>
        <v/>
      </c>
      <c r="E27" s="53" t="str">
        <f ca="1">IF(B27=div!$C$6,div!$A$6,"")</f>
        <v/>
      </c>
      <c r="F27" s="53" t="str">
        <f ca="1">IF(B27=div!$C$7,div!$A$7,"")</f>
        <v/>
      </c>
      <c r="G27" s="53" t="str">
        <f ca="1">IF(B27=div!$C$8,div!$A$8,"")</f>
        <v/>
      </c>
      <c r="H27" s="53" t="str">
        <f ca="1">IF(B27=div!$C$9,div!$A$9,"")</f>
        <v/>
      </c>
      <c r="I27" s="53" t="str">
        <f ca="1">IF(B27=div!$C$10,div!$A$10,"")</f>
        <v/>
      </c>
      <c r="J27" s="53" t="str">
        <f ca="1">IF(B27=div!$C$11,div!$A$11,"")</f>
        <v/>
      </c>
      <c r="K27" s="53" t="str">
        <f ca="1">IF(B27=div!$C$12,div!$A$12,"")</f>
        <v/>
      </c>
      <c r="L27" s="53" t="str">
        <f ca="1">IF(B27=div!$C$13,div!$A$13,"")</f>
        <v/>
      </c>
      <c r="M27" s="53" t="str">
        <f t="shared" ca="1" si="1"/>
        <v/>
      </c>
    </row>
    <row r="28" spans="2:13" s="53" customFormat="1" x14ac:dyDescent="0.25">
      <c r="B28" s="53" t="s">
        <v>35</v>
      </c>
      <c r="C28" s="53" t="str">
        <f ca="1">IF(B28=div!$C$4,div!$A$4,"")</f>
        <v xml:space="preserve">Asdt </v>
      </c>
      <c r="D28" s="53" t="str">
        <f ca="1">IF(B28=div!$C$5,div!$A$5,"")</f>
        <v/>
      </c>
      <c r="E28" s="53" t="str">
        <f ca="1">IF(B28=div!$C$6,div!$A$6,"")</f>
        <v xml:space="preserve">Moon </v>
      </c>
      <c r="F28" s="53" t="str">
        <f ca="1">IF(B28=div!$C$7,div!$A$7,"")</f>
        <v/>
      </c>
      <c r="G28" s="53" t="str">
        <f ca="1">IF(B28=div!$C$8,div!$A$8,"")</f>
        <v xml:space="preserve">Mercury </v>
      </c>
      <c r="H28" s="53" t="str">
        <f ca="1">IF(B28=div!$C$9,div!$A$9,"")</f>
        <v/>
      </c>
      <c r="I28" s="53" t="str">
        <f ca="1">IF(B28=div!$C$10,div!$A$10,"")</f>
        <v/>
      </c>
      <c r="J28" s="53" t="str">
        <f ca="1">IF(B28=div!$C$11,div!$A$11,"")</f>
        <v/>
      </c>
      <c r="K28" s="53" t="str">
        <f ca="1">IF(B28=div!$C$12,div!$A$12,"")</f>
        <v/>
      </c>
      <c r="L28" s="53" t="str">
        <f ca="1">IF(B28=div!$C$13,div!$A$13,"")</f>
        <v/>
      </c>
      <c r="M28" s="53" t="str">
        <f t="shared" ca="1" si="1"/>
        <v xml:space="preserve">Asdt Moon Mercury </v>
      </c>
    </row>
    <row r="29" spans="2:13" s="53" customFormat="1" x14ac:dyDescent="0.25">
      <c r="B29" s="53" t="s">
        <v>36</v>
      </c>
      <c r="C29" s="53" t="str">
        <f ca="1">IF(B29=div!$C$4,div!$A$4,"")</f>
        <v/>
      </c>
      <c r="D29" s="53" t="str">
        <f ca="1">IF(B29=div!$C$5,div!$A$5,"")</f>
        <v xml:space="preserve">Sun </v>
      </c>
      <c r="E29" s="53" t="str">
        <f ca="1">IF(B29=div!$C$6,div!$A$6,"")</f>
        <v/>
      </c>
      <c r="F29" s="53" t="str">
        <f ca="1">IF(B29=div!$C$7,div!$A$7,"")</f>
        <v/>
      </c>
      <c r="G29" s="53" t="str">
        <f ca="1">IF(B29=div!$C$8,div!$A$8,"")</f>
        <v/>
      </c>
      <c r="H29" s="53" t="str">
        <f ca="1">IF(B29=div!$C$9,div!$A$9,"")</f>
        <v/>
      </c>
      <c r="I29" s="53" t="str">
        <f ca="1">IF(B29=div!$C$10,div!$A$10,"")</f>
        <v xml:space="preserve">Venus </v>
      </c>
      <c r="J29" s="53" t="str">
        <f ca="1">IF(B29=div!$C$11,div!$A$11,"")</f>
        <v xml:space="preserve">Saturn </v>
      </c>
      <c r="K29" s="53" t="str">
        <f ca="1">IF(B29=div!$C$12,div!$A$12,"")</f>
        <v/>
      </c>
      <c r="L29" s="53" t="str">
        <f ca="1">IF(B29=div!$C$13,div!$A$13,"")</f>
        <v/>
      </c>
      <c r="M29" s="53" t="str">
        <f t="shared" ca="1" si="1"/>
        <v xml:space="preserve">Sun Venus Saturn </v>
      </c>
    </row>
    <row r="30" spans="2:13" s="53" customFormat="1" x14ac:dyDescent="0.25">
      <c r="B30" s="53" t="s">
        <v>37</v>
      </c>
      <c r="C30" s="53" t="str">
        <f ca="1">IF(B30=div!$C$4,div!$A$4,"")</f>
        <v/>
      </c>
      <c r="D30" s="53" t="str">
        <f ca="1">IF(B30=div!$C$5,div!$A$5,"")</f>
        <v/>
      </c>
      <c r="E30" s="53" t="str">
        <f ca="1">IF(B30=div!$C$6,div!$A$6,"")</f>
        <v/>
      </c>
      <c r="F30" s="53" t="str">
        <f ca="1">IF(B30=div!$C$7,div!$A$7,"")</f>
        <v xml:space="preserve">Mars </v>
      </c>
      <c r="G30" s="53" t="str">
        <f ca="1">IF(B30=div!$C$8,div!$A$8,"")</f>
        <v/>
      </c>
      <c r="H30" s="53" t="str">
        <f ca="1">IF(B30=div!$C$9,div!$A$9,"")</f>
        <v/>
      </c>
      <c r="I30" s="53" t="str">
        <f ca="1">IF(B30=div!$C$10,div!$A$10,"")</f>
        <v/>
      </c>
      <c r="J30" s="53" t="str">
        <f ca="1">IF(B30=div!$C$11,div!$A$11,"")</f>
        <v/>
      </c>
      <c r="K30" s="53" t="str">
        <f ca="1">IF(B30=div!$C$12,div!$A$12,"")</f>
        <v/>
      </c>
      <c r="L30" s="53" t="str">
        <f ca="1">IF(B30=div!$C$13,div!$A$13,"")</f>
        <v/>
      </c>
      <c r="M30" s="53" t="str">
        <f t="shared" ca="1" si="1"/>
        <v xml:space="preserve">Mars </v>
      </c>
    </row>
    <row r="31" spans="2:13" s="53" customFormat="1" x14ac:dyDescent="0.25">
      <c r="B31" s="53" t="s">
        <v>38</v>
      </c>
      <c r="C31" s="53" t="str">
        <f ca="1">IF(B31=div!$C$4,div!$A$4,"")</f>
        <v/>
      </c>
      <c r="D31" s="53" t="str">
        <f ca="1">IF(B31=div!$C$5,div!$A$5,"")</f>
        <v/>
      </c>
      <c r="E31" s="53" t="str">
        <f ca="1">IF(B31=div!$C$6,div!$A$6,"")</f>
        <v/>
      </c>
      <c r="F31" s="53" t="str">
        <f ca="1">IF(B31=div!$C$7,div!$A$7,"")</f>
        <v/>
      </c>
      <c r="G31" s="53" t="str">
        <f ca="1">IF(B31=div!$C$8,div!$A$8,"")</f>
        <v/>
      </c>
      <c r="H31" s="53" t="str">
        <f ca="1">IF(B31=div!$C$9,div!$A$9,"")</f>
        <v/>
      </c>
      <c r="I31" s="53" t="str">
        <f ca="1">IF(B31=div!$C$10,div!$A$10,"")</f>
        <v/>
      </c>
      <c r="J31" s="53" t="str">
        <f ca="1">IF(B31=div!$C$11,div!$A$11,"")</f>
        <v/>
      </c>
      <c r="K31" s="53" t="str">
        <f ca="1">IF(B31=div!$C$12,div!$A$12,"")</f>
        <v/>
      </c>
      <c r="L31" s="53" t="str">
        <f ca="1">IF(B31=div!$C$13,div!$A$13,"")</f>
        <v/>
      </c>
      <c r="M31" s="53" t="str">
        <f t="shared" ca="1" si="1"/>
        <v/>
      </c>
    </row>
    <row r="32" spans="2:13" s="53" customFormat="1" x14ac:dyDescent="0.25">
      <c r="B32" s="53" t="s">
        <v>39</v>
      </c>
      <c r="C32" s="53" t="str">
        <f ca="1">IF(B32=div!$C$4,div!$A$4,"")</f>
        <v/>
      </c>
      <c r="D32" s="53" t="str">
        <f ca="1">IF(B32=div!$C$5,div!$A$5,"")</f>
        <v/>
      </c>
      <c r="E32" s="53" t="str">
        <f ca="1">IF(B32=div!$C$6,div!$A$6,"")</f>
        <v/>
      </c>
      <c r="F32" s="53" t="str">
        <f ca="1">IF(B32=div!$C$7,div!$A$7,"")</f>
        <v/>
      </c>
      <c r="G32" s="53" t="str">
        <f ca="1">IF(B32=div!$C$8,div!$A$8,"")</f>
        <v/>
      </c>
      <c r="H32" s="53" t="str">
        <f ca="1">IF(B32=div!$C$9,div!$A$9,"")</f>
        <v/>
      </c>
      <c r="I32" s="53" t="str">
        <f ca="1">IF(B32=div!$C$10,div!$A$10,"")</f>
        <v/>
      </c>
      <c r="J32" s="53" t="str">
        <f ca="1">IF(B32=div!$C$11,div!$A$11,"")</f>
        <v/>
      </c>
      <c r="K32" s="53" t="str">
        <f ca="1">IF(B32=div!$C$12,div!$A$12,"")</f>
        <v/>
      </c>
      <c r="L32" s="53" t="str">
        <f ca="1">IF(B32=div!$C$13,div!$A$13,"")</f>
        <v/>
      </c>
      <c r="M32" s="53" t="str">
        <f t="shared" ca="1" si="1"/>
        <v/>
      </c>
    </row>
    <row r="33" spans="2:13" s="53" customFormat="1" x14ac:dyDescent="0.25">
      <c r="B33" s="53" t="s">
        <v>40</v>
      </c>
      <c r="C33" s="53" t="str">
        <f ca="1">IF(B33=div!$C$4,div!$A$4,"")</f>
        <v/>
      </c>
      <c r="D33" s="53" t="str">
        <f ca="1">IF(B33=div!$C$5,div!$A$5,"")</f>
        <v/>
      </c>
      <c r="E33" s="53" t="str">
        <f ca="1">IF(B33=div!$C$6,div!$A$6,"")</f>
        <v/>
      </c>
      <c r="F33" s="53" t="str">
        <f ca="1">IF(B33=div!$C$7,div!$A$7,"")</f>
        <v/>
      </c>
      <c r="G33" s="53" t="str">
        <f ca="1">IF(B33=div!$C$8,div!$A$8,"")</f>
        <v/>
      </c>
      <c r="H33" s="53" t="str">
        <f ca="1">IF(B33=div!$C$9,div!$A$9,"")</f>
        <v/>
      </c>
      <c r="I33" s="53" t="str">
        <f ca="1">IF(B33=div!$C$10,div!$A$10,"")</f>
        <v/>
      </c>
      <c r="J33" s="53" t="str">
        <f ca="1">IF(B33=div!$C$11,div!$A$11,"")</f>
        <v/>
      </c>
      <c r="K33" s="53" t="str">
        <f ca="1">IF(B33=div!$C$12,div!$A$12,"")</f>
        <v/>
      </c>
      <c r="L33" s="53" t="str">
        <f ca="1">IF(B33=div!$C$13,div!$A$13,"")</f>
        <v/>
      </c>
      <c r="M33" s="53" t="str">
        <f t="shared" ca="1" si="1"/>
        <v/>
      </c>
    </row>
    <row r="34" spans="2:13" s="53" customFormat="1" x14ac:dyDescent="0.25">
      <c r="B34" s="53" t="s">
        <v>41</v>
      </c>
      <c r="C34" s="53" t="str">
        <f ca="1">IF(B34=div!$C$4,div!$A$4,"")</f>
        <v/>
      </c>
      <c r="D34" s="53" t="str">
        <f ca="1">IF(B34=div!$C$5,div!$A$5,"")</f>
        <v/>
      </c>
      <c r="E34" s="53" t="str">
        <f ca="1">IF(B34=div!$C$6,div!$A$6,"")</f>
        <v/>
      </c>
      <c r="F34" s="53" t="str">
        <f ca="1">IF(B34=div!$C$7,div!$A$7,"")</f>
        <v/>
      </c>
      <c r="G34" s="53" t="str">
        <f ca="1">IF(B34=div!$C$8,div!$A$8,"")</f>
        <v/>
      </c>
      <c r="H34" s="53" t="str">
        <f ca="1">IF(B34=div!$C$9,div!$A$9,"")</f>
        <v/>
      </c>
      <c r="I34" s="53" t="str">
        <f ca="1">IF(B34=div!$C$10,div!$A$10,"")</f>
        <v/>
      </c>
      <c r="J34" s="53" t="str">
        <f ca="1">IF(B34=div!$C$11,div!$A$11,"")</f>
        <v/>
      </c>
      <c r="K34" s="53" t="str">
        <f ca="1">IF(B34=div!$C$12,div!$A$12,"")</f>
        <v/>
      </c>
      <c r="L34" s="53" t="str">
        <f ca="1">IF(B34=div!$C$13,div!$A$13,"")</f>
        <v/>
      </c>
      <c r="M34" s="53" t="str">
        <f t="shared" ca="1" si="1"/>
        <v/>
      </c>
    </row>
    <row r="35" spans="2:13" s="53" customFormat="1" x14ac:dyDescent="0.25">
      <c r="B35" s="53" t="s">
        <v>42</v>
      </c>
      <c r="C35" s="53" t="str">
        <f ca="1">IF(B35=div!$C$4,div!$A$4,"")</f>
        <v/>
      </c>
      <c r="D35" s="53" t="str">
        <f ca="1">IF(B35=div!$C$5,div!$A$5,"")</f>
        <v/>
      </c>
      <c r="E35" s="53" t="str">
        <f ca="1">IF(B35=div!$C$6,div!$A$6,"")</f>
        <v/>
      </c>
      <c r="F35" s="53" t="str">
        <f ca="1">IF(B35=div!$C$7,div!$A$7,"")</f>
        <v/>
      </c>
      <c r="G35" s="53" t="str">
        <f ca="1">IF(B35=div!$C$8,div!$A$8,"")</f>
        <v/>
      </c>
      <c r="H35" s="53" t="str">
        <f ca="1">IF(B35=div!$C$9,div!$A$9,"")</f>
        <v/>
      </c>
      <c r="I35" s="53" t="str">
        <f ca="1">IF(B35=div!$C$10,div!$A$10,"")</f>
        <v/>
      </c>
      <c r="J35" s="53" t="str">
        <f ca="1">IF(B35=div!$C$11,div!$A$11,"")</f>
        <v/>
      </c>
      <c r="K35" s="53" t="str">
        <f ca="1">IF(B35=div!$C$12,div!$A$12,"")</f>
        <v/>
      </c>
      <c r="L35" s="53" t="str">
        <f ca="1">IF(B35=div!$C$13,div!$A$13,"")</f>
        <v/>
      </c>
      <c r="M35" s="53" t="str">
        <f t="shared" ca="1" si="1"/>
        <v/>
      </c>
    </row>
    <row r="36" spans="2:13" s="53" customFormat="1" x14ac:dyDescent="0.25">
      <c r="B36" s="53" t="s">
        <v>43</v>
      </c>
      <c r="C36" s="53" t="str">
        <f ca="1">IF(B36=div!$C$4,div!$A$4,"")</f>
        <v/>
      </c>
      <c r="D36" s="53" t="str">
        <f ca="1">IF(B36=div!$C$5,div!$A$5,"")</f>
        <v/>
      </c>
      <c r="E36" s="53" t="str">
        <f ca="1">IF(B36=div!$C$6,div!$A$6,"")</f>
        <v/>
      </c>
      <c r="F36" s="53" t="str">
        <f ca="1">IF(B36=div!$C$7,div!$A$7,"")</f>
        <v/>
      </c>
      <c r="G36" s="53" t="str">
        <f ca="1">IF(B36=div!$C$8,div!$A$8,"")</f>
        <v/>
      </c>
      <c r="H36" s="53" t="str">
        <f ca="1">IF(B36=div!$C$9,div!$A$9,"")</f>
        <v/>
      </c>
      <c r="I36" s="53" t="str">
        <f ca="1">IF(B36=div!$C$10,div!$A$10,"")</f>
        <v/>
      </c>
      <c r="J36" s="53" t="str">
        <f ca="1">IF(B36=div!$C$11,div!$A$11,"")</f>
        <v/>
      </c>
      <c r="K36" s="53" t="str">
        <f ca="1">IF(B36=div!$C$12,div!$A$12,"")</f>
        <v/>
      </c>
      <c r="L36" s="53" t="str">
        <f ca="1">IF(B36=div!$C$13,div!$A$13,"")</f>
        <v/>
      </c>
      <c r="M36" s="53" t="str">
        <f t="shared" ca="1" si="1"/>
        <v/>
      </c>
    </row>
    <row r="37" spans="2:13" s="53" customFormat="1" x14ac:dyDescent="0.25"/>
    <row r="38" spans="2:13" s="53" customFormat="1" x14ac:dyDescent="0.25"/>
    <row r="39" spans="2:13" s="53" customFormat="1" x14ac:dyDescent="0.25"/>
    <row r="40" spans="2:13" s="53" customFormat="1" x14ac:dyDescent="0.25"/>
    <row r="41" spans="2:13" s="53" customFormat="1" x14ac:dyDescent="0.25"/>
    <row r="42" spans="2:13" s="53" customFormat="1" x14ac:dyDescent="0.25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X11"/>
  <sheetViews>
    <sheetView workbookViewId="0">
      <selection activeCell="A2" sqref="A2:X10"/>
    </sheetView>
  </sheetViews>
  <sheetFormatPr defaultColWidth="8" defaultRowHeight="13.2" x14ac:dyDescent="0.25"/>
  <cols>
    <col min="1" max="1" width="19.88671875" bestFit="1" customWidth="1"/>
    <col min="2" max="2" width="10.109375" bestFit="1" customWidth="1"/>
    <col min="3" max="3" width="11.5546875" bestFit="1" customWidth="1"/>
    <col min="4" max="4" width="5.44140625" bestFit="1" customWidth="1"/>
    <col min="5" max="5" width="6.5546875" bestFit="1" customWidth="1"/>
    <col min="6" max="6" width="7.88671875" bestFit="1" customWidth="1"/>
    <col min="7" max="7" width="20" style="107" bestFit="1" customWidth="1"/>
    <col min="8" max="8" width="10.5546875" bestFit="1" customWidth="1"/>
    <col min="9" max="9" width="10.6640625" customWidth="1"/>
    <col min="10" max="10" width="7.6640625" bestFit="1" customWidth="1"/>
    <col min="11" max="11" width="7.5546875" bestFit="1" customWidth="1"/>
    <col min="12" max="13" width="8.5546875" bestFit="1" customWidth="1"/>
    <col min="14" max="14" width="7.6640625" bestFit="1" customWidth="1"/>
    <col min="15" max="15" width="8.88671875" customWidth="1"/>
    <col min="16" max="16" width="8.6640625" customWidth="1"/>
    <col min="17" max="17" width="9" customWidth="1"/>
    <col min="18" max="19" width="8.5546875" bestFit="1" customWidth="1"/>
    <col min="20" max="20" width="9.88671875" customWidth="1"/>
    <col min="21" max="21" width="8.5546875" bestFit="1" customWidth="1"/>
    <col min="22" max="22" width="12.33203125" bestFit="1" customWidth="1"/>
    <col min="23" max="23" width="9.109375" customWidth="1"/>
    <col min="24" max="24" width="9.88671875" customWidth="1"/>
  </cols>
  <sheetData>
    <row r="1" spans="1:24" x14ac:dyDescent="0.25">
      <c r="A1" t="s">
        <v>21</v>
      </c>
      <c r="B1" s="108" t="s">
        <v>57</v>
      </c>
      <c r="C1" s="108" t="s">
        <v>58</v>
      </c>
      <c r="D1" s="108" t="s">
        <v>56</v>
      </c>
      <c r="E1" s="108" t="s">
        <v>59</v>
      </c>
      <c r="F1" s="108" t="s">
        <v>60</v>
      </c>
      <c r="G1" s="110" t="s">
        <v>61</v>
      </c>
      <c r="H1" t="s">
        <v>26</v>
      </c>
      <c r="I1" t="s">
        <v>20</v>
      </c>
      <c r="J1" t="s">
        <v>9</v>
      </c>
      <c r="K1" t="s">
        <v>2</v>
      </c>
      <c r="L1" t="s">
        <v>3</v>
      </c>
      <c r="M1" t="s">
        <v>16</v>
      </c>
      <c r="N1" s="108" t="s">
        <v>62</v>
      </c>
      <c r="O1" t="s">
        <v>44</v>
      </c>
      <c r="P1" t="s">
        <v>5</v>
      </c>
      <c r="Q1" t="s">
        <v>6</v>
      </c>
      <c r="R1" t="s">
        <v>7</v>
      </c>
      <c r="S1" t="s">
        <v>8</v>
      </c>
      <c r="T1" t="s">
        <v>11</v>
      </c>
      <c r="U1" t="s">
        <v>12</v>
      </c>
      <c r="V1" t="s">
        <v>29</v>
      </c>
      <c r="W1" t="s">
        <v>13</v>
      </c>
      <c r="X1" t="s">
        <v>14</v>
      </c>
    </row>
    <row r="2" spans="1:24" hidden="1" x14ac:dyDescent="0.25">
      <c r="A2" t="s">
        <v>0</v>
      </c>
      <c r="B2" s="103">
        <v>27266</v>
      </c>
      <c r="C2" s="106">
        <v>0.60606481481481478</v>
      </c>
      <c r="D2">
        <v>5.5</v>
      </c>
      <c r="E2" s="109">
        <v>23.667000000000002</v>
      </c>
      <c r="F2" s="109">
        <v>85.283000000000001</v>
      </c>
      <c r="G2" s="107">
        <f t="shared" ref="G2:G7" si="0">B2+C2-D2/24</f>
        <v>27266.376898148148</v>
      </c>
      <c r="H2" s="106">
        <f t="shared" ref="H2:H10" si="1">sunrise(E2,F2,G2)+D2/24</f>
        <v>0.22916666666666666</v>
      </c>
      <c r="I2" t="str">
        <f t="shared" ref="I2:I7" si="2">CHOOSE(WEEKDAY(G2),"Sunday","Monday","Tuesday","Wednesday","Thursday","Friday","Saturday")</f>
        <v>Sunday</v>
      </c>
      <c r="J2" s="109" t="e">
        <f t="shared" ref="J2:J7" si="3">Asdt(E2,F2,G2)</f>
        <v>#VALUE!</v>
      </c>
      <c r="K2" s="109" t="e">
        <f t="shared" ref="K2:K7" si="4">Planet(G2,0)</f>
        <v>#VALUE!</v>
      </c>
      <c r="L2" s="109" t="e">
        <f t="shared" ref="L2:L7" si="5">Planet(G2,1)</f>
        <v>#VALUE!</v>
      </c>
      <c r="M2" s="109" t="e">
        <f t="shared" ref="M2:M7" si="6">Planet(G2,4)</f>
        <v>#VALUE!</v>
      </c>
      <c r="N2" s="109" t="e">
        <f t="shared" ref="N2:N7" si="7">Planet(G2,2)</f>
        <v>#VALUE!</v>
      </c>
      <c r="O2" s="109" t="e">
        <f t="shared" ref="O2:O7" si="8">Planet(G2,5)</f>
        <v>#VALUE!</v>
      </c>
      <c r="P2" s="109" t="e">
        <f t="shared" ref="P2:P7" si="9">Planet(G2,3)</f>
        <v>#VALUE!</v>
      </c>
      <c r="Q2" s="109" t="e">
        <f t="shared" ref="Q2:Q7" si="10">Planet(G2,6)</f>
        <v>#VALUE!</v>
      </c>
      <c r="R2" s="109" t="e">
        <f t="shared" ref="R2:R7" si="11">Planet(G2,10)</f>
        <v>#VALUE!</v>
      </c>
      <c r="S2" s="109" t="e">
        <f t="shared" ref="S2:S7" si="12">IF(R2&lt;180,R2+180,R2-180)</f>
        <v>#VALUE!</v>
      </c>
      <c r="T2" s="109" t="e">
        <f t="shared" ref="T2:T7" si="13">(K2+133.33)-FLOOR((K2+133.33)/360,1)*360</f>
        <v>#VALUE!</v>
      </c>
      <c r="U2" s="109" t="e">
        <f t="shared" ref="U2:U7" si="14">360-T2</f>
        <v>#VALUE!</v>
      </c>
      <c r="V2" s="109" t="e">
        <f t="shared" ref="V2:V7" si="15">(180+U2)-FLOOR((180+U2)/360,1)*360</f>
        <v>#VALUE!</v>
      </c>
      <c r="W2" s="109" t="e">
        <f t="shared" ref="W2:W7" si="16">360-V2</f>
        <v>#VALUE!</v>
      </c>
      <c r="X2" s="109" t="e">
        <f t="shared" ref="X2:X7" si="17">(W2+16.67)-FLOOR((W2+16.67)/360,1)*360</f>
        <v>#VALUE!</v>
      </c>
    </row>
    <row r="3" spans="1:24" hidden="1" x14ac:dyDescent="0.25">
      <c r="A3" t="s">
        <v>52</v>
      </c>
      <c r="B3" s="103">
        <v>26133</v>
      </c>
      <c r="C3" s="106">
        <v>0.38194444444444442</v>
      </c>
      <c r="D3">
        <v>5.5</v>
      </c>
      <c r="E3" s="109">
        <f>10+57/60</f>
        <v>10.95</v>
      </c>
      <c r="F3" s="109">
        <f>78+5/60</f>
        <v>78.083333333333329</v>
      </c>
      <c r="G3" s="107">
        <f t="shared" si="0"/>
        <v>26133.152777777777</v>
      </c>
      <c r="H3" s="106">
        <f t="shared" si="1"/>
        <v>0.22916666666666666</v>
      </c>
      <c r="I3" t="str">
        <f t="shared" si="2"/>
        <v>Monday</v>
      </c>
      <c r="J3" s="109" t="e">
        <f t="shared" si="3"/>
        <v>#VALUE!</v>
      </c>
      <c r="K3" s="109" t="e">
        <f t="shared" si="4"/>
        <v>#VALUE!</v>
      </c>
      <c r="L3" s="109" t="e">
        <f t="shared" si="5"/>
        <v>#VALUE!</v>
      </c>
      <c r="M3" s="109" t="e">
        <f t="shared" si="6"/>
        <v>#VALUE!</v>
      </c>
      <c r="N3" s="109" t="e">
        <f t="shared" si="7"/>
        <v>#VALUE!</v>
      </c>
      <c r="O3" s="109" t="e">
        <f t="shared" si="8"/>
        <v>#VALUE!</v>
      </c>
      <c r="P3" s="109" t="e">
        <f t="shared" si="9"/>
        <v>#VALUE!</v>
      </c>
      <c r="Q3" s="109" t="e">
        <f t="shared" si="10"/>
        <v>#VALUE!</v>
      </c>
      <c r="R3" s="109" t="e">
        <f t="shared" si="11"/>
        <v>#VALUE!</v>
      </c>
      <c r="S3" s="109" t="e">
        <f t="shared" si="12"/>
        <v>#VALUE!</v>
      </c>
      <c r="T3" s="109" t="e">
        <f t="shared" si="13"/>
        <v>#VALUE!</v>
      </c>
      <c r="U3" s="109" t="e">
        <f t="shared" si="14"/>
        <v>#VALUE!</v>
      </c>
      <c r="V3" s="109" t="e">
        <f t="shared" si="15"/>
        <v>#VALUE!</v>
      </c>
      <c r="W3" s="109" t="e">
        <f t="shared" si="16"/>
        <v>#VALUE!</v>
      </c>
      <c r="X3" s="109" t="e">
        <f t="shared" si="17"/>
        <v>#VALUE!</v>
      </c>
    </row>
    <row r="4" spans="1:24" hidden="1" x14ac:dyDescent="0.25">
      <c r="A4" t="s">
        <v>53</v>
      </c>
      <c r="B4" s="103">
        <v>16734</v>
      </c>
      <c r="C4" s="106">
        <v>0.70138888888888884</v>
      </c>
      <c r="D4">
        <v>-5</v>
      </c>
      <c r="E4" s="109">
        <f>38+53/60+42/3600</f>
        <v>38.894999999999996</v>
      </c>
      <c r="F4" s="109">
        <f>-(77+2/60)</f>
        <v>-77.033333333333331</v>
      </c>
      <c r="G4" s="107">
        <f t="shared" si="0"/>
        <v>16734.909722222223</v>
      </c>
      <c r="H4" s="106">
        <f t="shared" si="1"/>
        <v>-0.20833333333333334</v>
      </c>
      <c r="I4" t="str">
        <f t="shared" si="2"/>
        <v>Wednesday</v>
      </c>
      <c r="J4" s="109" t="e">
        <f t="shared" si="3"/>
        <v>#VALUE!</v>
      </c>
      <c r="K4" s="109" t="e">
        <f t="shared" si="4"/>
        <v>#VALUE!</v>
      </c>
      <c r="L4" s="109" t="e">
        <f t="shared" si="5"/>
        <v>#VALUE!</v>
      </c>
      <c r="M4" s="109" t="e">
        <f t="shared" si="6"/>
        <v>#VALUE!</v>
      </c>
      <c r="N4" s="109" t="e">
        <f t="shared" si="7"/>
        <v>#VALUE!</v>
      </c>
      <c r="O4" s="109" t="e">
        <f t="shared" si="8"/>
        <v>#VALUE!</v>
      </c>
      <c r="P4" s="109" t="e">
        <f t="shared" si="9"/>
        <v>#VALUE!</v>
      </c>
      <c r="Q4" s="109" t="e">
        <f t="shared" si="10"/>
        <v>#VALUE!</v>
      </c>
      <c r="R4" s="109" t="e">
        <f t="shared" si="11"/>
        <v>#VALUE!</v>
      </c>
      <c r="S4" s="109" t="e">
        <f t="shared" si="12"/>
        <v>#VALUE!</v>
      </c>
      <c r="T4" s="109" t="e">
        <f t="shared" si="13"/>
        <v>#VALUE!</v>
      </c>
      <c r="U4" s="109" t="e">
        <f t="shared" si="14"/>
        <v>#VALUE!</v>
      </c>
      <c r="V4" s="109" t="e">
        <f t="shared" si="15"/>
        <v>#VALUE!</v>
      </c>
      <c r="W4" s="109" t="e">
        <f t="shared" si="16"/>
        <v>#VALUE!</v>
      </c>
      <c r="X4" s="109" t="e">
        <f t="shared" si="17"/>
        <v>#VALUE!</v>
      </c>
    </row>
    <row r="5" spans="1:24" hidden="1" x14ac:dyDescent="0.25">
      <c r="A5" t="s">
        <v>54</v>
      </c>
      <c r="B5" s="103">
        <v>26072</v>
      </c>
      <c r="C5" s="106">
        <v>0.3263888888888889</v>
      </c>
      <c r="D5">
        <v>5.5</v>
      </c>
      <c r="E5" s="109">
        <v>19.054444</v>
      </c>
      <c r="F5" s="109">
        <v>72.840556000000007</v>
      </c>
      <c r="G5" s="107">
        <f t="shared" si="0"/>
        <v>26072.097222222223</v>
      </c>
      <c r="H5" s="106">
        <f t="shared" si="1"/>
        <v>0.22916666666666666</v>
      </c>
      <c r="I5" t="str">
        <f t="shared" si="2"/>
        <v>Wednesday</v>
      </c>
      <c r="J5" s="109" t="e">
        <f t="shared" si="3"/>
        <v>#VALUE!</v>
      </c>
      <c r="K5" s="109" t="e">
        <f t="shared" si="4"/>
        <v>#VALUE!</v>
      </c>
      <c r="L5" s="109" t="e">
        <f t="shared" si="5"/>
        <v>#VALUE!</v>
      </c>
      <c r="M5" s="109" t="e">
        <f t="shared" si="6"/>
        <v>#VALUE!</v>
      </c>
      <c r="N5" s="109" t="e">
        <f t="shared" si="7"/>
        <v>#VALUE!</v>
      </c>
      <c r="O5" s="109" t="e">
        <f t="shared" si="8"/>
        <v>#VALUE!</v>
      </c>
      <c r="P5" s="109" t="e">
        <f t="shared" si="9"/>
        <v>#VALUE!</v>
      </c>
      <c r="Q5" s="109" t="e">
        <f t="shared" si="10"/>
        <v>#VALUE!</v>
      </c>
      <c r="R5" s="109" t="e">
        <f t="shared" si="11"/>
        <v>#VALUE!</v>
      </c>
      <c r="S5" s="109" t="e">
        <f t="shared" si="12"/>
        <v>#VALUE!</v>
      </c>
      <c r="T5" s="109" t="e">
        <f t="shared" si="13"/>
        <v>#VALUE!</v>
      </c>
      <c r="U5" s="109" t="e">
        <f t="shared" si="14"/>
        <v>#VALUE!</v>
      </c>
      <c r="V5" s="109" t="e">
        <f t="shared" si="15"/>
        <v>#VALUE!</v>
      </c>
      <c r="W5" s="109" t="e">
        <f t="shared" si="16"/>
        <v>#VALUE!</v>
      </c>
      <c r="X5" s="109" t="e">
        <f t="shared" si="17"/>
        <v>#VALUE!</v>
      </c>
    </row>
    <row r="6" spans="1:24" hidden="1" x14ac:dyDescent="0.25">
      <c r="A6" t="s">
        <v>55</v>
      </c>
      <c r="B6" s="103">
        <v>43176</v>
      </c>
      <c r="C6" s="111">
        <v>0.34375</v>
      </c>
      <c r="D6">
        <v>-5</v>
      </c>
      <c r="E6" s="109">
        <v>38.904000000000003</v>
      </c>
      <c r="F6" s="109">
        <v>-77.016390000000001</v>
      </c>
      <c r="G6" s="107">
        <f t="shared" si="0"/>
        <v>43176.552083333336</v>
      </c>
      <c r="H6" s="106">
        <f t="shared" si="1"/>
        <v>-0.20833333333333334</v>
      </c>
      <c r="I6" t="str">
        <f t="shared" si="2"/>
        <v>Saturday</v>
      </c>
      <c r="J6" s="109" t="e">
        <f t="shared" si="3"/>
        <v>#VALUE!</v>
      </c>
      <c r="K6" s="109" t="e">
        <f t="shared" si="4"/>
        <v>#VALUE!</v>
      </c>
      <c r="L6" s="109" t="e">
        <f t="shared" si="5"/>
        <v>#VALUE!</v>
      </c>
      <c r="M6" s="109" t="e">
        <f t="shared" si="6"/>
        <v>#VALUE!</v>
      </c>
      <c r="N6" s="109" t="e">
        <f t="shared" si="7"/>
        <v>#VALUE!</v>
      </c>
      <c r="O6" s="109" t="e">
        <f t="shared" si="8"/>
        <v>#VALUE!</v>
      </c>
      <c r="P6" s="109" t="e">
        <f t="shared" si="9"/>
        <v>#VALUE!</v>
      </c>
      <c r="Q6" s="109" t="e">
        <f t="shared" si="10"/>
        <v>#VALUE!</v>
      </c>
      <c r="R6" s="109" t="e">
        <f t="shared" si="11"/>
        <v>#VALUE!</v>
      </c>
      <c r="S6" s="109" t="e">
        <f t="shared" si="12"/>
        <v>#VALUE!</v>
      </c>
      <c r="T6" s="109" t="e">
        <f t="shared" si="13"/>
        <v>#VALUE!</v>
      </c>
      <c r="U6" s="109" t="e">
        <f t="shared" si="14"/>
        <v>#VALUE!</v>
      </c>
      <c r="V6" s="109" t="e">
        <f t="shared" si="15"/>
        <v>#VALUE!</v>
      </c>
      <c r="W6" s="109" t="e">
        <f t="shared" si="16"/>
        <v>#VALUE!</v>
      </c>
      <c r="X6" s="109" t="e">
        <f t="shared" si="17"/>
        <v>#VALUE!</v>
      </c>
    </row>
    <row r="7" spans="1:24" hidden="1" x14ac:dyDescent="0.25">
      <c r="A7" t="s">
        <v>63</v>
      </c>
      <c r="B7" s="103">
        <v>42708</v>
      </c>
      <c r="C7" s="106">
        <v>0.71875</v>
      </c>
      <c r="D7">
        <v>5.5</v>
      </c>
      <c r="E7" s="109">
        <v>13.082700000000001</v>
      </c>
      <c r="F7" s="109">
        <v>80.270700000000005</v>
      </c>
      <c r="G7" s="107">
        <f t="shared" si="0"/>
        <v>42708.489583333336</v>
      </c>
      <c r="H7" s="106">
        <f t="shared" si="1"/>
        <v>0.22916666666666666</v>
      </c>
      <c r="I7" t="str">
        <f t="shared" si="2"/>
        <v>Sunday</v>
      </c>
      <c r="J7" s="109" t="e">
        <f t="shared" si="3"/>
        <v>#VALUE!</v>
      </c>
      <c r="K7" s="109" t="e">
        <f t="shared" si="4"/>
        <v>#VALUE!</v>
      </c>
      <c r="L7" s="109" t="e">
        <f t="shared" si="5"/>
        <v>#VALUE!</v>
      </c>
      <c r="M7" s="109" t="e">
        <f t="shared" si="6"/>
        <v>#VALUE!</v>
      </c>
      <c r="N7" s="109" t="e">
        <f t="shared" si="7"/>
        <v>#VALUE!</v>
      </c>
      <c r="O7" s="109" t="e">
        <f t="shared" si="8"/>
        <v>#VALUE!</v>
      </c>
      <c r="P7" s="109" t="e">
        <f t="shared" si="9"/>
        <v>#VALUE!</v>
      </c>
      <c r="Q7" s="109" t="e">
        <f t="shared" si="10"/>
        <v>#VALUE!</v>
      </c>
      <c r="R7" s="109" t="e">
        <f t="shared" si="11"/>
        <v>#VALUE!</v>
      </c>
      <c r="S7" s="109" t="e">
        <f t="shared" si="12"/>
        <v>#VALUE!</v>
      </c>
      <c r="T7" s="109" t="e">
        <f t="shared" si="13"/>
        <v>#VALUE!</v>
      </c>
      <c r="U7" s="109" t="e">
        <f t="shared" si="14"/>
        <v>#VALUE!</v>
      </c>
      <c r="V7" s="109" t="e">
        <f t="shared" si="15"/>
        <v>#VALUE!</v>
      </c>
      <c r="W7" s="109" t="e">
        <f t="shared" si="16"/>
        <v>#VALUE!</v>
      </c>
      <c r="X7" s="109" t="e">
        <f t="shared" si="17"/>
        <v>#VALUE!</v>
      </c>
    </row>
    <row r="8" spans="1:24" x14ac:dyDescent="0.25">
      <c r="A8" t="s">
        <v>68</v>
      </c>
      <c r="B8" s="114">
        <v>30481</v>
      </c>
      <c r="C8" s="106">
        <v>0.73333333333333339</v>
      </c>
      <c r="D8">
        <v>5.5</v>
      </c>
      <c r="E8" s="109">
        <f>18+40/60</f>
        <v>18.666666666666668</v>
      </c>
      <c r="F8" s="109">
        <f>83+57/60</f>
        <v>83.95</v>
      </c>
      <c r="G8" s="107">
        <f>B8+C8-D8/24</f>
        <v>30481.504166666666</v>
      </c>
      <c r="H8" s="106">
        <f t="shared" si="1"/>
        <v>0.22916666666666666</v>
      </c>
      <c r="I8" t="str">
        <f>CHOOSE(WEEKDAY(G8),"Sunday","Monday","Tuesday","Wednesday","Thursday","Friday","Saturday")</f>
        <v>Tuesday</v>
      </c>
      <c r="J8" s="109" t="e">
        <f>Asdt(E8,F8,G8)</f>
        <v>#VALUE!</v>
      </c>
      <c r="K8" s="109" t="e">
        <f>Planet(G8,0)</f>
        <v>#VALUE!</v>
      </c>
      <c r="L8" s="109" t="e">
        <f>Planet(G8,1)</f>
        <v>#VALUE!</v>
      </c>
      <c r="M8" s="109" t="e">
        <f>Planet(G8,4)</f>
        <v>#VALUE!</v>
      </c>
      <c r="N8" s="109" t="e">
        <f>Planet(G8,2)</f>
        <v>#VALUE!</v>
      </c>
      <c r="O8" s="109" t="e">
        <f>Planet(G8,5)</f>
        <v>#VALUE!</v>
      </c>
      <c r="P8" s="109" t="e">
        <f>Planet(G8,3)</f>
        <v>#VALUE!</v>
      </c>
      <c r="Q8" s="109" t="e">
        <f>Planet(G8,6)</f>
        <v>#VALUE!</v>
      </c>
      <c r="R8" s="109" t="e">
        <f>Planet(G8,10)</f>
        <v>#VALUE!</v>
      </c>
      <c r="S8" s="109" t="e">
        <f>IF(R8&lt;180,R8+180,R8-180)</f>
        <v>#VALUE!</v>
      </c>
      <c r="T8" s="109" t="e">
        <f>(K8+133.33)-FLOOR((K8+133.33)/360,1)*360</f>
        <v>#VALUE!</v>
      </c>
      <c r="U8" s="109" t="e">
        <f>360-T8</f>
        <v>#VALUE!</v>
      </c>
      <c r="V8" s="109" t="e">
        <f>(180+U8)-FLOOR((180+U8)/360,1)*360</f>
        <v>#VALUE!</v>
      </c>
      <c r="W8" s="109" t="e">
        <f>360-V8</f>
        <v>#VALUE!</v>
      </c>
      <c r="X8" s="109" t="e">
        <f>(W8+16.67)-FLOOR((W8+16.67)/360,1)*360</f>
        <v>#VALUE!</v>
      </c>
    </row>
    <row r="9" spans="1:24" x14ac:dyDescent="0.25">
      <c r="A9" t="s">
        <v>69</v>
      </c>
      <c r="B9" s="114">
        <v>17394</v>
      </c>
      <c r="C9" s="106">
        <v>6.9444444444444447E-4</v>
      </c>
      <c r="D9">
        <v>5.5</v>
      </c>
      <c r="E9" s="109">
        <f>28+36/60</f>
        <v>28.6</v>
      </c>
      <c r="F9" s="109">
        <f>77+12/60</f>
        <v>77.2</v>
      </c>
      <c r="G9" s="107">
        <f>B9+C9-D9/24</f>
        <v>17393.771527777775</v>
      </c>
      <c r="H9" s="106">
        <f t="shared" si="1"/>
        <v>0.22916666666666666</v>
      </c>
      <c r="I9" t="str">
        <f>CHOOSE(WEEKDAY(G9),"Sunday","Monday","Tuesday","Wednesday","Thursday","Friday","Saturday")</f>
        <v>Thursday</v>
      </c>
      <c r="J9" s="109" t="e">
        <f>Asdt(E9,F9,G9)</f>
        <v>#VALUE!</v>
      </c>
      <c r="K9" s="109" t="e">
        <f>Planet(G9,0)</f>
        <v>#VALUE!</v>
      </c>
      <c r="L9" s="109" t="e">
        <f>Planet(G9,1)</f>
        <v>#VALUE!</v>
      </c>
      <c r="M9" s="109" t="e">
        <f>Planet(G9,4)</f>
        <v>#VALUE!</v>
      </c>
      <c r="N9" s="109" t="e">
        <f>Planet(G9,2)</f>
        <v>#VALUE!</v>
      </c>
      <c r="O9" s="109" t="e">
        <f>Planet(G9,5)</f>
        <v>#VALUE!</v>
      </c>
      <c r="P9" s="109" t="e">
        <f>Planet(G9,3)</f>
        <v>#VALUE!</v>
      </c>
      <c r="Q9" s="109" t="e">
        <f>Planet(G9,6)</f>
        <v>#VALUE!</v>
      </c>
      <c r="R9" s="109" t="e">
        <f>Planet(G9,10)</f>
        <v>#VALUE!</v>
      </c>
      <c r="S9" s="109" t="e">
        <f>IF(R9&lt;180,R9+180,R9-180)</f>
        <v>#VALUE!</v>
      </c>
      <c r="T9" s="109" t="e">
        <f>(K9+133.33)-FLOOR((K9+133.33)/360,1)*360</f>
        <v>#VALUE!</v>
      </c>
      <c r="U9" s="109" t="e">
        <f>360-T9</f>
        <v>#VALUE!</v>
      </c>
      <c r="V9" s="109" t="e">
        <f>(180+U9)-FLOOR((180+U9)/360,1)*360</f>
        <v>#VALUE!</v>
      </c>
      <c r="W9" s="109" t="e">
        <f>360-V9</f>
        <v>#VALUE!</v>
      </c>
      <c r="X9" s="109" t="e">
        <f>(W9+16.67)-FLOOR((W9+16.67)/360,1)*360</f>
        <v>#VALUE!</v>
      </c>
    </row>
    <row r="10" spans="1:24" x14ac:dyDescent="0.25">
      <c r="A10" t="s">
        <v>70</v>
      </c>
      <c r="B10" s="114">
        <v>35177</v>
      </c>
      <c r="C10" s="106">
        <v>0.41319444444444442</v>
      </c>
      <c r="D10">
        <v>5.5</v>
      </c>
      <c r="E10" s="109">
        <f>19+4/60</f>
        <v>19.066666666666666</v>
      </c>
      <c r="F10" s="109">
        <f>72+52/60</f>
        <v>72.86666666666666</v>
      </c>
      <c r="G10" s="107">
        <f>B10+C10-D10/24</f>
        <v>35177.184027777781</v>
      </c>
      <c r="H10" s="106">
        <f t="shared" si="1"/>
        <v>0.22916666666666666</v>
      </c>
      <c r="I10" t="str">
        <f>CHOOSE(WEEKDAY(G10),"Sunday","Monday","Tuesday","Wednesday","Thursday","Friday","Saturday")</f>
        <v>Monday</v>
      </c>
      <c r="J10" s="109" t="e">
        <f>Asdt(E10,F10,G10)</f>
        <v>#VALUE!</v>
      </c>
      <c r="K10" s="109" t="e">
        <f>Planet(G10,0)</f>
        <v>#VALUE!</v>
      </c>
      <c r="L10" s="109" t="e">
        <f>Planet(G10,1)</f>
        <v>#VALUE!</v>
      </c>
      <c r="M10" s="109" t="e">
        <f>Planet(G10,4)</f>
        <v>#VALUE!</v>
      </c>
      <c r="N10" s="109" t="e">
        <f>Planet(G10,2)</f>
        <v>#VALUE!</v>
      </c>
      <c r="O10" s="109" t="e">
        <f>Planet(G10,5)</f>
        <v>#VALUE!</v>
      </c>
      <c r="P10" s="109" t="e">
        <f>Planet(G10,3)</f>
        <v>#VALUE!</v>
      </c>
      <c r="Q10" s="109" t="e">
        <f>Planet(G10,6)</f>
        <v>#VALUE!</v>
      </c>
      <c r="R10" s="109" t="e">
        <f>Planet(G10,10)</f>
        <v>#VALUE!</v>
      </c>
      <c r="S10" s="109" t="e">
        <f>IF(R10&lt;180,R10+180,R10-180)</f>
        <v>#VALUE!</v>
      </c>
      <c r="T10" s="109" t="e">
        <f>(K10+133.33)-FLOOR((K10+133.33)/360,1)*360</f>
        <v>#VALUE!</v>
      </c>
      <c r="U10" s="109" t="e">
        <f>360-T10</f>
        <v>#VALUE!</v>
      </c>
      <c r="V10" s="109" t="e">
        <f>(180+U10)-FLOOR((180+U10)/360,1)*360</f>
        <v>#VALUE!</v>
      </c>
      <c r="W10" s="109" t="e">
        <f>360-V10</f>
        <v>#VALUE!</v>
      </c>
      <c r="X10" s="109" t="e">
        <f>(W10+16.67)-FLOOR((W10+16.67)/360,1)*360</f>
        <v>#VALUE!</v>
      </c>
    </row>
    <row r="11" spans="1:24" x14ac:dyDescent="0.25">
      <c r="A11" t="s">
        <v>71</v>
      </c>
      <c r="B11" s="114"/>
      <c r="C11" s="106"/>
      <c r="E11" s="109">
        <f>19+4/60</f>
        <v>19.066666666666666</v>
      </c>
      <c r="F11" s="109">
        <f>72+52/60</f>
        <v>72.86666666666666</v>
      </c>
      <c r="H11" s="106"/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09"/>
    </row>
  </sheetData>
  <phoneticPr fontId="1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1:O459"/>
  <sheetViews>
    <sheetView topLeftCell="A24" workbookViewId="0">
      <selection activeCell="I26" sqref="I26"/>
    </sheetView>
  </sheetViews>
  <sheetFormatPr defaultColWidth="9.109375" defaultRowHeight="12.75" customHeight="1" x14ac:dyDescent="0.25"/>
  <cols>
    <col min="1" max="16384" width="9.109375" style="54"/>
  </cols>
  <sheetData>
    <row r="1" spans="2:15" ht="39" customHeight="1" x14ac:dyDescent="0.25"/>
    <row r="2" spans="2:15" s="55" customFormat="1" ht="9.9" customHeight="1" x14ac:dyDescent="0.25">
      <c r="C2" s="56">
        <v>1</v>
      </c>
      <c r="D2" s="56">
        <v>1</v>
      </c>
      <c r="H2" s="56">
        <v>2</v>
      </c>
      <c r="I2" s="56">
        <v>1</v>
      </c>
      <c r="M2" s="56">
        <v>2</v>
      </c>
      <c r="N2" s="56">
        <v>2</v>
      </c>
    </row>
    <row r="3" spans="2:15" ht="50.1" customHeight="1" x14ac:dyDescent="0.25">
      <c r="B3" s="57" t="str">
        <f ca="1">RasiContent(12,Basic!$B$7,C2,D2,Basic!$F$13)</f>
        <v/>
      </c>
      <c r="C3" s="57" t="str">
        <f ca="1">RasiContent(1,Basic!$B$7,C2,D2,Basic!$F$13)</f>
        <v/>
      </c>
      <c r="D3" s="57" t="str">
        <f ca="1">RasiContent(2,Basic!$B$7,C2,D2,Basic!$F$13)</f>
        <v xml:space="preserve"> Rahu Asdt</v>
      </c>
      <c r="E3" s="57" t="str">
        <f ca="1">RasiContent(3,Basic!$B$7,C2,D2,Basic!$F$13)</f>
        <v xml:space="preserve"> Mars </v>
      </c>
      <c r="G3" s="57" t="str">
        <f ca="1">RasiContent(12,Basic!$B$7,H2,I2,Basic!$F$13)</f>
        <v xml:space="preserve"> </v>
      </c>
      <c r="H3" s="57" t="str">
        <f ca="1">RasiContent(1,Basic!$B$7,H2,I2,Basic!$F$13)</f>
        <v xml:space="preserve"> Jupiter</v>
      </c>
      <c r="I3" s="57" t="str">
        <f ca="1">RasiContent(2,Basic!$B$7,H2,I2,Basic!$F$13)</f>
        <v xml:space="preserve"> Rahu Asdt</v>
      </c>
      <c r="J3" s="57" t="str">
        <f ca="1">RasiContent(3,Basic!$B$7,H2,I2,Basic!$F$13)</f>
        <v xml:space="preserve"> Mars </v>
      </c>
      <c r="L3" s="57" t="str">
        <f ca="1">RasiContent(12,Basic!$B$7,M2,N2,Basic!$F$13)</f>
        <v/>
      </c>
      <c r="M3" s="57" t="str">
        <f ca="1">RasiContent(1,Basic!$B$7,M2,N2,Basic!$F$13)</f>
        <v/>
      </c>
      <c r="N3" s="57" t="str">
        <f ca="1">RasiContent(2,Basic!$B$7,M2,N2,Basic!$F$13)</f>
        <v/>
      </c>
      <c r="O3" s="57" t="str">
        <f ca="1">RasiContent(3,Basic!$B$7,M2,N2,Basic!$F$13)</f>
        <v/>
      </c>
    </row>
    <row r="4" spans="2:15" ht="50.1" customHeight="1" x14ac:dyDescent="0.25">
      <c r="B4" s="57" t="str">
        <f ca="1">RasiContent(11,Basic!$B$7,C2,D2,Basic!$F$13)</f>
        <v/>
      </c>
      <c r="C4" s="133" t="str">
        <f>divname(C2,D2)</f>
        <v>Rasi</v>
      </c>
      <c r="D4" s="133"/>
      <c r="E4" s="57" t="str">
        <f ca="1">RasiContent(4,Basic!$B$7,C2,D2,Basic!$F$13)</f>
        <v xml:space="preserve"> Sun Moon Merc Venus Saturn </v>
      </c>
      <c r="G4" s="57" t="str">
        <f ca="1">RasiContent(11,Basic!$B$7,H2,I2,Basic!$F$13)</f>
        <v/>
      </c>
      <c r="H4" s="133" t="str">
        <f>divname(H2,I2)</f>
        <v>Hora (1/7 House)</v>
      </c>
      <c r="I4" s="133"/>
      <c r="J4" s="57" t="str">
        <f ca="1">RasiContent(4,Basic!$B$7,H2,I2,Basic!$F$13)</f>
        <v xml:space="preserve"> Moon Merc</v>
      </c>
      <c r="L4" s="57" t="str">
        <f ca="1">RasiContent(11,Basic!$B$7,M2,N2,Basic!$F$13)</f>
        <v/>
      </c>
      <c r="M4" s="133" t="str">
        <f>divname(M2,N2)</f>
        <v>Parashara Hora</v>
      </c>
      <c r="N4" s="133"/>
      <c r="O4" s="57" t="str">
        <f ca="1">RasiContent(4,Basic!$B$7,M2,N2,Basic!$F$13)</f>
        <v xml:space="preserve"> Moon Merc Jupiter Rahu Asdt Ketu</v>
      </c>
    </row>
    <row r="5" spans="2:15" ht="50.1" customHeight="1" x14ac:dyDescent="0.25">
      <c r="B5" s="57" t="str">
        <f ca="1">RasiContent(10,Basic!$B$7,C2,D2,Basic!$F$13)</f>
        <v/>
      </c>
      <c r="C5" s="133"/>
      <c r="D5" s="133"/>
      <c r="E5" s="57" t="str">
        <f ca="1">RasiContent(5,Basic!$B$7,C2,D2,Basic!$F$13)</f>
        <v/>
      </c>
      <c r="G5" s="57" t="str">
        <f ca="1">RasiContent(10,Basic!$B$7,H2,I2,Basic!$F$13)</f>
        <v xml:space="preserve"> Sun Venus Saturn </v>
      </c>
      <c r="H5" s="133"/>
      <c r="I5" s="133"/>
      <c r="J5" s="57" t="str">
        <f ca="1">RasiContent(5,Basic!$B$7,H2,I2,Basic!$F$13)</f>
        <v/>
      </c>
      <c r="L5" s="57" t="str">
        <f ca="1">RasiContent(10,Basic!$B$7,M2,N2,Basic!$F$13)</f>
        <v/>
      </c>
      <c r="M5" s="133"/>
      <c r="N5" s="133"/>
      <c r="O5" s="57" t="str">
        <f ca="1">RasiContent(5,Basic!$B$7,M2,N2,Basic!$F$13)</f>
        <v xml:space="preserve"> Sun Venus Mars Saturn   </v>
      </c>
    </row>
    <row r="6" spans="2:15" ht="50.1" customHeight="1" x14ac:dyDescent="0.25">
      <c r="B6" s="57" t="str">
        <f ca="1">RasiContent(9,Basic!$B$7,C2,D2,Basic!$F$13)</f>
        <v/>
      </c>
      <c r="C6" s="57" t="str">
        <f ca="1">RasiContent(8,Basic!$B$7,C2,D2,Basic!$F$13)</f>
        <v xml:space="preserve"> Ketu</v>
      </c>
      <c r="D6" s="57" t="str">
        <f ca="1">RasiContent(7,Basic!$B$7,C2,D2,Basic!$F$13)</f>
        <v xml:space="preserve"> Jupiter</v>
      </c>
      <c r="E6" s="57" t="str">
        <f ca="1">RasiContent(6,Basic!$B$7,C2,D2,Basic!$F$13)</f>
        <v xml:space="preserve"> </v>
      </c>
      <c r="G6" s="57" t="str">
        <f ca="1">RasiContent(9,Basic!$B$7,H2,I2,Basic!$F$13)</f>
        <v/>
      </c>
      <c r="H6" s="57" t="str">
        <f ca="1">RasiContent(8,Basic!$B$7,H2,I2,Basic!$F$13)</f>
        <v xml:space="preserve"> Ketu</v>
      </c>
      <c r="I6" s="57" t="str">
        <f ca="1">RasiContent(7,Basic!$B$7,H2,I2,Basic!$F$13)</f>
        <v/>
      </c>
      <c r="J6" s="57" t="str">
        <f ca="1">RasiContent(6,Basic!$B$7,H2,I2,Basic!$F$13)</f>
        <v/>
      </c>
      <c r="L6" s="57" t="str">
        <f ca="1">RasiContent(9,Basic!$B$7,M2,N2,Basic!$F$13)</f>
        <v/>
      </c>
      <c r="M6" s="57" t="str">
        <f ca="1">RasiContent(8,Basic!$B$7,M2,N2,Basic!$F$13)</f>
        <v/>
      </c>
      <c r="N6" s="57" t="str">
        <f ca="1">RasiContent(7,Basic!$B$7,M2,N2,Basic!$F$13)</f>
        <v/>
      </c>
      <c r="O6" s="57" t="str">
        <f ca="1">RasiContent(6,Basic!$B$7,M2,N2,Basic!$F$13)</f>
        <v/>
      </c>
    </row>
    <row r="7" spans="2:15" ht="50.1" customHeight="1" x14ac:dyDescent="0.25">
      <c r="B7" s="58"/>
      <c r="C7" s="58"/>
      <c r="D7" s="58"/>
      <c r="E7" s="58"/>
      <c r="G7" s="58"/>
      <c r="H7" s="58"/>
      <c r="I7" s="58"/>
      <c r="J7" s="58"/>
      <c r="L7" s="58"/>
      <c r="M7" s="58"/>
      <c r="N7" s="58"/>
      <c r="O7" s="58"/>
    </row>
    <row r="8" spans="2:15" s="55" customFormat="1" ht="9.9" customHeight="1" x14ac:dyDescent="0.25">
      <c r="C8" s="56">
        <v>2</v>
      </c>
      <c r="D8" s="56">
        <v>3</v>
      </c>
      <c r="H8" s="56">
        <v>2</v>
      </c>
      <c r="I8" s="56">
        <v>4</v>
      </c>
      <c r="M8" s="56">
        <v>2</v>
      </c>
      <c r="N8" s="56">
        <v>5</v>
      </c>
    </row>
    <row r="9" spans="2:15" ht="50.1" customHeight="1" x14ac:dyDescent="0.25">
      <c r="B9" s="57" t="str">
        <f ca="1">RasiContent(12,Basic!$B$7,C8,D8,Basic!$F$13)</f>
        <v xml:space="preserve"> </v>
      </c>
      <c r="C9" s="57" t="str">
        <f ca="1">RasiContent(1,Basic!$B$7,C8,D8,Basic!$F$13)</f>
        <v/>
      </c>
      <c r="D9" s="57" t="str">
        <f ca="1">RasiContent(2,Basic!$B$7,C8,D8,Basic!$F$13)</f>
        <v xml:space="preserve"> Jupiter</v>
      </c>
      <c r="E9" s="57" t="str">
        <f ca="1">RasiContent(3,Basic!$B$7,C8,D8,Basic!$F$13)</f>
        <v xml:space="preserve"> Rahu Asdt Ketu</v>
      </c>
      <c r="G9" s="57" t="str">
        <f ca="1">RasiContent(12,Basic!$B$7,H8,I8,Basic!$F$13)</f>
        <v/>
      </c>
      <c r="H9" s="57" t="str">
        <f ca="1">RasiContent(1,Basic!$B$7,H8,I8,Basic!$F$13)</f>
        <v xml:space="preserve"> Jupiter</v>
      </c>
      <c r="I9" s="57" t="str">
        <f ca="1">RasiContent(2,Basic!$B$7,H8,I8,Basic!$F$13)</f>
        <v xml:space="preserve"> Rahu Asdt Ketu</v>
      </c>
      <c r="J9" s="57" t="str">
        <f ca="1">RasiContent(3,Basic!$B$7,H8,I8,Basic!$F$13)</f>
        <v/>
      </c>
      <c r="L9" s="57" t="str">
        <f ca="1">RasiContent(12,Basic!$B$7,M8,N8,Basic!$F$13)</f>
        <v/>
      </c>
      <c r="M9" s="57" t="str">
        <f ca="1">RasiContent(1,Basic!$B$7,M8,N8,Basic!$F$13)</f>
        <v xml:space="preserve"> Ketu</v>
      </c>
      <c r="N9" s="57" t="str">
        <f ca="1">RasiContent(2,Basic!$B$7,M8,N8,Basic!$F$13)</f>
        <v xml:space="preserve"> Jupiter Rahu Asdt</v>
      </c>
      <c r="O9" s="57" t="str">
        <f ca="1">RasiContent(3,Basic!$B$7,M8,N8,Basic!$F$13)</f>
        <v/>
      </c>
    </row>
    <row r="10" spans="2:15" ht="50.1" customHeight="1" x14ac:dyDescent="0.25">
      <c r="B10" s="57" t="str">
        <f ca="1">RasiContent(11,Basic!$B$7,C8,D8,Basic!$F$13)</f>
        <v/>
      </c>
      <c r="C10" s="133" t="str">
        <f>divname(C8,D8)</f>
        <v>Parivrittidvaya  Hora</v>
      </c>
      <c r="D10" s="133"/>
      <c r="E10" s="57" t="str">
        <f ca="1">RasiContent(4,Basic!$B$7,C8,D8,Basic!$F$13)</f>
        <v/>
      </c>
      <c r="G10" s="57" t="str">
        <f ca="1">RasiContent(11,Basic!$B$7,H8,I8,Basic!$F$13)</f>
        <v/>
      </c>
      <c r="H10" s="133" t="str">
        <f>divname(H8,I8)</f>
        <v>Jagannath Hora</v>
      </c>
      <c r="I10" s="133"/>
      <c r="J10" s="57" t="str">
        <f ca="1">RasiContent(4,Basic!$B$7,H8,I8,Basic!$F$13)</f>
        <v xml:space="preserve"> Moon Merc</v>
      </c>
      <c r="L10" s="57" t="str">
        <f ca="1">RasiContent(11,Basic!$B$7,M8,N8,Basic!$F$13)</f>
        <v/>
      </c>
      <c r="M10" s="133" t="str">
        <f>divname(M8,N8)</f>
        <v>Kashinath Hora</v>
      </c>
      <c r="N10" s="133"/>
      <c r="O10" s="57" t="str">
        <f ca="1">RasiContent(4,Basic!$B$7,M8,N8,Basic!$F$13)</f>
        <v xml:space="preserve"> Moon Merc</v>
      </c>
    </row>
    <row r="11" spans="2:15" ht="50.1" customHeight="1" x14ac:dyDescent="0.25">
      <c r="B11" s="57" t="str">
        <f ca="1">RasiContent(10,Basic!$B$7,C8,D8,Basic!$F$13)</f>
        <v/>
      </c>
      <c r="C11" s="133"/>
      <c r="D11" s="133"/>
      <c r="E11" s="57" t="str">
        <f ca="1">RasiContent(5,Basic!$B$7,C8,D8,Basic!$F$13)</f>
        <v xml:space="preserve"> Mars </v>
      </c>
      <c r="G11" s="57" t="str">
        <f ca="1">RasiContent(10,Basic!$B$7,H8,I8,Basic!$F$13)</f>
        <v xml:space="preserve"> Sun Venus Saturn </v>
      </c>
      <c r="H11" s="133"/>
      <c r="I11" s="133"/>
      <c r="J11" s="57" t="str">
        <f ca="1">RasiContent(5,Basic!$B$7,H8,I8,Basic!$F$13)</f>
        <v/>
      </c>
      <c r="L11" s="57" t="str">
        <f ca="1">RasiContent(10,Basic!$B$7,M8,N8,Basic!$F$13)</f>
        <v/>
      </c>
      <c r="M11" s="133"/>
      <c r="N11" s="133"/>
      <c r="O11" s="57" t="str">
        <f ca="1">RasiContent(5,Basic!$B$7,M8,N8,Basic!$F$13)</f>
        <v xml:space="preserve"> Sun Venus Saturn </v>
      </c>
    </row>
    <row r="12" spans="2:15" ht="50.1" customHeight="1" x14ac:dyDescent="0.25">
      <c r="B12" s="57" t="str">
        <f ca="1">RasiContent(9,Basic!$B$7,C8,D8,Basic!$F$13)</f>
        <v/>
      </c>
      <c r="C12" s="57" t="str">
        <f ca="1">RasiContent(8,Basic!$B$7,C8,D8,Basic!$F$13)</f>
        <v xml:space="preserve"> Sun Venus Saturn </v>
      </c>
      <c r="D12" s="57" t="str">
        <f ca="1">RasiContent(7,Basic!$B$7,C8,D8,Basic!$F$13)</f>
        <v xml:space="preserve"> Moon Merc</v>
      </c>
      <c r="E12" s="57" t="str">
        <f ca="1">RasiContent(6,Basic!$B$7,C8,D8,Basic!$F$13)</f>
        <v/>
      </c>
      <c r="G12" s="57" t="str">
        <f ca="1">RasiContent(9,Basic!$B$7,H8,I8,Basic!$F$13)</f>
        <v xml:space="preserve"> Mars </v>
      </c>
      <c r="H12" s="57" t="str">
        <f ca="1">RasiContent(8,Basic!$B$7,H8,I8,Basic!$F$13)</f>
        <v/>
      </c>
      <c r="I12" s="57" t="str">
        <f ca="1">RasiContent(7,Basic!$B$7,H8,I8,Basic!$F$13)</f>
        <v/>
      </c>
      <c r="J12" s="57" t="str">
        <f ca="1">RasiContent(6,Basic!$B$7,H8,I8,Basic!$F$13)</f>
        <v xml:space="preserve"> </v>
      </c>
      <c r="L12" s="57" t="str">
        <f ca="1">RasiContent(9,Basic!$B$7,M8,N8,Basic!$F$13)</f>
        <v/>
      </c>
      <c r="M12" s="57" t="str">
        <f ca="1">RasiContent(8,Basic!$B$7,M8,N8,Basic!$F$13)</f>
        <v/>
      </c>
      <c r="N12" s="57" t="str">
        <f ca="1">RasiContent(7,Basic!$B$7,M8,N8,Basic!$F$13)</f>
        <v/>
      </c>
      <c r="O12" s="57" t="str">
        <f ca="1">RasiContent(6,Basic!$B$7,M8,N8,Basic!$F$13)</f>
        <v xml:space="preserve"> Mars  </v>
      </c>
    </row>
    <row r="13" spans="2:15" ht="50.1" customHeight="1" x14ac:dyDescent="0.25">
      <c r="B13" s="58"/>
      <c r="C13" s="58"/>
      <c r="D13" s="58"/>
      <c r="E13" s="58"/>
      <c r="G13" s="58"/>
      <c r="H13" s="58"/>
      <c r="I13" s="58"/>
      <c r="J13" s="58"/>
      <c r="L13" s="58"/>
      <c r="M13" s="58"/>
      <c r="N13" s="58"/>
      <c r="O13" s="58"/>
    </row>
    <row r="14" spans="2:15" s="55" customFormat="1" ht="9.9" customHeight="1" x14ac:dyDescent="0.25">
      <c r="C14" s="56">
        <v>3</v>
      </c>
      <c r="D14" s="56">
        <v>1</v>
      </c>
      <c r="H14" s="56">
        <v>3</v>
      </c>
      <c r="I14" s="56">
        <v>2</v>
      </c>
      <c r="M14" s="56">
        <v>3</v>
      </c>
      <c r="N14" s="56">
        <v>3</v>
      </c>
    </row>
    <row r="15" spans="2:15" ht="50.1" customHeight="1" x14ac:dyDescent="0.25">
      <c r="B15" s="57" t="str">
        <f ca="1">RasiContent(12,Basic!$B$7,C14,D14,Basic!$F$13)</f>
        <v/>
      </c>
      <c r="C15" s="57" t="str">
        <f ca="1">RasiContent(1,Basic!$B$7,C14,D14,Basic!$F$13)</f>
        <v/>
      </c>
      <c r="D15" s="57" t="str">
        <f ca="1">RasiContent(2,Basic!$B$7,C14,D14,Basic!$F$13)</f>
        <v xml:space="preserve"> Rahu Asdt</v>
      </c>
      <c r="E15" s="57" t="str">
        <f ca="1">RasiContent(3,Basic!$B$7,C14,D14,Basic!$F$13)</f>
        <v xml:space="preserve"> Mars </v>
      </c>
      <c r="G15" s="57" t="str">
        <f ca="1">RasiContent(12,Basic!$B$7,H14,I14,Basic!$F$13)</f>
        <v xml:space="preserve"> Sun Venus Saturn </v>
      </c>
      <c r="H15" s="57" t="str">
        <f ca="1">RasiContent(1,Basic!$B$7,H14,I14,Basic!$F$13)</f>
        <v/>
      </c>
      <c r="I15" s="57" t="str">
        <f ca="1">RasiContent(2,Basic!$B$7,H14,I14,Basic!$F$13)</f>
        <v xml:space="preserve"> </v>
      </c>
      <c r="J15" s="57" t="str">
        <f ca="1">RasiContent(3,Basic!$B$7,H14,I14,Basic!$F$13)</f>
        <v xml:space="preserve"> Jupiter</v>
      </c>
      <c r="L15" s="57" t="str">
        <f ca="1">RasiContent(12,Basic!$B$7,M14,N14,Basic!$F$13)</f>
        <v xml:space="preserve"> Sun Venus Saturn </v>
      </c>
      <c r="M15" s="57" t="str">
        <f ca="1">RasiContent(1,Basic!$B$7,M14,N14,Basic!$F$13)</f>
        <v/>
      </c>
      <c r="N15" s="57" t="str">
        <f ca="1">RasiContent(2,Basic!$B$7,M14,N14,Basic!$F$13)</f>
        <v/>
      </c>
      <c r="O15" s="57" t="str">
        <f ca="1">RasiContent(3,Basic!$B$7,M14,N14,Basic!$F$13)</f>
        <v/>
      </c>
    </row>
    <row r="16" spans="2:15" ht="50.1" customHeight="1" x14ac:dyDescent="0.25">
      <c r="B16" s="57" t="str">
        <f ca="1">RasiContent(11,Basic!$B$7,C14,D14,Basic!$F$13)</f>
        <v/>
      </c>
      <c r="C16" s="133" t="str">
        <f>divname(C14,D14)</f>
        <v>Parashara Drekkana</v>
      </c>
      <c r="D16" s="133"/>
      <c r="E16" s="57" t="str">
        <f ca="1">RasiContent(4,Basic!$B$7,C14,D14,Basic!$F$13)</f>
        <v xml:space="preserve"> Sun Moon Merc Venus Saturn </v>
      </c>
      <c r="G16" s="57" t="str">
        <f ca="1">RasiContent(11,Basic!$B$7,H14,I14,Basic!$F$13)</f>
        <v/>
      </c>
      <c r="H16" s="133" t="str">
        <f>divname(H14,I14)</f>
        <v>Jagannath Drekkana</v>
      </c>
      <c r="I16" s="133"/>
      <c r="J16" s="57" t="str">
        <f ca="1">RasiContent(4,Basic!$B$7,H14,I14,Basic!$F$13)</f>
        <v xml:space="preserve"> Moon Ketu</v>
      </c>
      <c r="L16" s="57" t="str">
        <f ca="1">RasiContent(11,Basic!$B$7,M14,N14,Basic!$F$13)</f>
        <v xml:space="preserve"> Merc</v>
      </c>
      <c r="M16" s="133" t="str">
        <f>divname(M14,N14)</f>
        <v>Parivrittitraya  Drekkana</v>
      </c>
      <c r="N16" s="133"/>
      <c r="O16" s="57" t="str">
        <f ca="1">RasiContent(4,Basic!$B$7,M14,N14,Basic!$F$13)</f>
        <v xml:space="preserve"> Rahu Asdt</v>
      </c>
    </row>
    <row r="17" spans="2:15" ht="50.1" customHeight="1" x14ac:dyDescent="0.25">
      <c r="B17" s="57" t="str">
        <f ca="1">RasiContent(10,Basic!$B$7,C14,D14,Basic!$F$13)</f>
        <v/>
      </c>
      <c r="C17" s="133"/>
      <c r="D17" s="133"/>
      <c r="E17" s="57" t="str">
        <f ca="1">RasiContent(5,Basic!$B$7,C14,D14,Basic!$F$13)</f>
        <v/>
      </c>
      <c r="G17" s="57" t="str">
        <f ca="1">RasiContent(10,Basic!$B$7,H14,I14,Basic!$F$13)</f>
        <v xml:space="preserve"> Rahu Asdt</v>
      </c>
      <c r="H17" s="133"/>
      <c r="I17" s="133"/>
      <c r="J17" s="57" t="str">
        <f ca="1">RasiContent(5,Basic!$B$7,H14,I14,Basic!$F$13)</f>
        <v/>
      </c>
      <c r="L17" s="57" t="str">
        <f ca="1">RasiContent(10,Basic!$B$7,M14,N14,Basic!$F$13)</f>
        <v xml:space="preserve"> Moon Ketu</v>
      </c>
      <c r="M17" s="133"/>
      <c r="N17" s="133"/>
      <c r="O17" s="57" t="str">
        <f ca="1">RasiContent(5,Basic!$B$7,M14,N14,Basic!$F$13)</f>
        <v xml:space="preserve"> </v>
      </c>
    </row>
    <row r="18" spans="2:15" ht="50.1" customHeight="1" x14ac:dyDescent="0.25">
      <c r="B18" s="57" t="str">
        <f ca="1">RasiContent(9,Basic!$B$7,C14,D14,Basic!$F$13)</f>
        <v/>
      </c>
      <c r="C18" s="57" t="str">
        <f ca="1">RasiContent(8,Basic!$B$7,C14,D14,Basic!$F$13)</f>
        <v xml:space="preserve"> Ketu</v>
      </c>
      <c r="D18" s="57" t="str">
        <f ca="1">RasiContent(7,Basic!$B$7,C14,D14,Basic!$F$13)</f>
        <v xml:space="preserve"> Jupiter</v>
      </c>
      <c r="E18" s="57" t="str">
        <f ca="1">RasiContent(6,Basic!$B$7,C14,D14,Basic!$F$13)</f>
        <v xml:space="preserve"> </v>
      </c>
      <c r="G18" s="57" t="str">
        <f ca="1">RasiContent(9,Basic!$B$7,H14,I14,Basic!$F$13)</f>
        <v/>
      </c>
      <c r="H18" s="57" t="str">
        <f ca="1">RasiContent(8,Basic!$B$7,H14,I14,Basic!$F$13)</f>
        <v xml:space="preserve"> Merc</v>
      </c>
      <c r="I18" s="57" t="str">
        <f ca="1">RasiContent(7,Basic!$B$7,H14,I14,Basic!$F$13)</f>
        <v xml:space="preserve"> Mars </v>
      </c>
      <c r="J18" s="57" t="str">
        <f ca="1">RasiContent(6,Basic!$B$7,H14,I14,Basic!$F$13)</f>
        <v/>
      </c>
      <c r="L18" s="57" t="str">
        <f ca="1">RasiContent(9,Basic!$B$7,M14,N14,Basic!$F$13)</f>
        <v xml:space="preserve"> Jupiter</v>
      </c>
      <c r="M18" s="57" t="str">
        <f ca="1">RasiContent(8,Basic!$B$7,M14,N14,Basic!$F$13)</f>
        <v/>
      </c>
      <c r="N18" s="57" t="str">
        <f ca="1">RasiContent(7,Basic!$B$7,M14,N14,Basic!$F$13)</f>
        <v xml:space="preserve"> Mars </v>
      </c>
      <c r="O18" s="57" t="str">
        <f ca="1">RasiContent(6,Basic!$B$7,M14,N14,Basic!$F$13)</f>
        <v/>
      </c>
    </row>
    <row r="19" spans="2:15" ht="50.1" customHeight="1" x14ac:dyDescent="0.25">
      <c r="B19" s="58"/>
      <c r="C19" s="58"/>
      <c r="D19" s="58"/>
      <c r="E19" s="58"/>
      <c r="G19" s="58"/>
      <c r="H19" s="58"/>
      <c r="I19" s="58"/>
      <c r="J19" s="58"/>
      <c r="L19" s="58"/>
      <c r="M19" s="58"/>
      <c r="N19" s="58"/>
      <c r="O19" s="58"/>
    </row>
    <row r="20" spans="2:15" s="55" customFormat="1" ht="9.9" customHeight="1" x14ac:dyDescent="0.25">
      <c r="C20" s="56">
        <v>3</v>
      </c>
      <c r="D20" s="56">
        <v>4</v>
      </c>
      <c r="H20" s="56">
        <v>4</v>
      </c>
      <c r="I20" s="56">
        <v>1</v>
      </c>
      <c r="M20" s="56">
        <v>4</v>
      </c>
      <c r="N20" s="56">
        <v>2</v>
      </c>
    </row>
    <row r="21" spans="2:15" ht="50.1" customHeight="1" x14ac:dyDescent="0.25">
      <c r="B21" s="57" t="str">
        <f ca="1">RasiContent(12,Basic!$B$7,C20,D20,Basic!$F$13)</f>
        <v xml:space="preserve"> Jupiter Rahu Asdt</v>
      </c>
      <c r="C21" s="57" t="str">
        <f ca="1">RasiContent(1,Basic!$B$7,C20,D20,Basic!$F$13)</f>
        <v/>
      </c>
      <c r="D21" s="57" t="str">
        <f ca="1">RasiContent(2,Basic!$B$7,C20,D20,Basic!$F$13)</f>
        <v/>
      </c>
      <c r="E21" s="57" t="str">
        <f ca="1">RasiContent(3,Basic!$B$7,C20,D20,Basic!$F$13)</f>
        <v xml:space="preserve"> Ketu</v>
      </c>
      <c r="G21" s="57" t="str">
        <f ca="1">RasiContent(12,Basic!$B$7,H20,I20,Basic!$F$13)</f>
        <v xml:space="preserve"> </v>
      </c>
      <c r="H21" s="57" t="str">
        <f ca="1">RasiContent(1,Basic!$B$7,H20,I20,Basic!$F$13)</f>
        <v xml:space="preserve"> Sun Venus</v>
      </c>
      <c r="I21" s="57" t="str">
        <f ca="1">RasiContent(2,Basic!$B$7,H20,I20,Basic!$F$13)</f>
        <v xml:space="preserve"> Rahu</v>
      </c>
      <c r="J21" s="57" t="str">
        <f ca="1">RasiContent(3,Basic!$B$7,H20,I20,Basic!$F$13)</f>
        <v xml:space="preserve"> Mars </v>
      </c>
      <c r="L21" s="57" t="str">
        <f ca="1">RasiContent(12,Basic!$B$7,M20,N20,Basic!$F$13)</f>
        <v/>
      </c>
      <c r="M21" s="57" t="str">
        <f ca="1">RasiContent(1,Basic!$B$7,M20,N20,Basic!$F$13)</f>
        <v xml:space="preserve"> Moon</v>
      </c>
      <c r="N21" s="57" t="str">
        <f ca="1">RasiContent(2,Basic!$B$7,M20,N20,Basic!$F$13)</f>
        <v xml:space="preserve"> Merc</v>
      </c>
      <c r="O21" s="57" t="str">
        <f ca="1">RasiContent(3,Basic!$B$7,M20,N20,Basic!$F$13)</f>
        <v xml:space="preserve"> Saturn </v>
      </c>
    </row>
    <row r="22" spans="2:15" ht="50.1" customHeight="1" x14ac:dyDescent="0.25">
      <c r="B22" s="57" t="str">
        <f ca="1">RasiContent(11,Basic!$B$7,C20,D20,Basic!$F$13)</f>
        <v/>
      </c>
      <c r="C22" s="133" t="str">
        <f>divname(C20,D20)</f>
        <v>Somnath Drekkana</v>
      </c>
      <c r="D22" s="133"/>
      <c r="E22" s="57" t="str">
        <f ca="1">RasiContent(4,Basic!$B$7,C20,D20,Basic!$F$13)</f>
        <v xml:space="preserve"> Mars </v>
      </c>
      <c r="G22" s="57" t="str">
        <f ca="1">RasiContent(11,Basic!$B$7,H20,I20,Basic!$F$13)</f>
        <v/>
      </c>
      <c r="H22" s="133" t="str">
        <f>divname(H20,I20)</f>
        <v>Parashara Chaturthamsa</v>
      </c>
      <c r="I22" s="133"/>
      <c r="J22" s="57" t="str">
        <f ca="1">RasiContent(4,Basic!$B$7,H20,I20,Basic!$F$13)</f>
        <v xml:space="preserve"> Moon Jupiter</v>
      </c>
      <c r="L22" s="57" t="str">
        <f ca="1">RasiContent(11,Basic!$B$7,M20,N20,Basic!$F$13)</f>
        <v xml:space="preserve"> </v>
      </c>
      <c r="M22" s="133" t="str">
        <f>divname(M20,N20)</f>
        <v>Cyclical Chaturthamsa</v>
      </c>
      <c r="N22" s="133"/>
      <c r="O22" s="57" t="str">
        <f ca="1">RasiContent(4,Basic!$B$7,M20,N20,Basic!$F$13)</f>
        <v xml:space="preserve"> Sun Venus Jupiter</v>
      </c>
    </row>
    <row r="23" spans="2:15" ht="50.1" customHeight="1" x14ac:dyDescent="0.25">
      <c r="B23" s="57" t="str">
        <f ca="1">RasiContent(10,Basic!$B$7,C20,D20,Basic!$F$13)</f>
        <v/>
      </c>
      <c r="C23" s="133"/>
      <c r="D23" s="133"/>
      <c r="E23" s="57" t="str">
        <f ca="1">RasiContent(5,Basic!$B$7,C20,D20,Basic!$F$13)</f>
        <v xml:space="preserve"> </v>
      </c>
      <c r="G23" s="57" t="str">
        <f ca="1">RasiContent(10,Basic!$B$7,H20,I20,Basic!$F$13)</f>
        <v xml:space="preserve"> Saturn </v>
      </c>
      <c r="H23" s="133"/>
      <c r="I23" s="133"/>
      <c r="J23" s="57" t="str">
        <f ca="1">RasiContent(5,Basic!$B$7,H20,I20,Basic!$F$13)</f>
        <v xml:space="preserve"> Asdt</v>
      </c>
      <c r="L23" s="57" t="str">
        <f ca="1">RasiContent(10,Basic!$B$7,M20,N20,Basic!$F$13)</f>
        <v/>
      </c>
      <c r="M23" s="133"/>
      <c r="N23" s="133"/>
      <c r="O23" s="57" t="str">
        <f ca="1">RasiContent(5,Basic!$B$7,M20,N20,Basic!$F$13)</f>
        <v xml:space="preserve"> Rahu Ketu</v>
      </c>
    </row>
    <row r="24" spans="2:15" ht="50.1" customHeight="1" x14ac:dyDescent="0.25">
      <c r="B24" s="57" t="str">
        <f ca="1">RasiContent(9,Basic!$B$7,C20,D20,Basic!$F$13)</f>
        <v xml:space="preserve"> Moon</v>
      </c>
      <c r="C24" s="57" t="str">
        <f ca="1">RasiContent(8,Basic!$B$7,C20,D20,Basic!$F$13)</f>
        <v xml:space="preserve"> Merc</v>
      </c>
      <c r="D24" s="57" t="str">
        <f ca="1">RasiContent(7,Basic!$B$7,C20,D20,Basic!$F$13)</f>
        <v xml:space="preserve"> Sun Venus Saturn </v>
      </c>
      <c r="E24" s="57" t="str">
        <f ca="1">RasiContent(6,Basic!$B$7,C20,D20,Basic!$F$13)</f>
        <v/>
      </c>
      <c r="G24" s="57" t="str">
        <f ca="1">RasiContent(9,Basic!$B$7,H20,I20,Basic!$F$13)</f>
        <v/>
      </c>
      <c r="H24" s="57" t="str">
        <f ca="1">RasiContent(8,Basic!$B$7,H20,I20,Basic!$F$13)</f>
        <v xml:space="preserve"> Ketu</v>
      </c>
      <c r="I24" s="57" t="str">
        <f ca="1">RasiContent(7,Basic!$B$7,H20,I20,Basic!$F$13)</f>
        <v xml:space="preserve"> Merc</v>
      </c>
      <c r="J24" s="57" t="str">
        <f ca="1">RasiContent(6,Basic!$B$7,H20,I20,Basic!$F$13)</f>
        <v/>
      </c>
      <c r="L24" s="57" t="str">
        <f ca="1">RasiContent(9,Basic!$B$7,M20,N20,Basic!$F$13)</f>
        <v xml:space="preserve"> Mars </v>
      </c>
      <c r="M24" s="57" t="str">
        <f ca="1">RasiContent(8,Basic!$B$7,M20,N20,Basic!$F$13)</f>
        <v/>
      </c>
      <c r="N24" s="57" t="str">
        <f ca="1">RasiContent(7,Basic!$B$7,M20,N20,Basic!$F$13)</f>
        <v/>
      </c>
      <c r="O24" s="57" t="str">
        <f ca="1">RasiContent(6,Basic!$B$7,M20,N20,Basic!$F$13)</f>
        <v xml:space="preserve"> Asdt</v>
      </c>
    </row>
    <row r="25" spans="2:15" ht="50.1" customHeight="1" x14ac:dyDescent="0.25">
      <c r="B25" s="58"/>
      <c r="C25" s="58"/>
      <c r="D25" s="58"/>
      <c r="E25" s="58"/>
      <c r="G25" s="58"/>
      <c r="H25" s="58"/>
      <c r="I25" s="58"/>
      <c r="J25" s="58"/>
      <c r="L25" s="58"/>
      <c r="M25" s="58"/>
      <c r="N25" s="58"/>
      <c r="O25" s="58"/>
    </row>
    <row r="26" spans="2:15" s="55" customFormat="1" ht="9.9" customHeight="1" x14ac:dyDescent="0.25">
      <c r="C26" s="56">
        <v>5</v>
      </c>
      <c r="D26" s="56">
        <v>1</v>
      </c>
      <c r="H26" s="56">
        <v>7</v>
      </c>
      <c r="I26" s="56">
        <v>1</v>
      </c>
      <c r="M26" s="56">
        <v>9</v>
      </c>
      <c r="N26" s="56">
        <v>1</v>
      </c>
    </row>
    <row r="27" spans="2:15" ht="50.1" customHeight="1" x14ac:dyDescent="0.25">
      <c r="B27" s="57" t="str">
        <f ca="1">RasiContent(12,Basic!$B$7,C26,D26,Basic!$F$13)</f>
        <v xml:space="preserve"> Mars Ketu</v>
      </c>
      <c r="C27" s="57" t="str">
        <f ca="1">RasiContent(1,Basic!$B$7,C26,D26,Basic!$F$13)</f>
        <v/>
      </c>
      <c r="D27" s="57" t="str">
        <f ca="1">RasiContent(2,Basic!$B$7,C26,D26,Basic!$F$13)</f>
        <v/>
      </c>
      <c r="E27" s="57" t="str">
        <f ca="1">RasiContent(3,Basic!$B$7,C26,D26,Basic!$F$13)</f>
        <v/>
      </c>
      <c r="G27" s="57" t="str">
        <f ca="1">RasiContent(12,Basic!$B$7,H26,I26,Basic!$F$13)</f>
        <v/>
      </c>
      <c r="H27" s="57" t="str">
        <f ca="1">RasiContent(1,Basic!$B$7,H26,I26,Basic!$F$13)</f>
        <v xml:space="preserve"> Merc Jupiter</v>
      </c>
      <c r="I27" s="57" t="str">
        <f ca="1">RasiContent(2,Basic!$B$7,H26,I26,Basic!$F$13)</f>
        <v xml:space="preserve"> Saturn </v>
      </c>
      <c r="J27" s="57" t="str">
        <f ca="1">RasiContent(3,Basic!$B$7,H26,I26,Basic!$F$13)</f>
        <v xml:space="preserve"> Venus   Ketu</v>
      </c>
      <c r="L27" s="57" t="str">
        <f ca="1">RasiContent(12,Basic!$B$7,M26,N26,Basic!$F$13)</f>
        <v xml:space="preserve"> Sun Asdt</v>
      </c>
      <c r="M27" s="57" t="str">
        <f ca="1">RasiContent(1,Basic!$B$7,M26,N26,Basic!$F$13)</f>
        <v/>
      </c>
      <c r="N27" s="57" t="str">
        <f ca="1">RasiContent(2,Basic!$B$7,M26,N26,Basic!$F$13)</f>
        <v xml:space="preserve"> Jupiter </v>
      </c>
      <c r="O27" s="57" t="str">
        <f ca="1">RasiContent(3,Basic!$B$7,M26,N26,Basic!$F$13)</f>
        <v/>
      </c>
    </row>
    <row r="28" spans="2:15" ht="50.1" customHeight="1" x14ac:dyDescent="0.25">
      <c r="B28" s="57" t="str">
        <f ca="1">RasiContent(11,Basic!$B$7,C26,D26,Basic!$F$13)</f>
        <v xml:space="preserve"> Jupiter </v>
      </c>
      <c r="C28" s="133" t="str">
        <f>divname(C26,D26)</f>
        <v>Cyclical Panchamsa</v>
      </c>
      <c r="D28" s="133"/>
      <c r="E28" s="57" t="str">
        <f ca="1">RasiContent(4,Basic!$B$7,C26,D26,Basic!$F$13)</f>
        <v xml:space="preserve"> Moon </v>
      </c>
      <c r="G28" s="57" t="str">
        <f ca="1">RasiContent(11,Basic!$B$7,H26,I26,Basic!$F$13)</f>
        <v/>
      </c>
      <c r="H28" s="133" t="str">
        <f>divname(H26,I26)</f>
        <v>Saptamsa</v>
      </c>
      <c r="I28" s="133"/>
      <c r="J28" s="57" t="str">
        <f ca="1">RasiContent(4,Basic!$B$7,H26,I26,Basic!$F$13)</f>
        <v xml:space="preserve"> Sun Mars</v>
      </c>
      <c r="L28" s="57" t="str">
        <f ca="1">RasiContent(11,Basic!$B$7,M26,N26,Basic!$F$13)</f>
        <v xml:space="preserve"> Rahu</v>
      </c>
      <c r="M28" s="133" t="str">
        <f>divname(M26,N26)</f>
        <v>Navamsa</v>
      </c>
      <c r="N28" s="133"/>
      <c r="O28" s="57" t="str">
        <f ca="1">RasiContent(4,Basic!$B$7,M26,N26,Basic!$F$13)</f>
        <v/>
      </c>
    </row>
    <row r="29" spans="2:15" ht="50.1" customHeight="1" x14ac:dyDescent="0.25">
      <c r="B29" s="57" t="str">
        <f ca="1">RasiContent(10,Basic!$B$7,C26,D26,Basic!$F$13)</f>
        <v/>
      </c>
      <c r="C29" s="133"/>
      <c r="D29" s="133"/>
      <c r="E29" s="57" t="str">
        <f ca="1">RasiContent(5,Basic!$B$7,C26,D26,Basic!$F$13)</f>
        <v/>
      </c>
      <c r="G29" s="57" t="str">
        <f ca="1">RasiContent(10,Basic!$B$7,H26,I26,Basic!$F$13)</f>
        <v xml:space="preserve"> Moon</v>
      </c>
      <c r="H29" s="133"/>
      <c r="I29" s="133"/>
      <c r="J29" s="57" t="str">
        <f ca="1">RasiContent(5,Basic!$B$7,H26,I26,Basic!$F$13)</f>
        <v/>
      </c>
      <c r="L29" s="57" t="str">
        <f ca="1">RasiContent(10,Basic!$B$7,M26,N26,Basic!$F$13)</f>
        <v xml:space="preserve"> Venus Saturn </v>
      </c>
      <c r="M29" s="133"/>
      <c r="N29" s="133"/>
      <c r="O29" s="57" t="str">
        <f ca="1">RasiContent(5,Basic!$B$7,M26,N26,Basic!$F$13)</f>
        <v xml:space="preserve"> Moon Ketu</v>
      </c>
    </row>
    <row r="30" spans="2:15" ht="50.1" customHeight="1" x14ac:dyDescent="0.25">
      <c r="B30" s="57" t="str">
        <f ca="1">RasiContent(9,Basic!$B$7,C26,D26,Basic!$F$13)</f>
        <v/>
      </c>
      <c r="C30" s="57" t="str">
        <f ca="1">RasiContent(8,Basic!$B$7,C26,D26,Basic!$F$13)</f>
        <v xml:space="preserve"> Sun</v>
      </c>
      <c r="D30" s="57" t="str">
        <f ca="1">RasiContent(7,Basic!$B$7,C26,D26,Basic!$F$13)</f>
        <v xml:space="preserve"> Venus Saturn  Asdt</v>
      </c>
      <c r="E30" s="57" t="str">
        <f ca="1">RasiContent(6,Basic!$B$7,C26,D26,Basic!$F$13)</f>
        <v xml:space="preserve"> Merc Rahu</v>
      </c>
      <c r="G30" s="57" t="str">
        <f ca="1">RasiContent(9,Basic!$B$7,H26,I26,Basic!$F$13)</f>
        <v xml:space="preserve"> Rahu Asdt</v>
      </c>
      <c r="H30" s="57" t="str">
        <f ca="1">RasiContent(8,Basic!$B$7,H26,I26,Basic!$F$13)</f>
        <v/>
      </c>
      <c r="I30" s="57" t="str">
        <f ca="1">RasiContent(7,Basic!$B$7,H26,I26,Basic!$F$13)</f>
        <v/>
      </c>
      <c r="J30" s="57" t="str">
        <f ca="1">RasiContent(6,Basic!$B$7,H26,I26,Basic!$F$13)</f>
        <v/>
      </c>
      <c r="L30" s="57" t="str">
        <f ca="1">RasiContent(9,Basic!$B$7,M26,N26,Basic!$F$13)</f>
        <v xml:space="preserve"> Mars</v>
      </c>
      <c r="M30" s="57" t="str">
        <f ca="1">RasiContent(8,Basic!$B$7,M26,N26,Basic!$F$13)</f>
        <v xml:space="preserve"> Merc</v>
      </c>
      <c r="N30" s="57" t="str">
        <f ca="1">RasiContent(7,Basic!$B$7,M26,N26,Basic!$F$13)</f>
        <v xml:space="preserve"> </v>
      </c>
      <c r="O30" s="57" t="str">
        <f ca="1">RasiContent(6,Basic!$B$7,M26,N26,Basic!$F$13)</f>
        <v/>
      </c>
    </row>
    <row r="31" spans="2:15" ht="50.1" customHeight="1" x14ac:dyDescent="0.25">
      <c r="B31" s="58"/>
      <c r="C31" s="58"/>
      <c r="D31" s="58"/>
      <c r="E31" s="58"/>
      <c r="G31" s="58"/>
      <c r="H31" s="58"/>
      <c r="I31" s="58"/>
      <c r="J31" s="58"/>
      <c r="L31" s="58"/>
      <c r="M31" s="58"/>
      <c r="N31" s="58"/>
      <c r="O31" s="58"/>
    </row>
    <row r="32" spans="2:15" s="55" customFormat="1" ht="9.9" customHeight="1" x14ac:dyDescent="0.25">
      <c r="C32" s="56">
        <v>10</v>
      </c>
      <c r="D32" s="56">
        <v>1</v>
      </c>
      <c r="H32" s="56">
        <v>11</v>
      </c>
      <c r="I32" s="56">
        <v>1</v>
      </c>
      <c r="M32" s="56">
        <v>12</v>
      </c>
      <c r="N32" s="56">
        <v>1</v>
      </c>
    </row>
    <row r="33" spans="2:15" ht="50.1" customHeight="1" x14ac:dyDescent="0.25">
      <c r="B33" s="57" t="str">
        <f ca="1">RasiContent(12,Basic!$B$7,C32,D32,Basic!$F$13)</f>
        <v xml:space="preserve"> Asdt</v>
      </c>
      <c r="C33" s="57" t="str">
        <f ca="1">RasiContent(1,Basic!$B$7,C32,D32,Basic!$F$13)</f>
        <v xml:space="preserve"> Moon</v>
      </c>
      <c r="D33" s="57" t="str">
        <f ca="1">RasiContent(2,Basic!$B$7,C32,D32,Basic!$F$13)</f>
        <v/>
      </c>
      <c r="E33" s="57" t="str">
        <f ca="1">RasiContent(3,Basic!$B$7,C32,D32,Basic!$F$13)</f>
        <v xml:space="preserve"> Jupiter </v>
      </c>
      <c r="G33" s="57" t="str">
        <f ca="1">RasiContent(12,Basic!$B$7,H32,I32,Basic!$F$13)</f>
        <v/>
      </c>
      <c r="H33" s="57" t="str">
        <f ca="1">RasiContent(1,Basic!$B$7,H32,I32,Basic!$F$13)</f>
        <v xml:space="preserve"> Mars  Rahu</v>
      </c>
      <c r="I33" s="57" t="str">
        <f ca="1">RasiContent(2,Basic!$B$7,H32,I32,Basic!$F$13)</f>
        <v xml:space="preserve"> Asdt</v>
      </c>
      <c r="J33" s="57" t="str">
        <f ca="1">RasiContent(3,Basic!$B$7,H32,I32,Basic!$F$13)</f>
        <v xml:space="preserve"> Merc</v>
      </c>
      <c r="L33" s="57" t="str">
        <f ca="1">RasiContent(12,Basic!$B$7,M32,N32,Basic!$F$13)</f>
        <v xml:space="preserve"> Saturn  </v>
      </c>
      <c r="M33" s="57" t="str">
        <f ca="1">RasiContent(1,Basic!$B$7,M32,N32,Basic!$F$13)</f>
        <v xml:space="preserve"> Venus</v>
      </c>
      <c r="N33" s="57" t="str">
        <f ca="1">RasiContent(2,Basic!$B$7,M32,N32,Basic!$F$13)</f>
        <v/>
      </c>
      <c r="O33" s="57" t="str">
        <f ca="1">RasiContent(3,Basic!$B$7,M32,N32,Basic!$F$13)</f>
        <v xml:space="preserve"> Sun </v>
      </c>
    </row>
    <row r="34" spans="2:15" ht="50.1" customHeight="1" x14ac:dyDescent="0.25">
      <c r="B34" s="57" t="str">
        <f ca="1">RasiContent(11,Basic!$B$7,C32,D32,Basic!$F$13)</f>
        <v xml:space="preserve"> Rahu</v>
      </c>
      <c r="C34" s="133" t="str">
        <f>divname(C32,D32)</f>
        <v>Dasamsa</v>
      </c>
      <c r="D34" s="133"/>
      <c r="E34" s="57" t="str">
        <f ca="1">RasiContent(4,Basic!$B$7,C32,D32,Basic!$F$13)</f>
        <v xml:space="preserve"> Merc</v>
      </c>
      <c r="G34" s="57" t="str">
        <f ca="1">RasiContent(11,Basic!$B$7,H32,I32,Basic!$F$13)</f>
        <v xml:space="preserve"> Moon </v>
      </c>
      <c r="H34" s="133" t="str">
        <f>divname(H32,I32)</f>
        <v>Rudramsa</v>
      </c>
      <c r="I34" s="133"/>
      <c r="J34" s="57" t="str">
        <f ca="1">RasiContent(4,Basic!$B$7,H32,I32,Basic!$F$13)</f>
        <v xml:space="preserve"> Jupiter</v>
      </c>
      <c r="L34" s="57" t="str">
        <f ca="1">RasiContent(11,Basic!$B$7,M32,N32,Basic!$F$13)</f>
        <v/>
      </c>
      <c r="M34" s="133" t="str">
        <f>divname(M32,N32)</f>
        <v>Dwadasamsa</v>
      </c>
      <c r="N34" s="133"/>
      <c r="O34" s="57" t="str">
        <f ca="1">RasiContent(4,Basic!$B$7,M32,N32,Basic!$F$13)</f>
        <v xml:space="preserve"> Rahu</v>
      </c>
    </row>
    <row r="35" spans="2:15" ht="50.1" customHeight="1" x14ac:dyDescent="0.25">
      <c r="B35" s="57" t="str">
        <f ca="1">RasiContent(10,Basic!$B$7,C32,D32,Basic!$F$13)</f>
        <v/>
      </c>
      <c r="C35" s="133"/>
      <c r="D35" s="133"/>
      <c r="E35" s="57" t="str">
        <f ca="1">RasiContent(5,Basic!$B$7,C32,D32,Basic!$F$13)</f>
        <v xml:space="preserve"> Mars Ketu</v>
      </c>
      <c r="G35" s="57" t="str">
        <f ca="1">RasiContent(10,Basic!$B$7,H32,I32,Basic!$F$13)</f>
        <v/>
      </c>
      <c r="H35" s="133"/>
      <c r="I35" s="133"/>
      <c r="J35" s="57" t="str">
        <f ca="1">RasiContent(5,Basic!$B$7,H32,I32,Basic!$F$13)</f>
        <v xml:space="preserve"> Saturn </v>
      </c>
      <c r="L35" s="57" t="str">
        <f ca="1">RasiContent(10,Basic!$B$7,M32,N32,Basic!$F$13)</f>
        <v xml:space="preserve"> Ketu</v>
      </c>
      <c r="M35" s="133"/>
      <c r="N35" s="133"/>
      <c r="O35" s="57" t="str">
        <f ca="1">RasiContent(5,Basic!$B$7,M32,N32,Basic!$F$13)</f>
        <v xml:space="preserve"> Moon Mars Jupiter Asdt</v>
      </c>
    </row>
    <row r="36" spans="2:15" ht="50.1" customHeight="1" x14ac:dyDescent="0.25">
      <c r="B36" s="57" t="str">
        <f ca="1">RasiContent(9,Basic!$B$7,C32,D32,Basic!$F$13)</f>
        <v xml:space="preserve"> Sun</v>
      </c>
      <c r="C36" s="57" t="str">
        <f ca="1">RasiContent(8,Basic!$B$7,C32,D32,Basic!$F$13)</f>
        <v/>
      </c>
      <c r="D36" s="57" t="str">
        <f ca="1">RasiContent(7,Basic!$B$7,C32,D32,Basic!$F$13)</f>
        <v xml:space="preserve"> Venus </v>
      </c>
      <c r="E36" s="57" t="str">
        <f ca="1">RasiContent(6,Basic!$B$7,C32,D32,Basic!$F$13)</f>
        <v xml:space="preserve"> Saturn </v>
      </c>
      <c r="G36" s="57" t="str">
        <f ca="1">RasiContent(9,Basic!$B$7,H32,I32,Basic!$F$13)</f>
        <v/>
      </c>
      <c r="H36" s="57" t="str">
        <f ca="1">RasiContent(8,Basic!$B$7,H32,I32,Basic!$F$13)</f>
        <v xml:space="preserve"> Sun</v>
      </c>
      <c r="I36" s="57" t="str">
        <f ca="1">RasiContent(7,Basic!$B$7,H32,I32,Basic!$F$13)</f>
        <v xml:space="preserve"> Ketu</v>
      </c>
      <c r="J36" s="57" t="str">
        <f ca="1">RasiContent(6,Basic!$B$7,H32,I32,Basic!$F$13)</f>
        <v xml:space="preserve"> Venus</v>
      </c>
      <c r="L36" s="57" t="str">
        <f ca="1">RasiContent(9,Basic!$B$7,M32,N32,Basic!$F$13)</f>
        <v xml:space="preserve"> Merc</v>
      </c>
      <c r="M36" s="57" t="str">
        <f ca="1">RasiContent(8,Basic!$B$7,M32,N32,Basic!$F$13)</f>
        <v/>
      </c>
      <c r="N36" s="57" t="str">
        <f ca="1">RasiContent(7,Basic!$B$7,M32,N32,Basic!$F$13)</f>
        <v/>
      </c>
      <c r="O36" s="57" t="str">
        <f ca="1">RasiContent(6,Basic!$B$7,M32,N32,Basic!$F$13)</f>
        <v/>
      </c>
    </row>
    <row r="37" spans="2:15" ht="50.1" customHeight="1" x14ac:dyDescent="0.25">
      <c r="B37" s="58"/>
      <c r="C37" s="58"/>
      <c r="D37" s="58"/>
      <c r="E37" s="58"/>
      <c r="G37" s="58"/>
      <c r="H37" s="58"/>
      <c r="I37" s="58"/>
      <c r="J37" s="58"/>
      <c r="L37" s="58"/>
      <c r="M37" s="58"/>
      <c r="N37" s="58"/>
      <c r="O37" s="58"/>
    </row>
    <row r="38" spans="2:15" s="55" customFormat="1" ht="9.9" customHeight="1" x14ac:dyDescent="0.25">
      <c r="C38" s="56">
        <v>16</v>
      </c>
      <c r="D38" s="56">
        <v>1</v>
      </c>
      <c r="H38" s="56">
        <v>20</v>
      </c>
      <c r="I38" s="56">
        <v>1</v>
      </c>
      <c r="M38" s="56">
        <v>24</v>
      </c>
      <c r="N38" s="56">
        <v>1</v>
      </c>
    </row>
    <row r="39" spans="2:15" ht="50.1" customHeight="1" x14ac:dyDescent="0.25">
      <c r="B39" s="57" t="str">
        <f ca="1">RasiContent(12,Basic!$B$7,C38,D38,Basic!$F$13)</f>
        <v xml:space="preserve"> Mars</v>
      </c>
      <c r="C39" s="57" t="str">
        <f ca="1">RasiContent(1,Basic!$B$7,C38,D38,Basic!$F$13)</f>
        <v xml:space="preserve"> Venus</v>
      </c>
      <c r="D39" s="57" t="str">
        <f ca="1">RasiContent(2,Basic!$B$7,C38,D38,Basic!$F$13)</f>
        <v xml:space="preserve"> Jupiter</v>
      </c>
      <c r="E39" s="57" t="str">
        <f ca="1">RasiContent(3,Basic!$B$7,C38,D38,Basic!$F$13)</f>
        <v xml:space="preserve"> Sun Moon</v>
      </c>
      <c r="G39" s="57" t="str">
        <f ca="1">RasiContent(12,Basic!$B$7,H38,I38,Basic!$F$13)</f>
        <v xml:space="preserve"> Rahu Ketu</v>
      </c>
      <c r="H39" s="57" t="str">
        <f ca="1">RasiContent(1,Basic!$B$7,H38,I38,Basic!$F$13)</f>
        <v/>
      </c>
      <c r="I39" s="57" t="str">
        <f ca="1">RasiContent(2,Basic!$B$7,H38,I38,Basic!$F$13)</f>
        <v xml:space="preserve"> Saturn  Asdt</v>
      </c>
      <c r="J39" s="57" t="str">
        <f ca="1">RasiContent(3,Basic!$B$7,H38,I38,Basic!$F$13)</f>
        <v xml:space="preserve"> Moon </v>
      </c>
      <c r="L39" s="57" t="str">
        <f ca="1">RasiContent(12,Basic!$B$7,M38,N38,Basic!$F$13)</f>
        <v/>
      </c>
      <c r="M39" s="57" t="str">
        <f ca="1">RasiContent(1,Basic!$B$7,M38,N38,Basic!$F$13)</f>
        <v xml:space="preserve"> Jupiter</v>
      </c>
      <c r="N39" s="57" t="str">
        <f ca="1">RasiContent(2,Basic!$B$7,M38,N38,Basic!$F$13)</f>
        <v xml:space="preserve"> Sun Merc</v>
      </c>
      <c r="O39" s="57" t="str">
        <f ca="1">RasiContent(3,Basic!$B$7,M38,N38,Basic!$F$13)</f>
        <v/>
      </c>
    </row>
    <row r="40" spans="2:15" ht="50.1" customHeight="1" x14ac:dyDescent="0.25">
      <c r="B40" s="57" t="str">
        <f ca="1">RasiContent(11,Basic!$B$7,C38,D38,Basic!$F$13)</f>
        <v xml:space="preserve"> Saturn </v>
      </c>
      <c r="C40" s="133" t="str">
        <f>divname(C38,D38)</f>
        <v>Shodasamsa</v>
      </c>
      <c r="D40" s="133"/>
      <c r="E40" s="57" t="str">
        <f ca="1">RasiContent(4,Basic!$B$7,C38,D38,Basic!$F$13)</f>
        <v/>
      </c>
      <c r="G40" s="57" t="str">
        <f ca="1">RasiContent(11,Basic!$B$7,H38,I38,Basic!$F$13)</f>
        <v/>
      </c>
      <c r="H40" s="133" t="str">
        <f>divname(H38,I38)</f>
        <v>Vimsamsa</v>
      </c>
      <c r="I40" s="133"/>
      <c r="J40" s="57" t="str">
        <f ca="1">RasiContent(4,Basic!$B$7,H38,I38,Basic!$F$13)</f>
        <v xml:space="preserve"> Venus</v>
      </c>
      <c r="L40" s="57" t="str">
        <f ca="1">RasiContent(11,Basic!$B$7,M38,N38,Basic!$F$13)</f>
        <v/>
      </c>
      <c r="M40" s="133" t="str">
        <f>divname(M38,N38)</f>
        <v>Siddhamsa</v>
      </c>
      <c r="N40" s="133"/>
      <c r="O40" s="57" t="str">
        <f ca="1">RasiContent(4,Basic!$B$7,M38,N38,Basic!$F$13)</f>
        <v xml:space="preserve"> </v>
      </c>
    </row>
    <row r="41" spans="2:15" ht="50.1" customHeight="1" x14ac:dyDescent="0.25">
      <c r="B41" s="57" t="str">
        <f ca="1">RasiContent(10,Basic!$B$7,C38,D38,Basic!$F$13)</f>
        <v xml:space="preserve"> </v>
      </c>
      <c r="C41" s="133"/>
      <c r="D41" s="133"/>
      <c r="E41" s="57" t="str">
        <f ca="1">RasiContent(5,Basic!$B$7,C38,D38,Basic!$F$13)</f>
        <v xml:space="preserve"> </v>
      </c>
      <c r="G41" s="57" t="str">
        <f ca="1">RasiContent(10,Basic!$B$7,H38,I38,Basic!$F$13)</f>
        <v xml:space="preserve"> Merc</v>
      </c>
      <c r="H41" s="133"/>
      <c r="I41" s="133"/>
      <c r="J41" s="57" t="str">
        <f ca="1">RasiContent(5,Basic!$B$7,H38,I38,Basic!$F$13)</f>
        <v/>
      </c>
      <c r="L41" s="57" t="str">
        <f ca="1">RasiContent(10,Basic!$B$7,M38,N38,Basic!$F$13)</f>
        <v xml:space="preserve"> Venus Mars Asdt</v>
      </c>
      <c r="M41" s="133"/>
      <c r="N41" s="133"/>
      <c r="O41" s="57" t="str">
        <f ca="1">RasiContent(5,Basic!$B$7,M38,N38,Basic!$F$13)</f>
        <v/>
      </c>
    </row>
    <row r="42" spans="2:15" ht="50.1" customHeight="1" x14ac:dyDescent="0.25">
      <c r="B42" s="57" t="str">
        <f ca="1">RasiContent(9,Basic!$B$7,C38,D38,Basic!$F$13)</f>
        <v xml:space="preserve"> Asdt</v>
      </c>
      <c r="C42" s="57" t="str">
        <f ca="1">RasiContent(8,Basic!$B$7,C38,D38,Basic!$F$13)</f>
        <v xml:space="preserve"> Merc</v>
      </c>
      <c r="D42" s="57" t="str">
        <f ca="1">RasiContent(7,Basic!$B$7,C38,D38,Basic!$F$13)</f>
        <v xml:space="preserve"> Rahu Ketu</v>
      </c>
      <c r="E42" s="57" t="str">
        <f ca="1">RasiContent(6,Basic!$B$7,C38,D38,Basic!$F$13)</f>
        <v/>
      </c>
      <c r="G42" s="57" t="str">
        <f ca="1">RasiContent(9,Basic!$B$7,H38,I38,Basic!$F$13)</f>
        <v xml:space="preserve"> Mars</v>
      </c>
      <c r="H42" s="57" t="str">
        <f ca="1">RasiContent(8,Basic!$B$7,H38,I38,Basic!$F$13)</f>
        <v/>
      </c>
      <c r="I42" s="57" t="str">
        <f ca="1">RasiContent(7,Basic!$B$7,H38,I38,Basic!$F$13)</f>
        <v xml:space="preserve"> Sun</v>
      </c>
      <c r="J42" s="57" t="str">
        <f ca="1">RasiContent(6,Basic!$B$7,H38,I38,Basic!$F$13)</f>
        <v xml:space="preserve"> Jupiter </v>
      </c>
      <c r="L42" s="57" t="str">
        <f ca="1">RasiContent(9,Basic!$B$7,M38,N38,Basic!$F$13)</f>
        <v/>
      </c>
      <c r="M42" s="57" t="str">
        <f ca="1">RasiContent(8,Basic!$B$7,M38,N38,Basic!$F$13)</f>
        <v xml:space="preserve"> Saturn  Rahu Ketu</v>
      </c>
      <c r="N42" s="57" t="str">
        <f ca="1">RasiContent(7,Basic!$B$7,M38,N38,Basic!$F$13)</f>
        <v xml:space="preserve"> Moon</v>
      </c>
      <c r="O42" s="57" t="str">
        <f ca="1">RasiContent(6,Basic!$B$7,M38,N38,Basic!$F$13)</f>
        <v xml:space="preserve"> </v>
      </c>
    </row>
    <row r="43" spans="2:15" ht="50.1" customHeight="1" x14ac:dyDescent="0.25">
      <c r="B43" s="58"/>
      <c r="C43" s="58"/>
      <c r="D43" s="58"/>
      <c r="E43" s="58"/>
      <c r="G43" s="58"/>
      <c r="H43" s="58"/>
      <c r="I43" s="58"/>
      <c r="J43" s="58"/>
      <c r="L43" s="58"/>
      <c r="M43" s="58"/>
      <c r="N43" s="58"/>
      <c r="O43" s="58"/>
    </row>
    <row r="44" spans="2:15" s="55" customFormat="1" ht="9.9" customHeight="1" x14ac:dyDescent="0.25">
      <c r="C44" s="56">
        <v>27</v>
      </c>
      <c r="D44" s="56">
        <v>1</v>
      </c>
      <c r="H44" s="56">
        <v>30</v>
      </c>
      <c r="I44" s="56">
        <v>1</v>
      </c>
      <c r="M44" s="56">
        <v>30</v>
      </c>
      <c r="N44" s="56">
        <v>2</v>
      </c>
    </row>
    <row r="45" spans="2:15" ht="50.1" customHeight="1" x14ac:dyDescent="0.25">
      <c r="B45" s="57" t="str">
        <f ca="1">RasiContent(12,Basic!$B$7,C44,D44,Basic!$F$13)</f>
        <v/>
      </c>
      <c r="C45" s="57" t="str">
        <f ca="1">RasiContent(1,Basic!$B$7,C44,D44,Basic!$F$13)</f>
        <v xml:space="preserve"> Moon Mars</v>
      </c>
      <c r="D45" s="57" t="str">
        <f ca="1">RasiContent(2,Basic!$B$7,C44,D44,Basic!$F$13)</f>
        <v xml:space="preserve"> Ketu</v>
      </c>
      <c r="E45" s="57" t="str">
        <f ca="1">RasiContent(3,Basic!$B$7,C44,D44,Basic!$F$13)</f>
        <v/>
      </c>
      <c r="G45" s="57" t="str">
        <f ca="1">RasiContent(12,Basic!$B$7,H44,I44,Basic!$F$13)</f>
        <v xml:space="preserve"> Merc </v>
      </c>
      <c r="H45" s="57" t="str">
        <f ca="1">RasiContent(1,Basic!$B$7,H44,I44,Basic!$F$13)</f>
        <v xml:space="preserve"> Moon </v>
      </c>
      <c r="I45" s="57" t="str">
        <f ca="1">RasiContent(2,Basic!$B$7,H44,I44,Basic!$F$13)</f>
        <v/>
      </c>
      <c r="J45" s="57" t="str">
        <f ca="1">RasiContent(3,Basic!$B$7,H44,I44,Basic!$F$13)</f>
        <v/>
      </c>
      <c r="L45" s="57" t="str">
        <f ca="1">RasiContent(12,Basic!$B$7,M44,N44,Basic!$F$13)</f>
        <v/>
      </c>
      <c r="M45" s="57" t="str">
        <f ca="1">RasiContent(1,Basic!$B$7,M44,N44,Basic!$F$13)</f>
        <v xml:space="preserve"> Mars </v>
      </c>
      <c r="N45" s="57" t="str">
        <f ca="1">RasiContent(2,Basic!$B$7,M44,N44,Basic!$F$13)</f>
        <v/>
      </c>
      <c r="O45" s="57" t="str">
        <f ca="1">RasiContent(3,Basic!$B$7,M44,N44,Basic!$F$13)</f>
        <v xml:space="preserve"> Jupiter</v>
      </c>
    </row>
    <row r="46" spans="2:15" ht="50.1" customHeight="1" x14ac:dyDescent="0.25">
      <c r="B46" s="57" t="str">
        <f ca="1">RasiContent(11,Basic!$B$7,C44,D44,Basic!$F$13)</f>
        <v xml:space="preserve"> Sun Asdt</v>
      </c>
      <c r="C46" s="133" t="str">
        <f>divname(C44,D44)</f>
        <v>Nakshatramsa</v>
      </c>
      <c r="D46" s="133"/>
      <c r="E46" s="57" t="str">
        <f ca="1">RasiContent(4,Basic!$B$7,C44,D44,Basic!$F$13)</f>
        <v xml:space="preserve"> Saturn </v>
      </c>
      <c r="G46" s="57" t="str">
        <f ca="1">RasiContent(11,Basic!$B$7,H44,I44,Basic!$F$13)</f>
        <v xml:space="preserve"> Mars</v>
      </c>
      <c r="H46" s="133" t="str">
        <f>divname(H44,I44)</f>
        <v>Standard Trimsamsa</v>
      </c>
      <c r="I46" s="133"/>
      <c r="J46" s="57" t="str">
        <f ca="1">RasiContent(4,Basic!$B$7,H44,I44,Basic!$F$13)</f>
        <v/>
      </c>
      <c r="L46" s="57" t="str">
        <f ca="1">RasiContent(11,Basic!$B$7,M44,N44,Basic!$F$13)</f>
        <v/>
      </c>
      <c r="M46" s="133" t="str">
        <f>divname(M44,N44)</f>
        <v>Parivritti Trimsa Trimsamsa</v>
      </c>
      <c r="N46" s="133"/>
      <c r="O46" s="57" t="str">
        <f ca="1">RasiContent(4,Basic!$B$7,M44,N44,Basic!$F$13)</f>
        <v/>
      </c>
    </row>
    <row r="47" spans="2:15" ht="50.1" customHeight="1" x14ac:dyDescent="0.25">
      <c r="B47" s="57" t="str">
        <f ca="1">RasiContent(10,Basic!$B$7,C44,D44,Basic!$F$13)</f>
        <v xml:space="preserve"> Merc</v>
      </c>
      <c r="C47" s="133"/>
      <c r="D47" s="133"/>
      <c r="E47" s="57" t="str">
        <f ca="1">RasiContent(5,Basic!$B$7,C44,D44,Basic!$F$13)</f>
        <v/>
      </c>
      <c r="G47" s="57" t="str">
        <f ca="1">RasiContent(10,Basic!$B$7,H44,I44,Basic!$F$13)</f>
        <v xml:space="preserve"> Venus Saturn </v>
      </c>
      <c r="H47" s="133"/>
      <c r="I47" s="133"/>
      <c r="J47" s="57" t="str">
        <f ca="1">RasiContent(5,Basic!$B$7,H44,I44,Basic!$F$13)</f>
        <v/>
      </c>
      <c r="L47" s="57" t="str">
        <f ca="1">RasiContent(10,Basic!$B$7,M44,N44,Basic!$F$13)</f>
        <v/>
      </c>
      <c r="M47" s="133"/>
      <c r="N47" s="133"/>
      <c r="O47" s="57" t="str">
        <f ca="1">RasiContent(5,Basic!$B$7,M44,N44,Basic!$F$13)</f>
        <v/>
      </c>
    </row>
    <row r="48" spans="2:15" ht="50.1" customHeight="1" x14ac:dyDescent="0.25">
      <c r="B48" s="57" t="str">
        <f ca="1">RasiContent(9,Basic!$B$7,C44,D44,Basic!$F$13)</f>
        <v/>
      </c>
      <c r="C48" s="57" t="str">
        <f ca="1">RasiContent(8,Basic!$B$7,C44,D44,Basic!$F$13)</f>
        <v xml:space="preserve">  Rahu</v>
      </c>
      <c r="D48" s="57" t="str">
        <f ca="1">RasiContent(7,Basic!$B$7,C44,D44,Basic!$F$13)</f>
        <v/>
      </c>
      <c r="E48" s="57" t="str">
        <f ca="1">RasiContent(6,Basic!$B$7,C44,D44,Basic!$F$13)</f>
        <v xml:space="preserve"> Venus Jupiter </v>
      </c>
      <c r="G48" s="57" t="str">
        <f ca="1">RasiContent(9,Basic!$B$7,H44,I44,Basic!$F$13)</f>
        <v/>
      </c>
      <c r="H48" s="57" t="str">
        <f ca="1">RasiContent(8,Basic!$B$7,H44,I44,Basic!$F$13)</f>
        <v xml:space="preserve"> Sun</v>
      </c>
      <c r="I48" s="57" t="str">
        <f ca="1">RasiContent(7,Basic!$B$7,H44,I44,Basic!$F$13)</f>
        <v xml:space="preserve"> Jupiter</v>
      </c>
      <c r="J48" s="57" t="str">
        <f ca="1">RasiContent(6,Basic!$B$7,H44,I44,Basic!$F$13)</f>
        <v xml:space="preserve"> Rahu Asdt Ketu</v>
      </c>
      <c r="L48" s="57" t="str">
        <f ca="1">RasiContent(9,Basic!$B$7,M44,N44,Basic!$F$13)</f>
        <v xml:space="preserve"> Sun Venus Saturn </v>
      </c>
      <c r="M48" s="57" t="str">
        <f ca="1">RasiContent(8,Basic!$B$7,M44,N44,Basic!$F$13)</f>
        <v xml:space="preserve"> Merc </v>
      </c>
      <c r="N48" s="57" t="str">
        <f ca="1">RasiContent(7,Basic!$B$7,M44,N44,Basic!$F$13)</f>
        <v xml:space="preserve"> Moon Rahu Asdt Ketu</v>
      </c>
      <c r="O48" s="57" t="str">
        <f ca="1">RasiContent(6,Basic!$B$7,M44,N44,Basic!$F$13)</f>
        <v/>
      </c>
    </row>
    <row r="49" spans="2:15" ht="50.1" customHeight="1" x14ac:dyDescent="0.25">
      <c r="B49" s="58"/>
      <c r="C49" s="58"/>
      <c r="D49" s="58"/>
      <c r="E49" s="58"/>
      <c r="G49" s="58"/>
      <c r="H49" s="58"/>
      <c r="I49" s="58"/>
      <c r="J49" s="58"/>
      <c r="L49" s="58"/>
      <c r="M49" s="58"/>
      <c r="N49" s="58"/>
      <c r="O49" s="58"/>
    </row>
    <row r="50" spans="2:15" s="55" customFormat="1" ht="9.9" customHeight="1" x14ac:dyDescent="0.25">
      <c r="C50" s="56">
        <v>30</v>
      </c>
      <c r="D50" s="56">
        <v>3</v>
      </c>
      <c r="H50" s="56">
        <v>40</v>
      </c>
      <c r="I50" s="56">
        <v>1</v>
      </c>
      <c r="M50" s="56">
        <v>45</v>
      </c>
      <c r="N50" s="56">
        <v>1</v>
      </c>
    </row>
    <row r="51" spans="2:15" ht="50.1" customHeight="1" x14ac:dyDescent="0.25">
      <c r="B51" s="57" t="str">
        <f ca="1">RasiContent(12,Basic!$B$7,C50,D50,Basic!$F$13)</f>
        <v xml:space="preserve"> Saturn </v>
      </c>
      <c r="C51" s="57" t="str">
        <f ca="1">RasiContent(1,Basic!$B$7,C50,D50,Basic!$F$13)</f>
        <v xml:space="preserve"> Ketu</v>
      </c>
      <c r="D51" s="57" t="str">
        <f ca="1">RasiContent(2,Basic!$B$7,C50,D50,Basic!$F$13)</f>
        <v xml:space="preserve"> Venus</v>
      </c>
      <c r="E51" s="57" t="str">
        <f ca="1">RasiContent(3,Basic!$B$7,C50,D50,Basic!$F$13)</f>
        <v/>
      </c>
      <c r="G51" s="57" t="str">
        <f ca="1">RasiContent(12,Basic!$B$7,H50,I50,Basic!$F$13)</f>
        <v xml:space="preserve"> Moon</v>
      </c>
      <c r="H51" s="57" t="str">
        <f ca="1">RasiContent(1,Basic!$B$7,H50,I50,Basic!$F$13)</f>
        <v xml:space="preserve"> Merc Venus Rahu Ketu</v>
      </c>
      <c r="I51" s="57" t="str">
        <f ca="1">RasiContent(2,Basic!$B$7,H50,I50,Basic!$F$13)</f>
        <v/>
      </c>
      <c r="J51" s="57" t="str">
        <f ca="1">RasiContent(3,Basic!$B$7,H50,I50,Basic!$F$13)</f>
        <v xml:space="preserve">  </v>
      </c>
      <c r="L51" s="57" t="str">
        <f ca="1">RasiContent(12,Basic!$B$7,M50,N50,Basic!$F$13)</f>
        <v xml:space="preserve">  Rahu Ketu</v>
      </c>
      <c r="M51" s="57" t="str">
        <f ca="1">RasiContent(1,Basic!$B$7,M50,N50,Basic!$F$13)</f>
        <v/>
      </c>
      <c r="N51" s="57" t="str">
        <f ca="1">RasiContent(2,Basic!$B$7,M50,N50,Basic!$F$13)</f>
        <v/>
      </c>
      <c r="O51" s="57" t="str">
        <f ca="1">RasiContent(3,Basic!$B$7,M50,N50,Basic!$F$13)</f>
        <v xml:space="preserve"> Jupiter</v>
      </c>
    </row>
    <row r="52" spans="2:15" ht="50.1" customHeight="1" x14ac:dyDescent="0.25">
      <c r="B52" s="57" t="str">
        <f ca="1">RasiContent(11,Basic!$B$7,C50,D50,Basic!$F$13)</f>
        <v/>
      </c>
      <c r="C52" s="133" t="str">
        <f>divname(C50,D50)</f>
        <v>Trimsamsa (Like Shastyamsa)</v>
      </c>
      <c r="D52" s="133"/>
      <c r="E52" s="57" t="str">
        <f ca="1">RasiContent(4,Basic!$B$7,C50,D50,Basic!$F$13)</f>
        <v/>
      </c>
      <c r="G52" s="57" t="str">
        <f ca="1">RasiContent(11,Basic!$B$7,H50,I50,Basic!$F$13)</f>
        <v xml:space="preserve"> Jupiter</v>
      </c>
      <c r="H52" s="133" t="str">
        <f>divname(H50,I50)</f>
        <v>Khavedamsa</v>
      </c>
      <c r="I52" s="133"/>
      <c r="J52" s="57" t="str">
        <f ca="1">RasiContent(4,Basic!$B$7,H50,I50,Basic!$F$13)</f>
        <v/>
      </c>
      <c r="L52" s="57" t="str">
        <f ca="1">RasiContent(11,Basic!$B$7,M50,N50,Basic!$F$13)</f>
        <v/>
      </c>
      <c r="M52" s="133" t="str">
        <f>divname(M50,N50)</f>
        <v>Akshavedamsa</v>
      </c>
      <c r="N52" s="133"/>
      <c r="O52" s="57" t="str">
        <f ca="1">RasiContent(4,Basic!$B$7,M50,N50,Basic!$F$13)</f>
        <v xml:space="preserve"> Asdt</v>
      </c>
    </row>
    <row r="53" spans="2:15" ht="50.1" customHeight="1" x14ac:dyDescent="0.25">
      <c r="B53" s="57" t="str">
        <f ca="1">RasiContent(10,Basic!$B$7,C50,D50,Basic!$F$13)</f>
        <v xml:space="preserve"> Mars</v>
      </c>
      <c r="C53" s="133"/>
      <c r="D53" s="133"/>
      <c r="E53" s="57" t="str">
        <f ca="1">RasiContent(5,Basic!$B$7,C50,D50,Basic!$F$13)</f>
        <v xml:space="preserve"> Merc </v>
      </c>
      <c r="G53" s="57" t="str">
        <f ca="1">RasiContent(10,Basic!$B$7,H50,I50,Basic!$F$13)</f>
        <v xml:space="preserve"> Mars Saturn</v>
      </c>
      <c r="H53" s="133"/>
      <c r="I53" s="133"/>
      <c r="J53" s="57" t="str">
        <f ca="1">RasiContent(5,Basic!$B$7,H50,I50,Basic!$F$13)</f>
        <v xml:space="preserve"> Asdt</v>
      </c>
      <c r="L53" s="57" t="str">
        <f ca="1">RasiContent(10,Basic!$B$7,M50,N50,Basic!$F$13)</f>
        <v xml:space="preserve"> Venus</v>
      </c>
      <c r="M53" s="133"/>
      <c r="N53" s="133"/>
      <c r="O53" s="57" t="str">
        <f ca="1">RasiContent(5,Basic!$B$7,M50,N50,Basic!$F$13)</f>
        <v/>
      </c>
    </row>
    <row r="54" spans="2:15" ht="50.1" customHeight="1" x14ac:dyDescent="0.25">
      <c r="B54" s="57" t="str">
        <f ca="1">RasiContent(9,Basic!$B$7,C50,D50,Basic!$F$13)</f>
        <v xml:space="preserve">  Asdt</v>
      </c>
      <c r="C54" s="57" t="str">
        <f ca="1">RasiContent(8,Basic!$B$7,C50,D50,Basic!$F$13)</f>
        <v xml:space="preserve"> Jupiter</v>
      </c>
      <c r="D54" s="57" t="str">
        <f ca="1">RasiContent(7,Basic!$B$7,C50,D50,Basic!$F$13)</f>
        <v xml:space="preserve"> Sun Moon Rahu</v>
      </c>
      <c r="E54" s="57" t="str">
        <f ca="1">RasiContent(6,Basic!$B$7,C50,D50,Basic!$F$13)</f>
        <v/>
      </c>
      <c r="G54" s="57" t="str">
        <f ca="1">RasiContent(9,Basic!$B$7,H50,I50,Basic!$F$13)</f>
        <v xml:space="preserve"> </v>
      </c>
      <c r="H54" s="57" t="str">
        <f ca="1">RasiContent(8,Basic!$B$7,H50,I50,Basic!$F$13)</f>
        <v xml:space="preserve"> Sun</v>
      </c>
      <c r="I54" s="57" t="str">
        <f ca="1">RasiContent(7,Basic!$B$7,H50,I50,Basic!$F$13)</f>
        <v/>
      </c>
      <c r="J54" s="57" t="str">
        <f ca="1">RasiContent(6,Basic!$B$7,H50,I50,Basic!$F$13)</f>
        <v/>
      </c>
      <c r="L54" s="57" t="str">
        <f ca="1">RasiContent(9,Basic!$B$7,M50,N50,Basic!$F$13)</f>
        <v xml:space="preserve"> Merc</v>
      </c>
      <c r="M54" s="57" t="str">
        <f ca="1">RasiContent(8,Basic!$B$7,M50,N50,Basic!$F$13)</f>
        <v xml:space="preserve"> Mars </v>
      </c>
      <c r="N54" s="57" t="str">
        <f ca="1">RasiContent(7,Basic!$B$7,M50,N50,Basic!$F$13)</f>
        <v xml:space="preserve"> Saturn </v>
      </c>
      <c r="O54" s="57" t="str">
        <f ca="1">RasiContent(6,Basic!$B$7,M50,N50,Basic!$F$13)</f>
        <v xml:space="preserve"> Sun Moon</v>
      </c>
    </row>
    <row r="55" spans="2:15" ht="50.1" customHeight="1" x14ac:dyDescent="0.25"/>
    <row r="56" spans="2:15" s="55" customFormat="1" ht="9.9" customHeight="1" x14ac:dyDescent="0.25">
      <c r="C56" s="56">
        <v>60</v>
      </c>
      <c r="D56" s="56">
        <v>1</v>
      </c>
      <c r="H56" s="56"/>
      <c r="I56" s="56"/>
      <c r="M56" s="56"/>
      <c r="N56" s="56"/>
    </row>
    <row r="57" spans="2:15" ht="50.1" customHeight="1" x14ac:dyDescent="0.25">
      <c r="B57" s="57" t="str">
        <f ca="1">RasiContent(12,Basic!$B$7,C56,D56,Basic!$F$13)</f>
        <v xml:space="preserve"> Rahu</v>
      </c>
      <c r="C57" s="57" t="str">
        <f ca="1">RasiContent(1,Basic!$B$7,C56,D56,Basic!$F$13)</f>
        <v xml:space="preserve"> Venus </v>
      </c>
      <c r="D57" s="57" t="str">
        <f ca="1">RasiContent(2,Basic!$B$7,C56,D56,Basic!$F$13)</f>
        <v/>
      </c>
      <c r="E57" s="57" t="str">
        <f ca="1">RasiContent(3,Basic!$B$7,C56,D56,Basic!$F$13)</f>
        <v/>
      </c>
      <c r="G57" s="57" t="str">
        <f ca="1">RasiContent(12,Basic!$B$7,H56,I56,Basic!$F$13)</f>
        <v/>
      </c>
      <c r="H57" s="57" t="str">
        <f ca="1">RasiContent(1,Basic!$B$7,H56,I56,Basic!$F$13)</f>
        <v xml:space="preserve"> Sun Moon Merc Venus Mars Jupiter Saturn    Rahu Asdt Ketu</v>
      </c>
      <c r="I57" s="57" t="str">
        <f ca="1">RasiContent(2,Basic!$B$7,H56,I56,Basic!$F$13)</f>
        <v/>
      </c>
      <c r="J57" s="57" t="str">
        <f ca="1">RasiContent(3,Basic!$B$7,H56,I56,Basic!$F$13)</f>
        <v/>
      </c>
      <c r="L57" s="57" t="str">
        <f ca="1">RasiContent(12,Basic!$B$7,M56,N56,Basic!$F$13)</f>
        <v/>
      </c>
      <c r="M57" s="57" t="str">
        <f ca="1">RasiContent(1,Basic!$B$7,M56,N56,Basic!$F$13)</f>
        <v xml:space="preserve"> Sun Moon Merc Venus Mars Jupiter Saturn    Rahu Asdt Ketu</v>
      </c>
      <c r="N57" s="57" t="str">
        <f ca="1">RasiContent(2,Basic!$B$7,M56,N56,Basic!$F$13)</f>
        <v/>
      </c>
      <c r="O57" s="57" t="str">
        <f ca="1">RasiContent(3,Basic!$B$7,M56,N56,Basic!$F$13)</f>
        <v/>
      </c>
    </row>
    <row r="58" spans="2:15" ht="50.1" customHeight="1" x14ac:dyDescent="0.25">
      <c r="B58" s="57" t="str">
        <f ca="1">RasiContent(11,Basic!$B$7,C56,D56,Basic!$F$13)</f>
        <v xml:space="preserve"> Sun Moon</v>
      </c>
      <c r="C58" s="133" t="str">
        <f>divname(C56,D56)</f>
        <v>Shastyamsa</v>
      </c>
      <c r="D58" s="133"/>
      <c r="E58" s="57" t="str">
        <f ca="1">RasiContent(4,Basic!$B$7,C56,D56,Basic!$F$13)</f>
        <v/>
      </c>
      <c r="G58" s="57" t="str">
        <f ca="1">RasiContent(11,Basic!$B$7,H56,I56,Basic!$F$13)</f>
        <v/>
      </c>
      <c r="H58" s="133" t="str">
        <f>divname(H56,I56)</f>
        <v/>
      </c>
      <c r="I58" s="133"/>
      <c r="J58" s="57" t="str">
        <f ca="1">RasiContent(4,Basic!$B$7,H56,I56,Basic!$F$13)</f>
        <v/>
      </c>
      <c r="L58" s="57" t="str">
        <f ca="1">RasiContent(11,Basic!$B$7,M56,N56,Basic!$F$13)</f>
        <v/>
      </c>
      <c r="M58" s="133" t="str">
        <f>divname(M56,N56)</f>
        <v/>
      </c>
      <c r="N58" s="133"/>
      <c r="O58" s="57" t="str">
        <f ca="1">RasiContent(4,Basic!$B$7,M56,N56,Basic!$F$13)</f>
        <v/>
      </c>
    </row>
    <row r="59" spans="2:15" ht="50.1" customHeight="1" x14ac:dyDescent="0.25">
      <c r="B59" s="57" t="str">
        <f ca="1">RasiContent(10,Basic!$B$7,C56,D56,Basic!$F$13)</f>
        <v xml:space="preserve"> Jupiter</v>
      </c>
      <c r="C59" s="133"/>
      <c r="D59" s="133"/>
      <c r="E59" s="57" t="str">
        <f ca="1">RasiContent(5,Basic!$B$7,C56,D56,Basic!$F$13)</f>
        <v xml:space="preserve"> Mars Asdt</v>
      </c>
      <c r="G59" s="57" t="str">
        <f ca="1">RasiContent(10,Basic!$B$7,H56,I56,Basic!$F$13)</f>
        <v/>
      </c>
      <c r="H59" s="133"/>
      <c r="I59" s="133"/>
      <c r="J59" s="57" t="str">
        <f ca="1">RasiContent(5,Basic!$B$7,H56,I56,Basic!$F$13)</f>
        <v/>
      </c>
      <c r="L59" s="57" t="str">
        <f ca="1">RasiContent(10,Basic!$B$7,M56,N56,Basic!$F$13)</f>
        <v/>
      </c>
      <c r="M59" s="133"/>
      <c r="N59" s="133"/>
      <c r="O59" s="57" t="str">
        <f ca="1">RasiContent(5,Basic!$B$7,M56,N56,Basic!$F$13)</f>
        <v/>
      </c>
    </row>
    <row r="60" spans="2:15" ht="50.1" customHeight="1" x14ac:dyDescent="0.25">
      <c r="B60" s="57" t="str">
        <f ca="1">RasiContent(9,Basic!$B$7,C56,D56,Basic!$F$13)</f>
        <v/>
      </c>
      <c r="C60" s="57" t="str">
        <f ca="1">RasiContent(8,Basic!$B$7,C56,D56,Basic!$F$13)</f>
        <v xml:space="preserve"> Saturn </v>
      </c>
      <c r="D60" s="57" t="str">
        <f ca="1">RasiContent(7,Basic!$B$7,C56,D56,Basic!$F$13)</f>
        <v xml:space="preserve"> Merc </v>
      </c>
      <c r="E60" s="57" t="str">
        <f ca="1">RasiContent(6,Basic!$B$7,C56,D56,Basic!$F$13)</f>
        <v xml:space="preserve"> Ketu</v>
      </c>
      <c r="G60" s="57" t="str">
        <f ca="1">RasiContent(9,Basic!$B$7,H56,I56,Basic!$F$13)</f>
        <v/>
      </c>
      <c r="H60" s="57" t="str">
        <f ca="1">RasiContent(8,Basic!$B$7,H56,I56,Basic!$F$13)</f>
        <v/>
      </c>
      <c r="I60" s="57" t="str">
        <f ca="1">RasiContent(7,Basic!$B$7,H56,I56,Basic!$F$13)</f>
        <v/>
      </c>
      <c r="J60" s="57" t="str">
        <f ca="1">RasiContent(6,Basic!$B$7,H56,I56,Basic!$F$13)</f>
        <v/>
      </c>
      <c r="L60" s="57" t="str">
        <f ca="1">RasiContent(9,Basic!$B$7,M56,N56,Basic!$F$13)</f>
        <v/>
      </c>
      <c r="M60" s="57" t="str">
        <f ca="1">RasiContent(8,Basic!$B$7,M56,N56,Basic!$F$13)</f>
        <v/>
      </c>
      <c r="N60" s="57" t="str">
        <f ca="1">RasiContent(7,Basic!$B$7,M56,N56,Basic!$F$13)</f>
        <v/>
      </c>
      <c r="O60" s="57" t="str">
        <f ca="1">RasiContent(6,Basic!$B$7,M56,N56,Basic!$F$13)</f>
        <v/>
      </c>
    </row>
    <row r="61" spans="2:15" ht="50.1" customHeight="1" x14ac:dyDescent="0.25"/>
    <row r="62" spans="2:15" ht="50.1" customHeight="1" x14ac:dyDescent="0.25"/>
    <row r="63" spans="2:15" ht="50.1" customHeight="1" x14ac:dyDescent="0.25"/>
    <row r="64" spans="2:15" ht="50.1" customHeight="1" x14ac:dyDescent="0.25"/>
    <row r="65" ht="50.1" customHeight="1" x14ac:dyDescent="0.25"/>
    <row r="66" ht="50.1" customHeight="1" x14ac:dyDescent="0.25"/>
    <row r="67" ht="50.1" customHeight="1" x14ac:dyDescent="0.25"/>
    <row r="68" ht="50.1" customHeight="1" x14ac:dyDescent="0.25"/>
    <row r="69" ht="50.1" customHeight="1" x14ac:dyDescent="0.25"/>
    <row r="70" ht="50.1" customHeight="1" x14ac:dyDescent="0.25"/>
    <row r="71" ht="50.1" customHeight="1" x14ac:dyDescent="0.25"/>
    <row r="72" ht="50.1" customHeight="1" x14ac:dyDescent="0.25"/>
    <row r="73" ht="50.1" customHeight="1" x14ac:dyDescent="0.25"/>
    <row r="74" ht="50.1" customHeight="1" x14ac:dyDescent="0.25"/>
    <row r="75" ht="50.1" customHeight="1" x14ac:dyDescent="0.25"/>
    <row r="76" ht="50.1" customHeight="1" x14ac:dyDescent="0.25"/>
    <row r="77" ht="50.1" customHeight="1" x14ac:dyDescent="0.25"/>
    <row r="78" ht="50.1" customHeight="1" x14ac:dyDescent="0.25"/>
    <row r="79" ht="50.1" customHeight="1" x14ac:dyDescent="0.25"/>
    <row r="80" ht="50.1" customHeight="1" x14ac:dyDescent="0.25"/>
    <row r="81" ht="50.1" customHeight="1" x14ac:dyDescent="0.25"/>
    <row r="82" ht="50.1" customHeight="1" x14ac:dyDescent="0.25"/>
    <row r="83" ht="50.1" customHeight="1" x14ac:dyDescent="0.25"/>
    <row r="84" ht="50.1" customHeight="1" x14ac:dyDescent="0.25"/>
    <row r="85" ht="50.1" customHeight="1" x14ac:dyDescent="0.25"/>
    <row r="86" ht="50.1" customHeight="1" x14ac:dyDescent="0.25"/>
    <row r="87" ht="50.1" customHeight="1" x14ac:dyDescent="0.25"/>
    <row r="88" ht="50.1" customHeight="1" x14ac:dyDescent="0.25"/>
    <row r="89" ht="50.1" customHeight="1" x14ac:dyDescent="0.25"/>
    <row r="90" ht="50.1" customHeight="1" x14ac:dyDescent="0.25"/>
    <row r="91" ht="50.1" customHeight="1" x14ac:dyDescent="0.25"/>
    <row r="92" ht="50.1" customHeight="1" x14ac:dyDescent="0.25"/>
    <row r="93" ht="50.1" customHeight="1" x14ac:dyDescent="0.25"/>
    <row r="94" ht="50.1" customHeight="1" x14ac:dyDescent="0.25"/>
    <row r="95" ht="50.1" customHeight="1" x14ac:dyDescent="0.25"/>
    <row r="96" ht="50.1" customHeight="1" x14ac:dyDescent="0.25"/>
    <row r="97" ht="50.1" customHeight="1" x14ac:dyDescent="0.25"/>
    <row r="98" ht="50.1" customHeight="1" x14ac:dyDescent="0.25"/>
    <row r="99" ht="50.1" customHeight="1" x14ac:dyDescent="0.25"/>
    <row r="100" ht="50.1" customHeight="1" x14ac:dyDescent="0.25"/>
    <row r="101" ht="50.1" customHeight="1" x14ac:dyDescent="0.25"/>
    <row r="102" ht="50.1" customHeight="1" x14ac:dyDescent="0.25"/>
    <row r="103" ht="50.1" customHeight="1" x14ac:dyDescent="0.25"/>
    <row r="104" ht="50.1" customHeight="1" x14ac:dyDescent="0.25"/>
    <row r="105" ht="50.1" customHeight="1" x14ac:dyDescent="0.25"/>
    <row r="106" ht="50.1" customHeight="1" x14ac:dyDescent="0.25"/>
    <row r="107" ht="50.1" customHeight="1" x14ac:dyDescent="0.25"/>
    <row r="108" ht="50.1" customHeight="1" x14ac:dyDescent="0.25"/>
    <row r="109" ht="50.1" customHeight="1" x14ac:dyDescent="0.25"/>
    <row r="110" ht="50.1" customHeight="1" x14ac:dyDescent="0.25"/>
    <row r="111" ht="50.1" customHeight="1" x14ac:dyDescent="0.25"/>
    <row r="112" ht="50.1" customHeight="1" x14ac:dyDescent="0.25"/>
    <row r="113" ht="50.1" customHeight="1" x14ac:dyDescent="0.25"/>
    <row r="114" ht="50.1" customHeight="1" x14ac:dyDescent="0.25"/>
    <row r="115" ht="50.1" customHeight="1" x14ac:dyDescent="0.25"/>
    <row r="116" ht="50.1" customHeight="1" x14ac:dyDescent="0.25"/>
    <row r="117" ht="50.1" customHeight="1" x14ac:dyDescent="0.25"/>
    <row r="118" ht="50.1" customHeight="1" x14ac:dyDescent="0.25"/>
    <row r="119" ht="50.1" customHeight="1" x14ac:dyDescent="0.25"/>
    <row r="120" ht="50.1" customHeight="1" x14ac:dyDescent="0.25"/>
    <row r="121" ht="50.1" customHeight="1" x14ac:dyDescent="0.25"/>
    <row r="122" ht="50.1" customHeight="1" x14ac:dyDescent="0.25"/>
    <row r="123" ht="50.1" customHeight="1" x14ac:dyDescent="0.25"/>
    <row r="124" ht="50.1" customHeight="1" x14ac:dyDescent="0.25"/>
    <row r="125" ht="50.1" customHeight="1" x14ac:dyDescent="0.25"/>
    <row r="126" ht="50.1" customHeight="1" x14ac:dyDescent="0.25"/>
    <row r="127" ht="50.1" customHeight="1" x14ac:dyDescent="0.25"/>
    <row r="128" ht="50.1" customHeight="1" x14ac:dyDescent="0.25"/>
    <row r="129" ht="50.1" customHeight="1" x14ac:dyDescent="0.25"/>
    <row r="130" ht="50.1" customHeight="1" x14ac:dyDescent="0.25"/>
    <row r="131" ht="50.1" customHeight="1" x14ac:dyDescent="0.25"/>
    <row r="132" ht="50.1" customHeight="1" x14ac:dyDescent="0.25"/>
    <row r="133" ht="50.1" customHeight="1" x14ac:dyDescent="0.25"/>
    <row r="134" ht="50.1" customHeight="1" x14ac:dyDescent="0.25"/>
    <row r="135" ht="50.1" customHeight="1" x14ac:dyDescent="0.25"/>
    <row r="136" ht="50.1" customHeight="1" x14ac:dyDescent="0.25"/>
    <row r="137" ht="50.1" customHeight="1" x14ac:dyDescent="0.25"/>
    <row r="138" ht="50.1" customHeight="1" x14ac:dyDescent="0.25"/>
    <row r="139" ht="50.1" customHeight="1" x14ac:dyDescent="0.25"/>
    <row r="140" ht="50.1" customHeight="1" x14ac:dyDescent="0.25"/>
    <row r="141" ht="50.1" customHeight="1" x14ac:dyDescent="0.25"/>
    <row r="142" ht="50.1" customHeight="1" x14ac:dyDescent="0.25"/>
    <row r="143" ht="50.1" customHeight="1" x14ac:dyDescent="0.25"/>
    <row r="144" ht="50.1" customHeight="1" x14ac:dyDescent="0.25"/>
    <row r="145" ht="50.1" customHeight="1" x14ac:dyDescent="0.25"/>
    <row r="146" ht="50.1" customHeight="1" x14ac:dyDescent="0.25"/>
    <row r="147" ht="50.1" customHeight="1" x14ac:dyDescent="0.25"/>
    <row r="148" ht="50.1" customHeight="1" x14ac:dyDescent="0.25"/>
    <row r="149" ht="50.1" customHeight="1" x14ac:dyDescent="0.25"/>
    <row r="150" ht="50.1" customHeight="1" x14ac:dyDescent="0.25"/>
    <row r="151" ht="50.1" customHeight="1" x14ac:dyDescent="0.25"/>
    <row r="152" ht="50.1" customHeight="1" x14ac:dyDescent="0.25"/>
    <row r="153" ht="50.1" customHeight="1" x14ac:dyDescent="0.25"/>
    <row r="154" ht="50.1" customHeight="1" x14ac:dyDescent="0.25"/>
    <row r="155" ht="50.1" customHeight="1" x14ac:dyDescent="0.25"/>
    <row r="156" ht="50.1" customHeight="1" x14ac:dyDescent="0.25"/>
    <row r="157" ht="50.1" customHeight="1" x14ac:dyDescent="0.25"/>
    <row r="158" ht="50.1" customHeight="1" x14ac:dyDescent="0.25"/>
    <row r="159" ht="50.1" customHeight="1" x14ac:dyDescent="0.25"/>
    <row r="160" ht="50.1" customHeight="1" x14ac:dyDescent="0.25"/>
    <row r="161" ht="50.1" customHeight="1" x14ac:dyDescent="0.25"/>
    <row r="162" ht="50.1" customHeight="1" x14ac:dyDescent="0.25"/>
    <row r="163" ht="50.1" customHeight="1" x14ac:dyDescent="0.25"/>
    <row r="164" ht="50.1" customHeight="1" x14ac:dyDescent="0.25"/>
    <row r="165" ht="50.1" customHeight="1" x14ac:dyDescent="0.25"/>
    <row r="166" ht="50.1" customHeight="1" x14ac:dyDescent="0.25"/>
    <row r="167" ht="50.1" customHeight="1" x14ac:dyDescent="0.25"/>
    <row r="168" ht="50.1" customHeight="1" x14ac:dyDescent="0.25"/>
    <row r="169" ht="50.1" customHeight="1" x14ac:dyDescent="0.25"/>
    <row r="170" ht="50.1" customHeight="1" x14ac:dyDescent="0.25"/>
    <row r="171" ht="50.1" customHeight="1" x14ac:dyDescent="0.25"/>
    <row r="172" ht="50.1" customHeight="1" x14ac:dyDescent="0.25"/>
    <row r="173" ht="50.1" customHeight="1" x14ac:dyDescent="0.25"/>
    <row r="174" ht="50.1" customHeight="1" x14ac:dyDescent="0.25"/>
    <row r="175" ht="50.1" customHeight="1" x14ac:dyDescent="0.25"/>
    <row r="176" ht="50.1" customHeight="1" x14ac:dyDescent="0.25"/>
    <row r="177" ht="50.1" customHeight="1" x14ac:dyDescent="0.25"/>
    <row r="178" ht="50.1" customHeight="1" x14ac:dyDescent="0.25"/>
    <row r="179" ht="50.1" customHeight="1" x14ac:dyDescent="0.25"/>
    <row r="180" ht="50.1" customHeight="1" x14ac:dyDescent="0.25"/>
    <row r="181" ht="50.1" customHeight="1" x14ac:dyDescent="0.25"/>
    <row r="182" ht="50.1" customHeight="1" x14ac:dyDescent="0.25"/>
    <row r="183" ht="50.1" customHeight="1" x14ac:dyDescent="0.25"/>
    <row r="184" ht="50.1" customHeight="1" x14ac:dyDescent="0.25"/>
    <row r="185" ht="50.1" customHeight="1" x14ac:dyDescent="0.25"/>
    <row r="186" ht="50.1" customHeight="1" x14ac:dyDescent="0.25"/>
    <row r="187" ht="50.1" customHeight="1" x14ac:dyDescent="0.25"/>
    <row r="188" ht="50.1" customHeight="1" x14ac:dyDescent="0.25"/>
    <row r="189" ht="50.1" customHeight="1" x14ac:dyDescent="0.25"/>
    <row r="190" ht="50.1" customHeight="1" x14ac:dyDescent="0.25"/>
    <row r="191" ht="50.1" customHeight="1" x14ac:dyDescent="0.25"/>
    <row r="192" ht="50.1" customHeight="1" x14ac:dyDescent="0.25"/>
    <row r="193" ht="50.1" customHeight="1" x14ac:dyDescent="0.25"/>
    <row r="194" ht="50.1" customHeight="1" x14ac:dyDescent="0.25"/>
    <row r="195" ht="50.1" customHeight="1" x14ac:dyDescent="0.25"/>
    <row r="196" ht="50.1" customHeight="1" x14ac:dyDescent="0.25"/>
    <row r="197" ht="50.1" customHeight="1" x14ac:dyDescent="0.25"/>
    <row r="198" ht="50.1" customHeight="1" x14ac:dyDescent="0.25"/>
    <row r="199" ht="50.1" customHeight="1" x14ac:dyDescent="0.25"/>
    <row r="200" ht="50.1" customHeight="1" x14ac:dyDescent="0.25"/>
    <row r="201" ht="50.1" customHeight="1" x14ac:dyDescent="0.25"/>
    <row r="202" ht="50.1" customHeight="1" x14ac:dyDescent="0.25"/>
    <row r="203" ht="50.1" customHeight="1" x14ac:dyDescent="0.25"/>
    <row r="204" ht="50.1" customHeight="1" x14ac:dyDescent="0.25"/>
    <row r="205" ht="50.1" customHeight="1" x14ac:dyDescent="0.25"/>
    <row r="206" ht="50.1" customHeight="1" x14ac:dyDescent="0.25"/>
    <row r="207" ht="50.1" customHeight="1" x14ac:dyDescent="0.25"/>
    <row r="208" ht="50.1" customHeight="1" x14ac:dyDescent="0.25"/>
    <row r="209" ht="50.1" customHeight="1" x14ac:dyDescent="0.25"/>
    <row r="210" ht="50.1" customHeight="1" x14ac:dyDescent="0.25"/>
    <row r="211" ht="50.1" customHeight="1" x14ac:dyDescent="0.25"/>
    <row r="212" ht="50.1" customHeight="1" x14ac:dyDescent="0.25"/>
    <row r="213" ht="50.1" customHeight="1" x14ac:dyDescent="0.25"/>
    <row r="214" ht="50.1" customHeight="1" x14ac:dyDescent="0.25"/>
    <row r="215" ht="50.1" customHeight="1" x14ac:dyDescent="0.25"/>
    <row r="216" ht="50.1" customHeight="1" x14ac:dyDescent="0.25"/>
    <row r="217" ht="50.1" customHeight="1" x14ac:dyDescent="0.25"/>
    <row r="218" ht="50.1" customHeight="1" x14ac:dyDescent="0.25"/>
    <row r="219" ht="50.1" customHeight="1" x14ac:dyDescent="0.25"/>
    <row r="220" ht="50.1" customHeight="1" x14ac:dyDescent="0.25"/>
    <row r="221" ht="50.1" customHeight="1" x14ac:dyDescent="0.25"/>
    <row r="222" ht="50.1" customHeight="1" x14ac:dyDescent="0.25"/>
    <row r="223" ht="50.1" customHeight="1" x14ac:dyDescent="0.25"/>
    <row r="224" ht="50.1" customHeight="1" x14ac:dyDescent="0.25"/>
    <row r="225" ht="50.1" customHeight="1" x14ac:dyDescent="0.25"/>
    <row r="226" ht="50.1" customHeight="1" x14ac:dyDescent="0.25"/>
    <row r="227" ht="50.1" customHeight="1" x14ac:dyDescent="0.25"/>
    <row r="228" ht="50.1" customHeight="1" x14ac:dyDescent="0.25"/>
    <row r="229" ht="50.1" customHeight="1" x14ac:dyDescent="0.25"/>
    <row r="230" ht="50.1" customHeight="1" x14ac:dyDescent="0.25"/>
    <row r="231" ht="50.1" customHeight="1" x14ac:dyDescent="0.25"/>
    <row r="232" ht="50.1" customHeight="1" x14ac:dyDescent="0.25"/>
    <row r="233" ht="50.1" customHeight="1" x14ac:dyDescent="0.25"/>
    <row r="234" ht="50.1" customHeight="1" x14ac:dyDescent="0.25"/>
    <row r="235" ht="50.1" customHeight="1" x14ac:dyDescent="0.25"/>
    <row r="236" ht="50.1" customHeight="1" x14ac:dyDescent="0.25"/>
    <row r="237" ht="50.1" customHeight="1" x14ac:dyDescent="0.25"/>
    <row r="238" ht="50.1" customHeight="1" x14ac:dyDescent="0.25"/>
    <row r="239" ht="50.1" customHeight="1" x14ac:dyDescent="0.25"/>
    <row r="240" ht="50.1" customHeight="1" x14ac:dyDescent="0.25"/>
    <row r="241" ht="50.1" customHeight="1" x14ac:dyDescent="0.25"/>
    <row r="242" ht="50.1" customHeight="1" x14ac:dyDescent="0.25"/>
    <row r="243" ht="50.1" customHeight="1" x14ac:dyDescent="0.25"/>
    <row r="244" ht="50.1" customHeight="1" x14ac:dyDescent="0.25"/>
    <row r="245" ht="50.1" customHeight="1" x14ac:dyDescent="0.25"/>
    <row r="246" ht="50.1" customHeight="1" x14ac:dyDescent="0.25"/>
    <row r="247" ht="50.1" customHeight="1" x14ac:dyDescent="0.25"/>
    <row r="248" ht="50.1" customHeight="1" x14ac:dyDescent="0.25"/>
    <row r="249" ht="50.1" customHeight="1" x14ac:dyDescent="0.25"/>
    <row r="250" ht="50.1" customHeight="1" x14ac:dyDescent="0.25"/>
    <row r="251" ht="50.1" customHeight="1" x14ac:dyDescent="0.25"/>
    <row r="252" ht="50.1" customHeight="1" x14ac:dyDescent="0.25"/>
    <row r="253" ht="50.1" customHeight="1" x14ac:dyDescent="0.25"/>
    <row r="254" ht="50.1" customHeight="1" x14ac:dyDescent="0.25"/>
    <row r="255" ht="50.1" customHeight="1" x14ac:dyDescent="0.25"/>
    <row r="256" ht="50.1" customHeight="1" x14ac:dyDescent="0.25"/>
    <row r="257" ht="50.1" customHeight="1" x14ac:dyDescent="0.25"/>
    <row r="258" ht="50.1" customHeight="1" x14ac:dyDescent="0.25"/>
    <row r="259" ht="50.1" customHeight="1" x14ac:dyDescent="0.25"/>
    <row r="260" ht="50.1" customHeight="1" x14ac:dyDescent="0.25"/>
    <row r="261" ht="50.1" customHeight="1" x14ac:dyDescent="0.25"/>
    <row r="262" ht="50.1" customHeight="1" x14ac:dyDescent="0.25"/>
    <row r="263" ht="50.1" customHeight="1" x14ac:dyDescent="0.25"/>
    <row r="264" ht="50.1" customHeight="1" x14ac:dyDescent="0.25"/>
    <row r="265" ht="50.1" customHeight="1" x14ac:dyDescent="0.25"/>
    <row r="266" ht="50.1" customHeight="1" x14ac:dyDescent="0.25"/>
    <row r="267" ht="50.1" customHeight="1" x14ac:dyDescent="0.25"/>
    <row r="268" ht="50.1" customHeight="1" x14ac:dyDescent="0.25"/>
    <row r="269" ht="50.1" customHeight="1" x14ac:dyDescent="0.25"/>
    <row r="270" ht="50.1" customHeight="1" x14ac:dyDescent="0.25"/>
    <row r="271" ht="50.1" customHeight="1" x14ac:dyDescent="0.25"/>
    <row r="272" ht="50.1" customHeight="1" x14ac:dyDescent="0.25"/>
    <row r="273" ht="50.1" customHeight="1" x14ac:dyDescent="0.25"/>
    <row r="274" ht="50.1" customHeight="1" x14ac:dyDescent="0.25"/>
    <row r="275" ht="50.1" customHeight="1" x14ac:dyDescent="0.25"/>
    <row r="276" ht="50.1" customHeight="1" x14ac:dyDescent="0.25"/>
    <row r="277" ht="50.1" customHeight="1" x14ac:dyDescent="0.25"/>
    <row r="278" ht="50.1" customHeight="1" x14ac:dyDescent="0.25"/>
    <row r="279" ht="50.1" customHeight="1" x14ac:dyDescent="0.25"/>
    <row r="280" ht="50.1" customHeight="1" x14ac:dyDescent="0.25"/>
    <row r="281" ht="50.1" customHeight="1" x14ac:dyDescent="0.25"/>
    <row r="282" ht="50.1" customHeight="1" x14ac:dyDescent="0.25"/>
    <row r="283" ht="50.1" customHeight="1" x14ac:dyDescent="0.25"/>
    <row r="284" ht="50.1" customHeight="1" x14ac:dyDescent="0.25"/>
    <row r="285" ht="50.1" customHeight="1" x14ac:dyDescent="0.25"/>
    <row r="286" ht="50.1" customHeight="1" x14ac:dyDescent="0.25"/>
    <row r="287" ht="50.1" customHeight="1" x14ac:dyDescent="0.25"/>
    <row r="288" ht="50.1" customHeight="1" x14ac:dyDescent="0.25"/>
    <row r="289" ht="50.1" customHeight="1" x14ac:dyDescent="0.25"/>
    <row r="290" ht="50.1" customHeight="1" x14ac:dyDescent="0.25"/>
    <row r="291" ht="50.1" customHeight="1" x14ac:dyDescent="0.25"/>
    <row r="292" ht="50.1" customHeight="1" x14ac:dyDescent="0.25"/>
    <row r="293" ht="50.1" customHeight="1" x14ac:dyDescent="0.25"/>
    <row r="294" ht="50.1" customHeight="1" x14ac:dyDescent="0.25"/>
    <row r="295" ht="50.1" customHeight="1" x14ac:dyDescent="0.25"/>
    <row r="296" ht="50.1" customHeight="1" x14ac:dyDescent="0.25"/>
    <row r="297" ht="50.1" customHeight="1" x14ac:dyDescent="0.25"/>
    <row r="298" ht="50.1" customHeight="1" x14ac:dyDescent="0.25"/>
    <row r="299" ht="50.1" customHeight="1" x14ac:dyDescent="0.25"/>
    <row r="300" ht="50.1" customHeight="1" x14ac:dyDescent="0.25"/>
    <row r="301" ht="50.1" customHeight="1" x14ac:dyDescent="0.25"/>
    <row r="302" ht="50.1" customHeight="1" x14ac:dyDescent="0.25"/>
    <row r="303" ht="50.1" customHeight="1" x14ac:dyDescent="0.25"/>
    <row r="304" ht="50.1" customHeight="1" x14ac:dyDescent="0.25"/>
    <row r="305" ht="50.1" customHeight="1" x14ac:dyDescent="0.25"/>
    <row r="306" ht="50.1" customHeight="1" x14ac:dyDescent="0.25"/>
    <row r="307" ht="50.1" customHeight="1" x14ac:dyDescent="0.25"/>
    <row r="308" ht="50.1" customHeight="1" x14ac:dyDescent="0.25"/>
    <row r="309" ht="50.1" customHeight="1" x14ac:dyDescent="0.25"/>
    <row r="310" ht="50.1" customHeight="1" x14ac:dyDescent="0.25"/>
    <row r="311" ht="50.1" customHeight="1" x14ac:dyDescent="0.25"/>
    <row r="312" ht="50.1" customHeight="1" x14ac:dyDescent="0.25"/>
    <row r="313" ht="50.1" customHeight="1" x14ac:dyDescent="0.25"/>
    <row r="314" ht="50.1" customHeight="1" x14ac:dyDescent="0.25"/>
    <row r="315" ht="50.1" customHeight="1" x14ac:dyDescent="0.25"/>
    <row r="316" ht="50.1" customHeight="1" x14ac:dyDescent="0.25"/>
    <row r="317" ht="50.1" customHeight="1" x14ac:dyDescent="0.25"/>
    <row r="318" ht="50.1" customHeight="1" x14ac:dyDescent="0.25"/>
    <row r="319" ht="50.1" customHeight="1" x14ac:dyDescent="0.25"/>
    <row r="320" ht="50.1" customHeight="1" x14ac:dyDescent="0.25"/>
    <row r="321" ht="50.1" customHeight="1" x14ac:dyDescent="0.25"/>
    <row r="322" ht="50.1" customHeight="1" x14ac:dyDescent="0.25"/>
    <row r="323" ht="50.1" customHeight="1" x14ac:dyDescent="0.25"/>
    <row r="324" ht="50.1" customHeight="1" x14ac:dyDescent="0.25"/>
    <row r="325" ht="50.1" customHeight="1" x14ac:dyDescent="0.25"/>
    <row r="326" ht="50.1" customHeight="1" x14ac:dyDescent="0.25"/>
    <row r="327" ht="50.1" customHeight="1" x14ac:dyDescent="0.25"/>
    <row r="328" ht="50.1" customHeight="1" x14ac:dyDescent="0.25"/>
    <row r="329" ht="50.1" customHeight="1" x14ac:dyDescent="0.25"/>
    <row r="330" ht="50.1" customHeight="1" x14ac:dyDescent="0.25"/>
    <row r="331" ht="50.1" customHeight="1" x14ac:dyDescent="0.25"/>
    <row r="332" ht="50.1" customHeight="1" x14ac:dyDescent="0.25"/>
    <row r="333" ht="50.1" customHeight="1" x14ac:dyDescent="0.25"/>
    <row r="334" ht="50.1" customHeight="1" x14ac:dyDescent="0.25"/>
    <row r="335" ht="50.1" customHeight="1" x14ac:dyDescent="0.25"/>
    <row r="336" ht="50.1" customHeight="1" x14ac:dyDescent="0.25"/>
    <row r="337" ht="50.1" customHeight="1" x14ac:dyDescent="0.25"/>
    <row r="338" ht="50.1" customHeight="1" x14ac:dyDescent="0.25"/>
    <row r="339" ht="50.1" customHeight="1" x14ac:dyDescent="0.25"/>
    <row r="340" ht="50.1" customHeight="1" x14ac:dyDescent="0.25"/>
    <row r="341" ht="50.1" customHeight="1" x14ac:dyDescent="0.25"/>
    <row r="342" ht="50.1" customHeight="1" x14ac:dyDescent="0.25"/>
    <row r="343" ht="50.1" customHeight="1" x14ac:dyDescent="0.25"/>
    <row r="344" ht="50.1" customHeight="1" x14ac:dyDescent="0.25"/>
    <row r="345" ht="50.1" customHeight="1" x14ac:dyDescent="0.25"/>
    <row r="346" ht="50.1" customHeight="1" x14ac:dyDescent="0.25"/>
    <row r="347" ht="50.1" customHeight="1" x14ac:dyDescent="0.25"/>
    <row r="348" ht="50.1" customHeight="1" x14ac:dyDescent="0.25"/>
    <row r="349" ht="50.1" customHeight="1" x14ac:dyDescent="0.25"/>
    <row r="350" ht="50.1" customHeight="1" x14ac:dyDescent="0.25"/>
    <row r="351" ht="50.1" customHeight="1" x14ac:dyDescent="0.25"/>
    <row r="352" ht="50.1" customHeight="1" x14ac:dyDescent="0.25"/>
    <row r="353" ht="50.1" customHeight="1" x14ac:dyDescent="0.25"/>
    <row r="354" ht="50.1" customHeight="1" x14ac:dyDescent="0.25"/>
    <row r="355" ht="50.1" customHeight="1" x14ac:dyDescent="0.25"/>
    <row r="356" ht="50.1" customHeight="1" x14ac:dyDescent="0.25"/>
    <row r="357" ht="50.1" customHeight="1" x14ac:dyDescent="0.25"/>
    <row r="358" ht="50.1" customHeight="1" x14ac:dyDescent="0.25"/>
    <row r="359" ht="50.1" customHeight="1" x14ac:dyDescent="0.25"/>
    <row r="360" ht="50.1" customHeight="1" x14ac:dyDescent="0.25"/>
    <row r="361" ht="50.1" customHeight="1" x14ac:dyDescent="0.25"/>
    <row r="362" ht="50.1" customHeight="1" x14ac:dyDescent="0.25"/>
    <row r="363" ht="50.1" customHeight="1" x14ac:dyDescent="0.25"/>
    <row r="364" ht="50.1" customHeight="1" x14ac:dyDescent="0.25"/>
    <row r="365" ht="50.1" customHeight="1" x14ac:dyDescent="0.25"/>
    <row r="366" ht="50.1" customHeight="1" x14ac:dyDescent="0.25"/>
    <row r="367" ht="50.1" customHeight="1" x14ac:dyDescent="0.25"/>
    <row r="368" ht="50.1" customHeight="1" x14ac:dyDescent="0.25"/>
    <row r="369" ht="50.1" customHeight="1" x14ac:dyDescent="0.25"/>
    <row r="370" ht="50.1" customHeight="1" x14ac:dyDescent="0.25"/>
    <row r="371" ht="50.1" customHeight="1" x14ac:dyDescent="0.25"/>
    <row r="372" ht="50.1" customHeight="1" x14ac:dyDescent="0.25"/>
    <row r="373" ht="50.1" customHeight="1" x14ac:dyDescent="0.25"/>
    <row r="374" ht="50.1" customHeight="1" x14ac:dyDescent="0.25"/>
    <row r="375" ht="50.1" customHeight="1" x14ac:dyDescent="0.25"/>
    <row r="376" ht="50.1" customHeight="1" x14ac:dyDescent="0.25"/>
    <row r="377" ht="50.1" customHeight="1" x14ac:dyDescent="0.25"/>
    <row r="378" ht="50.1" customHeight="1" x14ac:dyDescent="0.25"/>
    <row r="379" ht="50.1" customHeight="1" x14ac:dyDescent="0.25"/>
    <row r="380" ht="50.1" customHeight="1" x14ac:dyDescent="0.25"/>
    <row r="381" ht="50.1" customHeight="1" x14ac:dyDescent="0.25"/>
    <row r="382" ht="50.1" customHeight="1" x14ac:dyDescent="0.25"/>
    <row r="383" ht="50.1" customHeight="1" x14ac:dyDescent="0.25"/>
    <row r="384" ht="50.1" customHeight="1" x14ac:dyDescent="0.25"/>
    <row r="385" ht="50.1" customHeight="1" x14ac:dyDescent="0.25"/>
    <row r="386" ht="50.1" customHeight="1" x14ac:dyDescent="0.25"/>
    <row r="387" ht="50.1" customHeight="1" x14ac:dyDescent="0.25"/>
    <row r="388" ht="50.1" customHeight="1" x14ac:dyDescent="0.25"/>
    <row r="389" ht="50.1" customHeight="1" x14ac:dyDescent="0.25"/>
    <row r="390" ht="50.1" customHeight="1" x14ac:dyDescent="0.25"/>
    <row r="391" ht="50.1" customHeight="1" x14ac:dyDescent="0.25"/>
    <row r="392" ht="50.1" customHeight="1" x14ac:dyDescent="0.25"/>
    <row r="393" ht="50.1" customHeight="1" x14ac:dyDescent="0.25"/>
    <row r="394" ht="50.1" customHeight="1" x14ac:dyDescent="0.25"/>
    <row r="395" ht="50.1" customHeight="1" x14ac:dyDescent="0.25"/>
    <row r="396" ht="50.1" customHeight="1" x14ac:dyDescent="0.25"/>
    <row r="397" ht="50.1" customHeight="1" x14ac:dyDescent="0.25"/>
    <row r="398" ht="50.1" customHeight="1" x14ac:dyDescent="0.25"/>
    <row r="399" ht="50.1" customHeight="1" x14ac:dyDescent="0.25"/>
    <row r="400" ht="50.1" customHeight="1" x14ac:dyDescent="0.25"/>
    <row r="401" ht="50.1" customHeight="1" x14ac:dyDescent="0.25"/>
    <row r="402" ht="50.1" customHeight="1" x14ac:dyDescent="0.25"/>
    <row r="403" ht="50.1" customHeight="1" x14ac:dyDescent="0.25"/>
    <row r="404" ht="50.1" customHeight="1" x14ac:dyDescent="0.25"/>
    <row r="405" ht="50.1" customHeight="1" x14ac:dyDescent="0.25"/>
    <row r="406" ht="50.1" customHeight="1" x14ac:dyDescent="0.25"/>
    <row r="407" ht="50.1" customHeight="1" x14ac:dyDescent="0.25"/>
    <row r="408" ht="50.1" customHeight="1" x14ac:dyDescent="0.25"/>
    <row r="409" ht="50.1" customHeight="1" x14ac:dyDescent="0.25"/>
    <row r="410" ht="50.1" customHeight="1" x14ac:dyDescent="0.25"/>
    <row r="411" ht="50.1" customHeight="1" x14ac:dyDescent="0.25"/>
    <row r="412" ht="50.1" customHeight="1" x14ac:dyDescent="0.25"/>
    <row r="413" ht="50.1" customHeight="1" x14ac:dyDescent="0.25"/>
    <row r="414" ht="50.1" customHeight="1" x14ac:dyDescent="0.25"/>
    <row r="415" ht="50.1" customHeight="1" x14ac:dyDescent="0.25"/>
    <row r="416" ht="50.1" customHeight="1" x14ac:dyDescent="0.25"/>
    <row r="417" ht="50.1" customHeight="1" x14ac:dyDescent="0.25"/>
    <row r="418" ht="50.1" customHeight="1" x14ac:dyDescent="0.25"/>
    <row r="419" ht="50.1" customHeight="1" x14ac:dyDescent="0.25"/>
    <row r="420" ht="50.1" customHeight="1" x14ac:dyDescent="0.25"/>
    <row r="421" ht="50.1" customHeight="1" x14ac:dyDescent="0.25"/>
    <row r="422" ht="50.1" customHeight="1" x14ac:dyDescent="0.25"/>
    <row r="423" ht="50.1" customHeight="1" x14ac:dyDescent="0.25"/>
    <row r="424" ht="50.1" customHeight="1" x14ac:dyDescent="0.25"/>
    <row r="425" ht="50.1" customHeight="1" x14ac:dyDescent="0.25"/>
    <row r="426" ht="50.1" customHeight="1" x14ac:dyDescent="0.25"/>
    <row r="427" ht="50.1" customHeight="1" x14ac:dyDescent="0.25"/>
    <row r="428" ht="50.1" customHeight="1" x14ac:dyDescent="0.25"/>
    <row r="429" ht="50.1" customHeight="1" x14ac:dyDescent="0.25"/>
    <row r="430" ht="50.1" customHeight="1" x14ac:dyDescent="0.25"/>
    <row r="431" ht="50.1" customHeight="1" x14ac:dyDescent="0.25"/>
    <row r="432" ht="50.1" customHeight="1" x14ac:dyDescent="0.25"/>
    <row r="433" ht="50.1" customHeight="1" x14ac:dyDescent="0.25"/>
    <row r="434" ht="50.1" customHeight="1" x14ac:dyDescent="0.25"/>
    <row r="435" ht="50.1" customHeight="1" x14ac:dyDescent="0.25"/>
    <row r="436" ht="50.1" customHeight="1" x14ac:dyDescent="0.25"/>
    <row r="437" ht="50.1" customHeight="1" x14ac:dyDescent="0.25"/>
    <row r="438" ht="50.1" customHeight="1" x14ac:dyDescent="0.25"/>
    <row r="439" ht="50.1" customHeight="1" x14ac:dyDescent="0.25"/>
    <row r="440" ht="50.1" customHeight="1" x14ac:dyDescent="0.25"/>
    <row r="441" ht="50.1" customHeight="1" x14ac:dyDescent="0.25"/>
    <row r="442" ht="50.1" customHeight="1" x14ac:dyDescent="0.25"/>
    <row r="443" ht="50.1" customHeight="1" x14ac:dyDescent="0.25"/>
    <row r="444" ht="50.1" customHeight="1" x14ac:dyDescent="0.25"/>
    <row r="445" ht="50.1" customHeight="1" x14ac:dyDescent="0.25"/>
    <row r="446" ht="50.1" customHeight="1" x14ac:dyDescent="0.25"/>
    <row r="447" ht="50.1" customHeight="1" x14ac:dyDescent="0.25"/>
    <row r="448" ht="50.1" customHeight="1" x14ac:dyDescent="0.25"/>
    <row r="449" ht="50.1" customHeight="1" x14ac:dyDescent="0.25"/>
    <row r="450" ht="50.1" customHeight="1" x14ac:dyDescent="0.25"/>
    <row r="451" ht="50.1" customHeight="1" x14ac:dyDescent="0.25"/>
    <row r="452" ht="50.1" customHeight="1" x14ac:dyDescent="0.25"/>
    <row r="453" ht="50.1" customHeight="1" x14ac:dyDescent="0.25"/>
    <row r="454" ht="50.1" customHeight="1" x14ac:dyDescent="0.25"/>
    <row r="455" ht="50.1" customHeight="1" x14ac:dyDescent="0.25"/>
    <row r="456" ht="50.1" customHeight="1" x14ac:dyDescent="0.25"/>
    <row r="457" ht="50.1" customHeight="1" x14ac:dyDescent="0.25"/>
    <row r="458" ht="50.1" customHeight="1" x14ac:dyDescent="0.25"/>
    <row r="459" ht="50.1" customHeight="1" x14ac:dyDescent="0.25"/>
  </sheetData>
  <mergeCells count="30"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scr</vt:lpstr>
      <vt:lpstr>degrees</vt:lpstr>
      <vt:lpstr>div</vt:lpstr>
      <vt:lpstr>Basic</vt:lpstr>
      <vt:lpstr>Two Big Charts</vt:lpstr>
      <vt:lpstr>Charts</vt:lpstr>
      <vt:lpstr>All Divisional Charts</vt:lpstr>
      <vt:lpstr>d1check</vt:lpstr>
      <vt:lpstr>D9_</vt:lpstr>
      <vt:lpstr>niftycheck</vt:lpstr>
      <vt:lpstr>Basic!Print_Area</vt:lpstr>
      <vt:lpstr>div!Print_Area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Rokkam Rohit</cp:lastModifiedBy>
  <cp:lastPrinted>2018-01-08T12:10:24Z</cp:lastPrinted>
  <dcterms:created xsi:type="dcterms:W3CDTF">2001-11-19T16:23:41Z</dcterms:created>
  <dcterms:modified xsi:type="dcterms:W3CDTF">2022-02-05T11:54:46Z</dcterms:modified>
</cp:coreProperties>
</file>